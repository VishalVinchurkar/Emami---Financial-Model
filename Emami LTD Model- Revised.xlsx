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hidePivotFieldList="1"/>
  <mc:AlternateContent xmlns:mc="http://schemas.openxmlformats.org/markup-compatibility/2006">
    <mc:Choice Requires="x15">
      <x15ac:absPath xmlns:x15ac="http://schemas.microsoft.com/office/spreadsheetml/2010/11/ac" url="C:\Study and Work\Emami LTD\Changes in model\"/>
    </mc:Choice>
  </mc:AlternateContent>
  <xr:revisionPtr revIDLastSave="0" documentId="13_ncr:1_{52E51FC2-73EF-4D20-AEEC-09C077BD6230}" xr6:coauthVersionLast="47" xr6:coauthVersionMax="47" xr10:uidLastSave="{00000000-0000-0000-0000-000000000000}"/>
  <bookViews>
    <workbookView xWindow="-108" yWindow="-108" windowWidth="23256" windowHeight="12456" firstSheet="6" activeTab="10" xr2:uid="{00000000-000D-0000-FFFF-FFFF00000000}"/>
  </bookViews>
  <sheets>
    <sheet name="Index" sheetId="17" r:id="rId1"/>
    <sheet name="Assumptions" sheetId="16" r:id="rId2"/>
    <sheet name="Inputs" sheetId="2" r:id="rId3"/>
    <sheet name="Scenarios" sheetId="7" r:id="rId4"/>
    <sheet name="Model" sheetId="5" r:id="rId5"/>
    <sheet name="Ratio Analysis" sheetId="15" r:id="rId6"/>
    <sheet name="Equity Beta" sheetId="13" r:id="rId7"/>
    <sheet name="Market Returns" sheetId="11" r:id="rId8"/>
    <sheet name="DCF Valuation" sheetId="12" r:id="rId9"/>
    <sheet name="Comps Inputs" sheetId="22" r:id="rId10"/>
    <sheet name="Comps Valuation" sheetId="9" r:id="rId11"/>
    <sheet name="Summary" sheetId="20"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28" i="12" l="1"/>
  <c r="F47" i="12"/>
  <c r="F46" i="12"/>
  <c r="I11" i="11"/>
  <c r="I9" i="11"/>
  <c r="F19" i="11"/>
  <c r="F18" i="11"/>
  <c r="F17" i="11"/>
  <c r="F16" i="11"/>
  <c r="F15" i="11"/>
  <c r="F14" i="11"/>
  <c r="F13" i="11"/>
  <c r="K7" i="13"/>
  <c r="K6" i="13"/>
  <c r="F13" i="13"/>
  <c r="F12" i="13"/>
  <c r="F11" i="13"/>
  <c r="F10" i="13"/>
  <c r="F9" i="13"/>
  <c r="F8" i="13"/>
  <c r="F7" i="13"/>
  <c r="H13" i="13"/>
  <c r="H12" i="13"/>
  <c r="H11" i="13"/>
  <c r="H10" i="13"/>
  <c r="H9" i="13"/>
  <c r="H8" i="13"/>
  <c r="H7" i="13"/>
  <c r="H9" i="22" l="1"/>
  <c r="L23" i="9"/>
  <c r="H23" i="9"/>
  <c r="Q10" i="9"/>
  <c r="Q11" i="9"/>
  <c r="Q12" i="9"/>
  <c r="Q13" i="9"/>
  <c r="Q14" i="9"/>
  <c r="Q15" i="9"/>
  <c r="Q16" i="9"/>
  <c r="P10" i="9"/>
  <c r="P11" i="9"/>
  <c r="P12" i="9"/>
  <c r="P13" i="9"/>
  <c r="P14" i="9"/>
  <c r="P15" i="9"/>
  <c r="P16" i="9"/>
  <c r="O10" i="9"/>
  <c r="O11" i="9"/>
  <c r="O12" i="9"/>
  <c r="O13" i="9"/>
  <c r="O14" i="9"/>
  <c r="O15" i="9"/>
  <c r="O16" i="9"/>
  <c r="L10" i="9"/>
  <c r="L11" i="9"/>
  <c r="L12" i="9"/>
  <c r="L13" i="9"/>
  <c r="L14" i="9"/>
  <c r="L15" i="9"/>
  <c r="L16" i="9"/>
  <c r="H10" i="9"/>
  <c r="H11" i="9"/>
  <c r="H12" i="9"/>
  <c r="H13" i="9"/>
  <c r="H14" i="9"/>
  <c r="H15" i="9"/>
  <c r="H16" i="9"/>
  <c r="K10" i="9"/>
  <c r="K11" i="9"/>
  <c r="K12" i="9"/>
  <c r="K13" i="9"/>
  <c r="K14" i="9"/>
  <c r="K15" i="9"/>
  <c r="K16" i="9"/>
  <c r="I10" i="9"/>
  <c r="I11" i="9"/>
  <c r="I12" i="9"/>
  <c r="I13" i="9"/>
  <c r="I14" i="9"/>
  <c r="I15" i="9"/>
  <c r="I16" i="9"/>
  <c r="N9" i="22"/>
  <c r="Q23" i="9" s="1"/>
  <c r="M9" i="22"/>
  <c r="P23" i="9" s="1"/>
  <c r="L9" i="22"/>
  <c r="O23" i="9" s="1"/>
  <c r="K9" i="22"/>
  <c r="J9" i="22"/>
  <c r="K23" i="9" s="1"/>
  <c r="I9" i="22"/>
  <c r="I23" i="9" s="1"/>
  <c r="O12" i="5"/>
  <c r="P12" i="5" s="1"/>
  <c r="Q12" i="5" s="1"/>
  <c r="R12" i="5" s="1"/>
  <c r="S12" i="5" s="1"/>
  <c r="T12" i="5" s="1"/>
  <c r="U12" i="5" s="1"/>
  <c r="V12" i="5" s="1"/>
  <c r="N12" i="5"/>
  <c r="M12" i="5"/>
  <c r="F8" i="11" l="1"/>
  <c r="F9" i="11"/>
  <c r="F10" i="11"/>
  <c r="F11" i="11"/>
  <c r="F12" i="11"/>
  <c r="F20" i="11"/>
  <c r="F7" i="11"/>
  <c r="H15" i="13"/>
  <c r="H16" i="13"/>
  <c r="H17" i="13"/>
  <c r="H18" i="13"/>
  <c r="H19" i="13"/>
  <c r="H20" i="13"/>
  <c r="H14" i="13"/>
  <c r="F15" i="13"/>
  <c r="F16" i="13"/>
  <c r="F17" i="13"/>
  <c r="F18" i="13"/>
  <c r="F19" i="13"/>
  <c r="F20" i="13"/>
  <c r="F14" i="13"/>
  <c r="F25" i="20"/>
  <c r="E27" i="20"/>
  <c r="E25" i="20"/>
  <c r="D27" i="20"/>
  <c r="D25" i="20"/>
  <c r="I12" i="20"/>
  <c r="I16" i="20"/>
  <c r="I15" i="20"/>
  <c r="I14" i="20"/>
  <c r="I13" i="20"/>
  <c r="I11" i="20"/>
  <c r="I10" i="20"/>
  <c r="I9" i="20"/>
  <c r="I8" i="20"/>
  <c r="I7" i="20"/>
  <c r="I6" i="20"/>
  <c r="I5" i="20"/>
  <c r="F5" i="20"/>
  <c r="C8" i="20"/>
  <c r="E10" i="7" l="1"/>
  <c r="E9" i="7"/>
  <c r="D31" i="15"/>
  <c r="E31" i="15"/>
  <c r="F31" i="15"/>
  <c r="G31" i="15"/>
  <c r="H31" i="15"/>
  <c r="I31" i="15"/>
  <c r="J31" i="15"/>
  <c r="K31" i="15"/>
  <c r="L31" i="15"/>
  <c r="M31" i="15"/>
  <c r="N31" i="15"/>
  <c r="O31" i="15"/>
  <c r="P31" i="15"/>
  <c r="Q31" i="15"/>
  <c r="C31" i="15"/>
  <c r="F59" i="12"/>
  <c r="F22" i="11" l="1"/>
  <c r="F23" i="11"/>
  <c r="F24" i="11"/>
  <c r="F25" i="11"/>
  <c r="F21" i="11"/>
  <c r="H22" i="13"/>
  <c r="H23" i="13"/>
  <c r="H24" i="13"/>
  <c r="H25" i="13"/>
  <c r="H21" i="13"/>
  <c r="F22" i="13"/>
  <c r="F23" i="13"/>
  <c r="F24" i="13"/>
  <c r="F25" i="13"/>
  <c r="F21" i="13"/>
  <c r="F17" i="12"/>
  <c r="F22" i="12"/>
  <c r="F65" i="12" l="1"/>
  <c r="F37" i="12"/>
  <c r="J32" i="12" l="1"/>
  <c r="F32" i="12"/>
  <c r="H4" i="15" l="1"/>
  <c r="I4" i="15" s="1"/>
  <c r="J4" i="15" s="1"/>
  <c r="K4" i="15" s="1"/>
  <c r="L4" i="15" s="1"/>
  <c r="M4" i="15" s="1"/>
  <c r="N4" i="15" s="1"/>
  <c r="O4" i="15" s="1"/>
  <c r="P4" i="15" s="1"/>
  <c r="Q4" i="15" s="1"/>
  <c r="D4" i="15"/>
  <c r="E4" i="15" s="1"/>
  <c r="F4" i="15" s="1"/>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F118" i="13"/>
  <c r="F119" i="13"/>
  <c r="F120" i="13"/>
  <c r="F121" i="13"/>
  <c r="F122" i="13"/>
  <c r="F123" i="13"/>
  <c r="F124" i="13"/>
  <c r="F125" i="13"/>
  <c r="F126" i="13"/>
  <c r="F127" i="13"/>
  <c r="F128" i="13"/>
  <c r="F129" i="13"/>
  <c r="F130" i="13"/>
  <c r="F131" i="13"/>
  <c r="F132" i="13"/>
  <c r="F133" i="13"/>
  <c r="F134" i="13"/>
  <c r="F135" i="13"/>
  <c r="F136" i="13"/>
  <c r="F137" i="13"/>
  <c r="F138" i="13"/>
  <c r="F139" i="13"/>
  <c r="F140" i="13"/>
  <c r="F141" i="13"/>
  <c r="F142" i="13"/>
  <c r="F143" i="13"/>
  <c r="F144" i="13"/>
  <c r="F145" i="13"/>
  <c r="F146" i="13"/>
  <c r="F147" i="13"/>
  <c r="F148" i="13"/>
  <c r="F149" i="13"/>
  <c r="F150" i="13"/>
  <c r="F151" i="13"/>
  <c r="F152" i="13"/>
  <c r="F153" i="13"/>
  <c r="F154" i="13"/>
  <c r="F155" i="13"/>
  <c r="F156" i="13"/>
  <c r="F157" i="13"/>
  <c r="F158" i="13"/>
  <c r="F159" i="13"/>
  <c r="F160" i="13"/>
  <c r="F161" i="13"/>
  <c r="F162" i="13"/>
  <c r="F163" i="13"/>
  <c r="F164" i="13"/>
  <c r="F165" i="13"/>
  <c r="F166" i="13"/>
  <c r="F167" i="13"/>
  <c r="F168" i="13"/>
  <c r="F169" i="13"/>
  <c r="F170" i="13"/>
  <c r="F171" i="13"/>
  <c r="F172" i="13"/>
  <c r="F173" i="13"/>
  <c r="F174" i="13"/>
  <c r="F175" i="13"/>
  <c r="F176" i="13"/>
  <c r="F177" i="13"/>
  <c r="F178" i="13"/>
  <c r="F179" i="13"/>
  <c r="F180" i="13"/>
  <c r="F181" i="13"/>
  <c r="F182" i="13"/>
  <c r="F183" i="13"/>
  <c r="F184" i="13"/>
  <c r="F185" i="13"/>
  <c r="F186" i="13"/>
  <c r="F187" i="13"/>
  <c r="F188" i="13"/>
  <c r="F189" i="13"/>
  <c r="F190" i="13"/>
  <c r="F191" i="13"/>
  <c r="F192" i="13"/>
  <c r="F193" i="13"/>
  <c r="F194" i="13"/>
  <c r="F195" i="13"/>
  <c r="F196" i="13"/>
  <c r="F197" i="13"/>
  <c r="F198" i="13"/>
  <c r="F199" i="13"/>
  <c r="F200" i="13"/>
  <c r="F201" i="13"/>
  <c r="F202" i="13"/>
  <c r="F203" i="13"/>
  <c r="F204" i="13"/>
  <c r="F205" i="13"/>
  <c r="F206" i="13"/>
  <c r="F207" i="13"/>
  <c r="F208" i="13"/>
  <c r="F209" i="13"/>
  <c r="F210" i="13"/>
  <c r="F211" i="13"/>
  <c r="F212" i="13"/>
  <c r="F213" i="13"/>
  <c r="F214" i="13"/>
  <c r="F215" i="13"/>
  <c r="F216" i="13"/>
  <c r="F217" i="13"/>
  <c r="F218" i="13"/>
  <c r="F219" i="13"/>
  <c r="F220" i="13"/>
  <c r="F221" i="13"/>
  <c r="F222" i="13"/>
  <c r="F223" i="13"/>
  <c r="F224" i="13"/>
  <c r="F225" i="13"/>
  <c r="F226" i="13"/>
  <c r="F227" i="13"/>
  <c r="F228" i="13"/>
  <c r="F229" i="13"/>
  <c r="F230" i="13"/>
  <c r="F231" i="13"/>
  <c r="F232" i="13"/>
  <c r="F233" i="13"/>
  <c r="F234" i="13"/>
  <c r="F235" i="13"/>
  <c r="F236" i="13"/>
  <c r="F237" i="13"/>
  <c r="F238" i="13"/>
  <c r="F239" i="13"/>
  <c r="F240" i="13"/>
  <c r="F241" i="13"/>
  <c r="F242" i="13"/>
  <c r="F243" i="13"/>
  <c r="F244" i="13"/>
  <c r="F245" i="13"/>
  <c r="F246" i="13"/>
  <c r="F247" i="13"/>
  <c r="F248" i="13"/>
  <c r="F249" i="13"/>
  <c r="F250" i="13"/>
  <c r="F251" i="13"/>
  <c r="F252" i="13"/>
  <c r="F253" i="13"/>
  <c r="F254" i="13"/>
  <c r="F255" i="13"/>
  <c r="F256" i="13"/>
  <c r="F257" i="13"/>
  <c r="F258" i="13"/>
  <c r="F259" i="13"/>
  <c r="F260" i="13"/>
  <c r="F261" i="13"/>
  <c r="F262" i="13"/>
  <c r="F263" i="13"/>
  <c r="F264" i="13"/>
  <c r="F265" i="13"/>
  <c r="F266" i="13"/>
  <c r="F267" i="13"/>
  <c r="F268" i="13"/>
  <c r="F269" i="13"/>
  <c r="F270" i="13"/>
  <c r="F271" i="13"/>
  <c r="F272" i="13"/>
  <c r="F273" i="13"/>
  <c r="F274" i="13"/>
  <c r="F275" i="13"/>
  <c r="F276" i="13"/>
  <c r="F277" i="13"/>
  <c r="F278" i="13"/>
  <c r="F279" i="13"/>
  <c r="F280" i="13"/>
  <c r="F281" i="13"/>
  <c r="F282" i="13"/>
  <c r="F283" i="13"/>
  <c r="F284" i="13"/>
  <c r="F285" i="13"/>
  <c r="F286" i="13"/>
  <c r="F287" i="13"/>
  <c r="F288" i="13"/>
  <c r="F289" i="13"/>
  <c r="F290" i="13"/>
  <c r="F291" i="13"/>
  <c r="F292" i="13"/>
  <c r="F293" i="13"/>
  <c r="F294" i="13"/>
  <c r="F295" i="13"/>
  <c r="F296" i="13"/>
  <c r="F297" i="13"/>
  <c r="F298" i="13"/>
  <c r="F299" i="13"/>
  <c r="F300" i="13"/>
  <c r="F301" i="13"/>
  <c r="F302" i="13"/>
  <c r="F303" i="13"/>
  <c r="F304" i="13"/>
  <c r="F305" i="13"/>
  <c r="F306" i="13"/>
  <c r="F307" i="13"/>
  <c r="F308" i="13"/>
  <c r="F309" i="13"/>
  <c r="F310" i="13"/>
  <c r="F311" i="13"/>
  <c r="F312" i="13"/>
  <c r="F313" i="13"/>
  <c r="F314" i="13"/>
  <c r="F315" i="13"/>
  <c r="F316" i="13"/>
  <c r="F317" i="13"/>
  <c r="F318" i="13"/>
  <c r="F319" i="13"/>
  <c r="F320" i="13"/>
  <c r="F321" i="13"/>
  <c r="F322" i="13"/>
  <c r="F323" i="13"/>
  <c r="F324" i="13"/>
  <c r="F325" i="13"/>
  <c r="F326" i="13"/>
  <c r="F327" i="13"/>
  <c r="F328" i="13"/>
  <c r="F329" i="13"/>
  <c r="F330" i="13"/>
  <c r="F331" i="13"/>
  <c r="F332" i="13"/>
  <c r="F333" i="13"/>
  <c r="F334" i="13"/>
  <c r="F335" i="13"/>
  <c r="F336" i="13"/>
  <c r="F337" i="13"/>
  <c r="F338" i="13"/>
  <c r="F339" i="13"/>
  <c r="F340" i="13"/>
  <c r="F341" i="13"/>
  <c r="F342" i="13"/>
  <c r="F343" i="13"/>
  <c r="F344" i="13"/>
  <c r="F345" i="13"/>
  <c r="F346" i="13"/>
  <c r="F347" i="13"/>
  <c r="F348" i="13"/>
  <c r="F349" i="13"/>
  <c r="F350" i="13"/>
  <c r="F351" i="13"/>
  <c r="F352" i="13"/>
  <c r="F353" i="13"/>
  <c r="F354" i="13"/>
  <c r="F355" i="13"/>
  <c r="F356" i="13"/>
  <c r="F357" i="13"/>
  <c r="F358" i="13"/>
  <c r="F359" i="13"/>
  <c r="F360" i="13"/>
  <c r="F361" i="13"/>
  <c r="F362" i="13"/>
  <c r="F363" i="13"/>
  <c r="F364" i="13"/>
  <c r="F365" i="13"/>
  <c r="F366" i="13"/>
  <c r="F367" i="13"/>
  <c r="F368" i="13"/>
  <c r="F369" i="13"/>
  <c r="F370" i="13"/>
  <c r="F371" i="13"/>
  <c r="F372" i="13"/>
  <c r="F373" i="13"/>
  <c r="F374" i="13"/>
  <c r="F375" i="13"/>
  <c r="F376" i="13"/>
  <c r="F377" i="13"/>
  <c r="F378" i="13"/>
  <c r="F379" i="13"/>
  <c r="F380" i="13"/>
  <c r="F381" i="13"/>
  <c r="F382" i="13"/>
  <c r="F383" i="13"/>
  <c r="F384" i="13"/>
  <c r="F385" i="13"/>
  <c r="F386" i="13"/>
  <c r="F387" i="13"/>
  <c r="F388" i="13"/>
  <c r="F389" i="13"/>
  <c r="F390" i="13"/>
  <c r="F391" i="13"/>
  <c r="F392" i="13"/>
  <c r="F393" i="13"/>
  <c r="F394" i="13"/>
  <c r="F395" i="13"/>
  <c r="F396" i="13"/>
  <c r="F397" i="13"/>
  <c r="F398" i="13"/>
  <c r="F399" i="13"/>
  <c r="F400" i="13"/>
  <c r="F401" i="13"/>
  <c r="F402" i="13"/>
  <c r="F403" i="13"/>
  <c r="F404" i="13"/>
  <c r="F405" i="13"/>
  <c r="F406" i="13"/>
  <c r="F407" i="13"/>
  <c r="F408" i="13"/>
  <c r="F409" i="13"/>
  <c r="F410" i="13"/>
  <c r="F411" i="13"/>
  <c r="F412" i="13"/>
  <c r="F413" i="13"/>
  <c r="F414" i="13"/>
  <c r="F415" i="13"/>
  <c r="F416" i="13"/>
  <c r="F417" i="13"/>
  <c r="F418" i="13"/>
  <c r="F419" i="13"/>
  <c r="F420" i="13"/>
  <c r="F421" i="13"/>
  <c r="F422" i="13"/>
  <c r="F423" i="13"/>
  <c r="F424" i="13"/>
  <c r="F425" i="13"/>
  <c r="F426" i="13"/>
  <c r="F427" i="13"/>
  <c r="F428" i="13"/>
  <c r="F429" i="13"/>
  <c r="F430" i="13"/>
  <c r="F431" i="13"/>
  <c r="F432" i="13"/>
  <c r="F433" i="13"/>
  <c r="F434" i="13"/>
  <c r="F435" i="13"/>
  <c r="F436" i="13"/>
  <c r="F437" i="13"/>
  <c r="F438" i="13"/>
  <c r="F439" i="13"/>
  <c r="F440" i="13"/>
  <c r="F441" i="13"/>
  <c r="F442" i="13"/>
  <c r="F443" i="13"/>
  <c r="F444" i="13"/>
  <c r="F445" i="13"/>
  <c r="F446" i="13"/>
  <c r="F447" i="13"/>
  <c r="F448" i="13"/>
  <c r="F449" i="13"/>
  <c r="F450" i="13"/>
  <c r="F451" i="13"/>
  <c r="F452" i="13"/>
  <c r="F453" i="13"/>
  <c r="F454" i="13"/>
  <c r="F455" i="13"/>
  <c r="F456" i="13"/>
  <c r="F457" i="13"/>
  <c r="F458" i="13"/>
  <c r="F459" i="13"/>
  <c r="F460" i="13"/>
  <c r="F461" i="13"/>
  <c r="F462" i="13"/>
  <c r="F463" i="13"/>
  <c r="F464" i="13"/>
  <c r="F465" i="13"/>
  <c r="F466" i="13"/>
  <c r="F467" i="13"/>
  <c r="F468" i="13"/>
  <c r="F469" i="13"/>
  <c r="F470" i="13"/>
  <c r="F471" i="13"/>
  <c r="F472" i="13"/>
  <c r="F473" i="13"/>
  <c r="F474" i="13"/>
  <c r="F475" i="13"/>
  <c r="F476" i="13"/>
  <c r="F477" i="13"/>
  <c r="F478" i="13"/>
  <c r="F479" i="13"/>
  <c r="F480" i="13"/>
  <c r="F481" i="13"/>
  <c r="F482" i="13"/>
  <c r="F483" i="13"/>
  <c r="F484" i="13"/>
  <c r="F485" i="13"/>
  <c r="F486" i="13"/>
  <c r="F487" i="13"/>
  <c r="F488" i="13"/>
  <c r="F489" i="13"/>
  <c r="F490" i="13"/>
  <c r="F491" i="13"/>
  <c r="F492" i="13"/>
  <c r="F493" i="13"/>
  <c r="F494" i="13"/>
  <c r="F495" i="13"/>
  <c r="F496" i="13"/>
  <c r="F497" i="13"/>
  <c r="F498" i="13"/>
  <c r="F499" i="13"/>
  <c r="F500" i="13"/>
  <c r="F501" i="13"/>
  <c r="F502" i="13"/>
  <c r="F26" i="13"/>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1509" i="11"/>
  <c r="F1510" i="11"/>
  <c r="F1511" i="11"/>
  <c r="F1512" i="11"/>
  <c r="F1513" i="11"/>
  <c r="F1514" i="11"/>
  <c r="F1515" i="11"/>
  <c r="F1516" i="11"/>
  <c r="F1517" i="11"/>
  <c r="F1518" i="11"/>
  <c r="F1519" i="11"/>
  <c r="F1520" i="11"/>
  <c r="F1521" i="11"/>
  <c r="F1522" i="11"/>
  <c r="F1523" i="11"/>
  <c r="F1524" i="11"/>
  <c r="F1525" i="11"/>
  <c r="F1526" i="11"/>
  <c r="F1527" i="11"/>
  <c r="F1528" i="11"/>
  <c r="F1529" i="11"/>
  <c r="F1530" i="11"/>
  <c r="F1531" i="11"/>
  <c r="F1532" i="11"/>
  <c r="F1533" i="11"/>
  <c r="F1534" i="11"/>
  <c r="F1535" i="11"/>
  <c r="F1536" i="11"/>
  <c r="F1537" i="11"/>
  <c r="F1538" i="11"/>
  <c r="F1539" i="11"/>
  <c r="F1540" i="11"/>
  <c r="F1541" i="11"/>
  <c r="F1542" i="11"/>
  <c r="F1543" i="11"/>
  <c r="F1544" i="11"/>
  <c r="F1545" i="11"/>
  <c r="F1546" i="11"/>
  <c r="F1547" i="11"/>
  <c r="F1548" i="11"/>
  <c r="F1549" i="11"/>
  <c r="F1550" i="11"/>
  <c r="F1551" i="11"/>
  <c r="F1552" i="11"/>
  <c r="F1553" i="11"/>
  <c r="F1554" i="11"/>
  <c r="F1555" i="11"/>
  <c r="F1556" i="11"/>
  <c r="F1557" i="11"/>
  <c r="F1558" i="11"/>
  <c r="F1559" i="11"/>
  <c r="F1560" i="11"/>
  <c r="F1561" i="11"/>
  <c r="F1562" i="11"/>
  <c r="F1563" i="11"/>
  <c r="F1564" i="11"/>
  <c r="F1565" i="11"/>
  <c r="F1566" i="11"/>
  <c r="F1567" i="11"/>
  <c r="F1568" i="11"/>
  <c r="F1569" i="11"/>
  <c r="F1570" i="11"/>
  <c r="F1571" i="11"/>
  <c r="F1572" i="11"/>
  <c r="F1573" i="11"/>
  <c r="F1574" i="11"/>
  <c r="F1575" i="11"/>
  <c r="F1576" i="11"/>
  <c r="F1577" i="11"/>
  <c r="F1578" i="11"/>
  <c r="F1579" i="11"/>
  <c r="F1580" i="11"/>
  <c r="F1581" i="11"/>
  <c r="F1582" i="11"/>
  <c r="F1583" i="11"/>
  <c r="F1584" i="11"/>
  <c r="F1585" i="11"/>
  <c r="F1586" i="11"/>
  <c r="F1587" i="11"/>
  <c r="F1588" i="11"/>
  <c r="F1589" i="11"/>
  <c r="F1590" i="11"/>
  <c r="F1591" i="11"/>
  <c r="F1592" i="11"/>
  <c r="F1593" i="11"/>
  <c r="F1594" i="11"/>
  <c r="F1595" i="11"/>
  <c r="F1596" i="11"/>
  <c r="F1597" i="11"/>
  <c r="F1598" i="11"/>
  <c r="F1599" i="11"/>
  <c r="F1600" i="11"/>
  <c r="F1601" i="11"/>
  <c r="F1602" i="11"/>
  <c r="F1603" i="11"/>
  <c r="F1604" i="11"/>
  <c r="F1605" i="11"/>
  <c r="F1606" i="11"/>
  <c r="F1607" i="11"/>
  <c r="F1608" i="11"/>
  <c r="F1609" i="11"/>
  <c r="F1610" i="11"/>
  <c r="F1611" i="11"/>
  <c r="F1612" i="11"/>
  <c r="F1613" i="11"/>
  <c r="F1614" i="11"/>
  <c r="F1615" i="11"/>
  <c r="F1616" i="11"/>
  <c r="F1617" i="11"/>
  <c r="F1618" i="11"/>
  <c r="F1619" i="11"/>
  <c r="F1620" i="11"/>
  <c r="F1621" i="11"/>
  <c r="F1622" i="11"/>
  <c r="F1623" i="11"/>
  <c r="F1624" i="11"/>
  <c r="F1625" i="11"/>
  <c r="F1626" i="11"/>
  <c r="F1627" i="11"/>
  <c r="F1628" i="11"/>
  <c r="F1629" i="11"/>
  <c r="F1630" i="11"/>
  <c r="F1631" i="11"/>
  <c r="F1632" i="11"/>
  <c r="F1633" i="11"/>
  <c r="F1634" i="11"/>
  <c r="F1635" i="11"/>
  <c r="F1636" i="11"/>
  <c r="F1637" i="11"/>
  <c r="F1638" i="11"/>
  <c r="F1639" i="11"/>
  <c r="F1640" i="11"/>
  <c r="F1641" i="11"/>
  <c r="F1642" i="11"/>
  <c r="F1643" i="11"/>
  <c r="F1644" i="11"/>
  <c r="F1645" i="11"/>
  <c r="F1646" i="11"/>
  <c r="F1647" i="11"/>
  <c r="F1648" i="11"/>
  <c r="F1649" i="11"/>
  <c r="F1650" i="11"/>
  <c r="F1651" i="11"/>
  <c r="F1652" i="11"/>
  <c r="F1653" i="11"/>
  <c r="F1654" i="11"/>
  <c r="F1655" i="11"/>
  <c r="F1656" i="11"/>
  <c r="F1657" i="11"/>
  <c r="F1658" i="11"/>
  <c r="F1659" i="11"/>
  <c r="F1660" i="11"/>
  <c r="F1661" i="11"/>
  <c r="F1662" i="11"/>
  <c r="F1663" i="11"/>
  <c r="F1664" i="11"/>
  <c r="F1665" i="11"/>
  <c r="F1666" i="11"/>
  <c r="F1667" i="11"/>
  <c r="F1668" i="11"/>
  <c r="F1669" i="11"/>
  <c r="F1670" i="11"/>
  <c r="F1671" i="11"/>
  <c r="F1672" i="11"/>
  <c r="F1673" i="11"/>
  <c r="F1674" i="11"/>
  <c r="F1675" i="11"/>
  <c r="F1676" i="11"/>
  <c r="F1677" i="11"/>
  <c r="F1678" i="11"/>
  <c r="F1679" i="11"/>
  <c r="F1680" i="11"/>
  <c r="F1681" i="11"/>
  <c r="F1682" i="11"/>
  <c r="F1683" i="11"/>
  <c r="F1684" i="11"/>
  <c r="F1685" i="11"/>
  <c r="F1686" i="11"/>
  <c r="F1687" i="11"/>
  <c r="F1688" i="11"/>
  <c r="F1689" i="11"/>
  <c r="F1690" i="11"/>
  <c r="F1691" i="11"/>
  <c r="F1692" i="11"/>
  <c r="F1693" i="11"/>
  <c r="F1694" i="11"/>
  <c r="F1695" i="11"/>
  <c r="F1696" i="11"/>
  <c r="F1697" i="11"/>
  <c r="F1698" i="11"/>
  <c r="F1699" i="11"/>
  <c r="F1700" i="11"/>
  <c r="F1701" i="11"/>
  <c r="F1702" i="11"/>
  <c r="F1703" i="11"/>
  <c r="F1704" i="11"/>
  <c r="F1705" i="11"/>
  <c r="F1706" i="11"/>
  <c r="F1707" i="11"/>
  <c r="F1708" i="11"/>
  <c r="F1709" i="11"/>
  <c r="F1710" i="11"/>
  <c r="F1711" i="11"/>
  <c r="F1712" i="11"/>
  <c r="F1713" i="11"/>
  <c r="F1714" i="11"/>
  <c r="F1715" i="11"/>
  <c r="F1716" i="11"/>
  <c r="F1717" i="11"/>
  <c r="F1718" i="11"/>
  <c r="F1719" i="11"/>
  <c r="F1720" i="11"/>
  <c r="F1721" i="11"/>
  <c r="F1722" i="11"/>
  <c r="F1723" i="11"/>
  <c r="F1724" i="11"/>
  <c r="F1725" i="11"/>
  <c r="F1726" i="11"/>
  <c r="F1727" i="11"/>
  <c r="F1728" i="11"/>
  <c r="F1729" i="11"/>
  <c r="F1730" i="11"/>
  <c r="F1731" i="11"/>
  <c r="F1732" i="11"/>
  <c r="F1733" i="11"/>
  <c r="F1734" i="11"/>
  <c r="F1735" i="11"/>
  <c r="F1736" i="11"/>
  <c r="F1737" i="11"/>
  <c r="F1738" i="11"/>
  <c r="F1739" i="11"/>
  <c r="F1740" i="11"/>
  <c r="F1741" i="11"/>
  <c r="F1742" i="11"/>
  <c r="F1743" i="11"/>
  <c r="F1744" i="11"/>
  <c r="F1745" i="11"/>
  <c r="F1746" i="11"/>
  <c r="F1747" i="11"/>
  <c r="F1748" i="11"/>
  <c r="F1749" i="11"/>
  <c r="F1750" i="11"/>
  <c r="F1751" i="11"/>
  <c r="F1752" i="11"/>
  <c r="F1753" i="11"/>
  <c r="F1754" i="11"/>
  <c r="F1755" i="11"/>
  <c r="F1756" i="11"/>
  <c r="F1757" i="11"/>
  <c r="F1758" i="11"/>
  <c r="F1759" i="11"/>
  <c r="F1760" i="11"/>
  <c r="F1761" i="11"/>
  <c r="F1762" i="11"/>
  <c r="F1763" i="11"/>
  <c r="F1764" i="11"/>
  <c r="F1765" i="11"/>
  <c r="F1766" i="11"/>
  <c r="F1767" i="11"/>
  <c r="F1768" i="11"/>
  <c r="F1769" i="11"/>
  <c r="F1770" i="11"/>
  <c r="F1771" i="11"/>
  <c r="F1772" i="11"/>
  <c r="F1773" i="11"/>
  <c r="F1774" i="11"/>
  <c r="F1775" i="11"/>
  <c r="F1776" i="11"/>
  <c r="F1777" i="11"/>
  <c r="F1778" i="11"/>
  <c r="F1779" i="11"/>
  <c r="F1780" i="11"/>
  <c r="F1781" i="11"/>
  <c r="F1782" i="11"/>
  <c r="F1783" i="11"/>
  <c r="F1784" i="11"/>
  <c r="F1785" i="11"/>
  <c r="F1786" i="11"/>
  <c r="F1787" i="11"/>
  <c r="F1788" i="11"/>
  <c r="F1789" i="11"/>
  <c r="F1790" i="11"/>
  <c r="F1791" i="11"/>
  <c r="F1792" i="11"/>
  <c r="F1793" i="11"/>
  <c r="F1794" i="11"/>
  <c r="F1795" i="11"/>
  <c r="F1796" i="11"/>
  <c r="F1797" i="11"/>
  <c r="F1798" i="11"/>
  <c r="F1799" i="11"/>
  <c r="F1800" i="11"/>
  <c r="F1801" i="11"/>
  <c r="F1802" i="11"/>
  <c r="F1803" i="11"/>
  <c r="F1804" i="11"/>
  <c r="F1805" i="11"/>
  <c r="F1806" i="11"/>
  <c r="F1807" i="11"/>
  <c r="F1808" i="11"/>
  <c r="F1809" i="11"/>
  <c r="F1810" i="11"/>
  <c r="F1811" i="11"/>
  <c r="F1812" i="11"/>
  <c r="F1813" i="11"/>
  <c r="F1814" i="11"/>
  <c r="F1815" i="11"/>
  <c r="F1816" i="11"/>
  <c r="F1817" i="11"/>
  <c r="F1818" i="11"/>
  <c r="F1819" i="11"/>
  <c r="F1820" i="11"/>
  <c r="F1821" i="11"/>
  <c r="F1822" i="11"/>
  <c r="F1823" i="11"/>
  <c r="F1824" i="11"/>
  <c r="F1825" i="11"/>
  <c r="F1826" i="11"/>
  <c r="F1827" i="11"/>
  <c r="F1828" i="11"/>
  <c r="F1829" i="11"/>
  <c r="F1830" i="11"/>
  <c r="F1831" i="11"/>
  <c r="F1832" i="11"/>
  <c r="F1833" i="11"/>
  <c r="F1834" i="11"/>
  <c r="F1835" i="11"/>
  <c r="F1836" i="11"/>
  <c r="F1837" i="11"/>
  <c r="F1838" i="11"/>
  <c r="F1839" i="11"/>
  <c r="F1840" i="11"/>
  <c r="F1841" i="11"/>
  <c r="F1842" i="11"/>
  <c r="F1843" i="11"/>
  <c r="F1844" i="11"/>
  <c r="F1845" i="11"/>
  <c r="F1846" i="11"/>
  <c r="F1847" i="11"/>
  <c r="F1848" i="11"/>
  <c r="F1849" i="11"/>
  <c r="F1850" i="11"/>
  <c r="F1851" i="11"/>
  <c r="F1852" i="11"/>
  <c r="F1853" i="11"/>
  <c r="F1854" i="11"/>
  <c r="F1855" i="11"/>
  <c r="F1856" i="11"/>
  <c r="F1857" i="11"/>
  <c r="F1858" i="11"/>
  <c r="F1859" i="11"/>
  <c r="F1860" i="11"/>
  <c r="F1861" i="11"/>
  <c r="F1862" i="11"/>
  <c r="F1863" i="11"/>
  <c r="F1864" i="11"/>
  <c r="F1865" i="11"/>
  <c r="F1866" i="11"/>
  <c r="F1867" i="11"/>
  <c r="F1868" i="11"/>
  <c r="F1869" i="11"/>
  <c r="F1870" i="11"/>
  <c r="F1871" i="11"/>
  <c r="F1872" i="11"/>
  <c r="F1873" i="11"/>
  <c r="F1874" i="11"/>
  <c r="F1875" i="11"/>
  <c r="F1876" i="11"/>
  <c r="F1877" i="11"/>
  <c r="F1878" i="11"/>
  <c r="F1879" i="11"/>
  <c r="F1880" i="11"/>
  <c r="F1881" i="11"/>
  <c r="F1882" i="11"/>
  <c r="F1883" i="11"/>
  <c r="F1884" i="11"/>
  <c r="F1885" i="11"/>
  <c r="F1886" i="11"/>
  <c r="F1887" i="11"/>
  <c r="F1888" i="11"/>
  <c r="F1889" i="11"/>
  <c r="F1890" i="11"/>
  <c r="F1891" i="11"/>
  <c r="F1892" i="11"/>
  <c r="F1893" i="11"/>
  <c r="F1894" i="11"/>
  <c r="F1895" i="11"/>
  <c r="F1896" i="11"/>
  <c r="F1897" i="11"/>
  <c r="F1898" i="11"/>
  <c r="F1899" i="11"/>
  <c r="F1900" i="11"/>
  <c r="F1901" i="11"/>
  <c r="F1902" i="11"/>
  <c r="F1903" i="11"/>
  <c r="F1904" i="11"/>
  <c r="F1905" i="11"/>
  <c r="F1906" i="11"/>
  <c r="F1907" i="11"/>
  <c r="F1908" i="11"/>
  <c r="F1909" i="11"/>
  <c r="F1910" i="11"/>
  <c r="F1911" i="11"/>
  <c r="F1912" i="11"/>
  <c r="F1913" i="11"/>
  <c r="F1914" i="11"/>
  <c r="F1915" i="11"/>
  <c r="F1916" i="11"/>
  <c r="F1917" i="11"/>
  <c r="F1918" i="11"/>
  <c r="F1919" i="11"/>
  <c r="F1920" i="11"/>
  <c r="F1921" i="11"/>
  <c r="F1922" i="11"/>
  <c r="F1923" i="11"/>
  <c r="F1924" i="11"/>
  <c r="F1925" i="11"/>
  <c r="F1926" i="11"/>
  <c r="F1927" i="11"/>
  <c r="F1928" i="11"/>
  <c r="F1929" i="11"/>
  <c r="F1930" i="11"/>
  <c r="F1931" i="11"/>
  <c r="F1932" i="11"/>
  <c r="F1933" i="11"/>
  <c r="F1934" i="11"/>
  <c r="F1935" i="11"/>
  <c r="F1936" i="11"/>
  <c r="F1937" i="11"/>
  <c r="F1938" i="11"/>
  <c r="F1939" i="11"/>
  <c r="F1940" i="11"/>
  <c r="F1941" i="11"/>
  <c r="F1942" i="11"/>
  <c r="F1943" i="11"/>
  <c r="F1944" i="11"/>
  <c r="F1945" i="11"/>
  <c r="F1946" i="11"/>
  <c r="F1947" i="11"/>
  <c r="F1948" i="11"/>
  <c r="F1949" i="11"/>
  <c r="F1950" i="11"/>
  <c r="F1951" i="11"/>
  <c r="F1952" i="11"/>
  <c r="F1953" i="11"/>
  <c r="F1954" i="11"/>
  <c r="F1955" i="11"/>
  <c r="F1956" i="11"/>
  <c r="F1957" i="11"/>
  <c r="F1958" i="11"/>
  <c r="F1959" i="11"/>
  <c r="F1960" i="11"/>
  <c r="F1961" i="11"/>
  <c r="F1962" i="11"/>
  <c r="F1963" i="11"/>
  <c r="F1964" i="11"/>
  <c r="F1965" i="11"/>
  <c r="F1966" i="11"/>
  <c r="F1967" i="11"/>
  <c r="F1968" i="11"/>
  <c r="F1969" i="11"/>
  <c r="F1970" i="11"/>
  <c r="F1971" i="11"/>
  <c r="F1972" i="11"/>
  <c r="F1973" i="11"/>
  <c r="F1974" i="11"/>
  <c r="F1975" i="11"/>
  <c r="F1976" i="11"/>
  <c r="F1977" i="11"/>
  <c r="F1978" i="11"/>
  <c r="F1979" i="11"/>
  <c r="F1980" i="11"/>
  <c r="F1981" i="11"/>
  <c r="F1982" i="11"/>
  <c r="F1983" i="11"/>
  <c r="F1984" i="11"/>
  <c r="F1985" i="11"/>
  <c r="F1986" i="11"/>
  <c r="F1987" i="11"/>
  <c r="F1988" i="11"/>
  <c r="F1989" i="11"/>
  <c r="F1990" i="11"/>
  <c r="F1991" i="11"/>
  <c r="F1992" i="11"/>
  <c r="F1993" i="11"/>
  <c r="F1994" i="11"/>
  <c r="F1995" i="11"/>
  <c r="F1996" i="11"/>
  <c r="F1997" i="11"/>
  <c r="F1998" i="11"/>
  <c r="F1999" i="11"/>
  <c r="F2000" i="11"/>
  <c r="F2001" i="11"/>
  <c r="F2002" i="11"/>
  <c r="F2003" i="11"/>
  <c r="F2004" i="11"/>
  <c r="F2005" i="11"/>
  <c r="F2006" i="11"/>
  <c r="F2007" i="11"/>
  <c r="F2008" i="11"/>
  <c r="F2009" i="11"/>
  <c r="F2010" i="11"/>
  <c r="F2011" i="11"/>
  <c r="F2012" i="11"/>
  <c r="F2013" i="11"/>
  <c r="F2014" i="11"/>
  <c r="F2015" i="11"/>
  <c r="F2016" i="11"/>
  <c r="F2017" i="11"/>
  <c r="F2018" i="11"/>
  <c r="F2019" i="11"/>
  <c r="F2020" i="11"/>
  <c r="F2021" i="11"/>
  <c r="F2022" i="11"/>
  <c r="F2023" i="11"/>
  <c r="F2024" i="11"/>
  <c r="F2025" i="11"/>
  <c r="F2026" i="11"/>
  <c r="F2027" i="11"/>
  <c r="F2028" i="11"/>
  <c r="F2029" i="11"/>
  <c r="F2030" i="11"/>
  <c r="F2031" i="11"/>
  <c r="F2032" i="11"/>
  <c r="F2033" i="11"/>
  <c r="F2034" i="11"/>
  <c r="F2035" i="11"/>
  <c r="F2036" i="11"/>
  <c r="F2037" i="11"/>
  <c r="F2038" i="11"/>
  <c r="F2039" i="11"/>
  <c r="F2040" i="11"/>
  <c r="F2041" i="11"/>
  <c r="F2042" i="11"/>
  <c r="F2043" i="11"/>
  <c r="F2044" i="11"/>
  <c r="F2045" i="11"/>
  <c r="F2046" i="11"/>
  <c r="F2047" i="11"/>
  <c r="F2048" i="11"/>
  <c r="F2049" i="11"/>
  <c r="F2050" i="11"/>
  <c r="F2051" i="11"/>
  <c r="F2052" i="11"/>
  <c r="F2053" i="11"/>
  <c r="F2054" i="11"/>
  <c r="F2055" i="11"/>
  <c r="F2056" i="11"/>
  <c r="F2057" i="11"/>
  <c r="F2058" i="11"/>
  <c r="F2059" i="11"/>
  <c r="F2060" i="11"/>
  <c r="F2061" i="11"/>
  <c r="F2062" i="11"/>
  <c r="F2063" i="11"/>
  <c r="F2064" i="11"/>
  <c r="F2065" i="11"/>
  <c r="F2066" i="11"/>
  <c r="F2067" i="11"/>
  <c r="F2068" i="11"/>
  <c r="F2069" i="11"/>
  <c r="F2070" i="11"/>
  <c r="F2071" i="11"/>
  <c r="F2072" i="11"/>
  <c r="F2073" i="11"/>
  <c r="F2074" i="11"/>
  <c r="F2075" i="11"/>
  <c r="F2076" i="11"/>
  <c r="F2077" i="11"/>
  <c r="F2078" i="11"/>
  <c r="F2079" i="11"/>
  <c r="F2080" i="11"/>
  <c r="F2081" i="11"/>
  <c r="F2082" i="11"/>
  <c r="F2083" i="11"/>
  <c r="F2084" i="11"/>
  <c r="F2085" i="11"/>
  <c r="F2086" i="11"/>
  <c r="F2087" i="11"/>
  <c r="F2088" i="11"/>
  <c r="F2089" i="11"/>
  <c r="F2090" i="11"/>
  <c r="F2091" i="11"/>
  <c r="F2092" i="11"/>
  <c r="F2093" i="11"/>
  <c r="F2094" i="11"/>
  <c r="F2095" i="11"/>
  <c r="F2096" i="11"/>
  <c r="F2097" i="11"/>
  <c r="F2098" i="11"/>
  <c r="F2099" i="11"/>
  <c r="F2100" i="11"/>
  <c r="F2101" i="11"/>
  <c r="F2102" i="11"/>
  <c r="F2103" i="11"/>
  <c r="F2104" i="11"/>
  <c r="F2105" i="11"/>
  <c r="F2106" i="11"/>
  <c r="F2107" i="11"/>
  <c r="F2108" i="11"/>
  <c r="F2109" i="11"/>
  <c r="F2110" i="11"/>
  <c r="F2111" i="11"/>
  <c r="F2112" i="11"/>
  <c r="F2113" i="11"/>
  <c r="F2114" i="11"/>
  <c r="F2115" i="11"/>
  <c r="F2116" i="11"/>
  <c r="F2117" i="11"/>
  <c r="F2118" i="11"/>
  <c r="F2119" i="11"/>
  <c r="F2120" i="11"/>
  <c r="F2121" i="11"/>
  <c r="F2122" i="11"/>
  <c r="F2123" i="11"/>
  <c r="F2124" i="11"/>
  <c r="F2125" i="11"/>
  <c r="F2126" i="11"/>
  <c r="F2127" i="11"/>
  <c r="F2128" i="11"/>
  <c r="F2129" i="11"/>
  <c r="F2130" i="11"/>
  <c r="F2131" i="11"/>
  <c r="F2132" i="11"/>
  <c r="F2133" i="11"/>
  <c r="F2134" i="11"/>
  <c r="F2135" i="11"/>
  <c r="F2136" i="11"/>
  <c r="F2137" i="11"/>
  <c r="F2138" i="11"/>
  <c r="F2139" i="11"/>
  <c r="F2140" i="11"/>
  <c r="F2141" i="11"/>
  <c r="F2142" i="11"/>
  <c r="F2143" i="11"/>
  <c r="F2144" i="11"/>
  <c r="F2145" i="11"/>
  <c r="F2146" i="11"/>
  <c r="F2147" i="11"/>
  <c r="F2148" i="11"/>
  <c r="F2149" i="11"/>
  <c r="F2150" i="11"/>
  <c r="F2151" i="11"/>
  <c r="F2152" i="11"/>
  <c r="F2153" i="11"/>
  <c r="F2154" i="11"/>
  <c r="F2155" i="11"/>
  <c r="F2156" i="11"/>
  <c r="F2157" i="11"/>
  <c r="F2158" i="11"/>
  <c r="F2159" i="11"/>
  <c r="F2160" i="11"/>
  <c r="F2161" i="11"/>
  <c r="F2162" i="11"/>
  <c r="F2163" i="11"/>
  <c r="F2164" i="11"/>
  <c r="F2165" i="11"/>
  <c r="F2166" i="11"/>
  <c r="F2167" i="11"/>
  <c r="F2168" i="11"/>
  <c r="F2169" i="11"/>
  <c r="F2170" i="11"/>
  <c r="F2171" i="11"/>
  <c r="F2172" i="11"/>
  <c r="F2173" i="11"/>
  <c r="F2174" i="11"/>
  <c r="F2175" i="11"/>
  <c r="F2176" i="11"/>
  <c r="F2177" i="11"/>
  <c r="F2178" i="11"/>
  <c r="F2179" i="11"/>
  <c r="F2180" i="11"/>
  <c r="F2181" i="11"/>
  <c r="F2182" i="11"/>
  <c r="F2183" i="11"/>
  <c r="F2184" i="11"/>
  <c r="F2185" i="11"/>
  <c r="F2186" i="11"/>
  <c r="F2187" i="11"/>
  <c r="F2188" i="11"/>
  <c r="F2189" i="11"/>
  <c r="F2190" i="11"/>
  <c r="F2191" i="11"/>
  <c r="F2192" i="11"/>
  <c r="F2193" i="11"/>
  <c r="F2194" i="11"/>
  <c r="F2195" i="11"/>
  <c r="F2196" i="11"/>
  <c r="F2197" i="11"/>
  <c r="F2198" i="11"/>
  <c r="F2199" i="11"/>
  <c r="F2200" i="11"/>
  <c r="F2201" i="11"/>
  <c r="F2202" i="11"/>
  <c r="F2203" i="11"/>
  <c r="F2204" i="11"/>
  <c r="F2205" i="11"/>
  <c r="F2206" i="11"/>
  <c r="F2207" i="11"/>
  <c r="F2208" i="11"/>
  <c r="F2209" i="11"/>
  <c r="F2210" i="11"/>
  <c r="F2211" i="11"/>
  <c r="F2212" i="11"/>
  <c r="F2213" i="11"/>
  <c r="F2214" i="11"/>
  <c r="F2215" i="11"/>
  <c r="F2216" i="11"/>
  <c r="F2217" i="11"/>
  <c r="F2218" i="11"/>
  <c r="F2219" i="11"/>
  <c r="F2220" i="11"/>
  <c r="F2221" i="11"/>
  <c r="F2222" i="11"/>
  <c r="F2223" i="11"/>
  <c r="F2224" i="11"/>
  <c r="F2225" i="11"/>
  <c r="F2226" i="11"/>
  <c r="F2227" i="11"/>
  <c r="F2228" i="11"/>
  <c r="F2229" i="11"/>
  <c r="F2230" i="11"/>
  <c r="F2231" i="11"/>
  <c r="F2232" i="11"/>
  <c r="F2233" i="11"/>
  <c r="F2234" i="11"/>
  <c r="F2235" i="11"/>
  <c r="F2236" i="11"/>
  <c r="F2237" i="11"/>
  <c r="F2238" i="11"/>
  <c r="F2239" i="11"/>
  <c r="F2240" i="11"/>
  <c r="F2241" i="11"/>
  <c r="F2242" i="11"/>
  <c r="F2243" i="11"/>
  <c r="F2244" i="11"/>
  <c r="F2245" i="11"/>
  <c r="F2246" i="11"/>
  <c r="F2247" i="11"/>
  <c r="F2248" i="11"/>
  <c r="F2249" i="11"/>
  <c r="F2250" i="11"/>
  <c r="F2251" i="11"/>
  <c r="F2252" i="11"/>
  <c r="F2253" i="11"/>
  <c r="F2254" i="11"/>
  <c r="F2255" i="11"/>
  <c r="F2256" i="11"/>
  <c r="F2257" i="11"/>
  <c r="F2258" i="11"/>
  <c r="F2259" i="11"/>
  <c r="F2260" i="11"/>
  <c r="F2261" i="11"/>
  <c r="F2262" i="11"/>
  <c r="F2263" i="11"/>
  <c r="F2264" i="11"/>
  <c r="F2265" i="11"/>
  <c r="F2266" i="11"/>
  <c r="F2267" i="11"/>
  <c r="F2268" i="11"/>
  <c r="F2269" i="11"/>
  <c r="F2270" i="11"/>
  <c r="F2271" i="11"/>
  <c r="F2272" i="11"/>
  <c r="F2273" i="11"/>
  <c r="F2274" i="11"/>
  <c r="F2275" i="11"/>
  <c r="F2276" i="11"/>
  <c r="F2277" i="11"/>
  <c r="F2278" i="11"/>
  <c r="F2279" i="11"/>
  <c r="F2280" i="11"/>
  <c r="F2281" i="11"/>
  <c r="F2282" i="11"/>
  <c r="F2283" i="11"/>
  <c r="F2284" i="11"/>
  <c r="F2285" i="11"/>
  <c r="F2286" i="11"/>
  <c r="F2287" i="11"/>
  <c r="F2288" i="11"/>
  <c r="F2289" i="11"/>
  <c r="F2290" i="11"/>
  <c r="F2291" i="11"/>
  <c r="F2292" i="11"/>
  <c r="F2293" i="11"/>
  <c r="F2294" i="11"/>
  <c r="F2295" i="11"/>
  <c r="F2296" i="11"/>
  <c r="F2297" i="11"/>
  <c r="F2298" i="11"/>
  <c r="F2299" i="11"/>
  <c r="F2300" i="11"/>
  <c r="F2301" i="11"/>
  <c r="F2302" i="11"/>
  <c r="F2303" i="11"/>
  <c r="F2304" i="11"/>
  <c r="F2305" i="11"/>
  <c r="F2306" i="11"/>
  <c r="F2307" i="11"/>
  <c r="F2308" i="11"/>
  <c r="F2309" i="11"/>
  <c r="F2310" i="11"/>
  <c r="F2311" i="11"/>
  <c r="F2312" i="11"/>
  <c r="F2313" i="11"/>
  <c r="F2314" i="11"/>
  <c r="F2315" i="11"/>
  <c r="F2316" i="11"/>
  <c r="F2317" i="11"/>
  <c r="F2318" i="11"/>
  <c r="F2319" i="11"/>
  <c r="F2320" i="11"/>
  <c r="F2321" i="11"/>
  <c r="F2322" i="11"/>
  <c r="F2323" i="11"/>
  <c r="F2324" i="11"/>
  <c r="F2325" i="11"/>
  <c r="F2326" i="11"/>
  <c r="F2327" i="11"/>
  <c r="F2328" i="11"/>
  <c r="F2329" i="11"/>
  <c r="F2330" i="11"/>
  <c r="F2331" i="11"/>
  <c r="F2332" i="11"/>
  <c r="F2333" i="11"/>
  <c r="F2334" i="11"/>
  <c r="F2335" i="11"/>
  <c r="F2336" i="11"/>
  <c r="F2337" i="11"/>
  <c r="F2338" i="11"/>
  <c r="F2339" i="11"/>
  <c r="F2340" i="11"/>
  <c r="F2341" i="11"/>
  <c r="F2342" i="11"/>
  <c r="F2343" i="11"/>
  <c r="F2344" i="11"/>
  <c r="F2345" i="11"/>
  <c r="F2346" i="11"/>
  <c r="F2347" i="11"/>
  <c r="F2348" i="11"/>
  <c r="F2349" i="11"/>
  <c r="F2350" i="11"/>
  <c r="F2351" i="11"/>
  <c r="F2352" i="11"/>
  <c r="F2353" i="11"/>
  <c r="F2354" i="11"/>
  <c r="F2355" i="11"/>
  <c r="F2356" i="11"/>
  <c r="F2357" i="11"/>
  <c r="F2358" i="11"/>
  <c r="F2359" i="11"/>
  <c r="F2360" i="11"/>
  <c r="F2361" i="11"/>
  <c r="F2362" i="11"/>
  <c r="F2363" i="11"/>
  <c r="F2364" i="11"/>
  <c r="F2365" i="11"/>
  <c r="F2366" i="11"/>
  <c r="F2367" i="11"/>
  <c r="F2368" i="11"/>
  <c r="F2369" i="11"/>
  <c r="F2370" i="11"/>
  <c r="F2371" i="11"/>
  <c r="F2372" i="11"/>
  <c r="F2373" i="11"/>
  <c r="F2374" i="11"/>
  <c r="F2375" i="11"/>
  <c r="F2376" i="11"/>
  <c r="F2377" i="11"/>
  <c r="F2378" i="11"/>
  <c r="F2379" i="11"/>
  <c r="F2380" i="11"/>
  <c r="F2381" i="11"/>
  <c r="F2382" i="11"/>
  <c r="F2383" i="11"/>
  <c r="F2384" i="11"/>
  <c r="F2385" i="11"/>
  <c r="F2386" i="11"/>
  <c r="F2387" i="11"/>
  <c r="F2388" i="11"/>
  <c r="F2389" i="11"/>
  <c r="F2390" i="11"/>
  <c r="F2391" i="11"/>
  <c r="F2392" i="11"/>
  <c r="F2393" i="11"/>
  <c r="F2394" i="11"/>
  <c r="F2395" i="11"/>
  <c r="F2396" i="11"/>
  <c r="F2397" i="11"/>
  <c r="F2398" i="11"/>
  <c r="F2399" i="11"/>
  <c r="F2400" i="11"/>
  <c r="F2401" i="11"/>
  <c r="F2402" i="11"/>
  <c r="F2403" i="11"/>
  <c r="F2404" i="11"/>
  <c r="F2405" i="11"/>
  <c r="F2406" i="11"/>
  <c r="F2407" i="11"/>
  <c r="F2408" i="11"/>
  <c r="F2409" i="11"/>
  <c r="F2410" i="11"/>
  <c r="F2411" i="11"/>
  <c r="F2412" i="11"/>
  <c r="F2413" i="11"/>
  <c r="F2414" i="11"/>
  <c r="F2415" i="11"/>
  <c r="F2416" i="11"/>
  <c r="F2417" i="11"/>
  <c r="F2418" i="11"/>
  <c r="F2419" i="11"/>
  <c r="F2420" i="11"/>
  <c r="F2421" i="11"/>
  <c r="F2422" i="11"/>
  <c r="F2423" i="11"/>
  <c r="F2424" i="11"/>
  <c r="F2425" i="11"/>
  <c r="F2426" i="11"/>
  <c r="F2427" i="11"/>
  <c r="F2428" i="11"/>
  <c r="F2429" i="11"/>
  <c r="F2430" i="11"/>
  <c r="F2431" i="11"/>
  <c r="F2432" i="11"/>
  <c r="F2433" i="11"/>
  <c r="F2434" i="11"/>
  <c r="F2435" i="11"/>
  <c r="F2436" i="11"/>
  <c r="F2437" i="11"/>
  <c r="F2438" i="11"/>
  <c r="F2439" i="11"/>
  <c r="F2440" i="11"/>
  <c r="F2441" i="11"/>
  <c r="F2442" i="11"/>
  <c r="F2443" i="11"/>
  <c r="F2444" i="11"/>
  <c r="F2445" i="11"/>
  <c r="F2446" i="11"/>
  <c r="F2447" i="11"/>
  <c r="F2448" i="11"/>
  <c r="F2449" i="11"/>
  <c r="F2450" i="11"/>
  <c r="F2451" i="11"/>
  <c r="F2452" i="11"/>
  <c r="F2453" i="11"/>
  <c r="F2454" i="11"/>
  <c r="F2455" i="11"/>
  <c r="F2456" i="11"/>
  <c r="F2457" i="11"/>
  <c r="F2458" i="11"/>
  <c r="F2459" i="11"/>
  <c r="F2460" i="11"/>
  <c r="F2461" i="11"/>
  <c r="F2462" i="11"/>
  <c r="F2463" i="11"/>
  <c r="F2464" i="11"/>
  <c r="F2465" i="11"/>
  <c r="F2466" i="11"/>
  <c r="F2467" i="11"/>
  <c r="F2468" i="11"/>
  <c r="F2469" i="11"/>
  <c r="F2470" i="11"/>
  <c r="F2471" i="11"/>
  <c r="F2472" i="11"/>
  <c r="F2473" i="11"/>
  <c r="F2474" i="11"/>
  <c r="F2475" i="11"/>
  <c r="F2476" i="11"/>
  <c r="F2477" i="11"/>
  <c r="F2478" i="11"/>
  <c r="F2479" i="11"/>
  <c r="F2480" i="11"/>
  <c r="F2481" i="11"/>
  <c r="F2482" i="11"/>
  <c r="F2483" i="11"/>
  <c r="F26" i="11"/>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467" i="13"/>
  <c r="H468" i="13"/>
  <c r="H469" i="13"/>
  <c r="H470" i="13"/>
  <c r="H471" i="13"/>
  <c r="H472" i="13"/>
  <c r="H473" i="13"/>
  <c r="H474" i="13"/>
  <c r="H475" i="13"/>
  <c r="H476" i="13"/>
  <c r="H477" i="13"/>
  <c r="H478" i="13"/>
  <c r="H479" i="13"/>
  <c r="H480" i="13"/>
  <c r="H481" i="13"/>
  <c r="H482" i="13"/>
  <c r="H483" i="13"/>
  <c r="H484" i="13"/>
  <c r="H485" i="13"/>
  <c r="H486" i="13"/>
  <c r="H487" i="13"/>
  <c r="H488" i="13"/>
  <c r="H489" i="13"/>
  <c r="H490" i="13"/>
  <c r="H491" i="13"/>
  <c r="H492" i="13"/>
  <c r="H493" i="13"/>
  <c r="H494" i="13"/>
  <c r="H495" i="13"/>
  <c r="H496" i="13"/>
  <c r="H497" i="13"/>
  <c r="H498" i="13"/>
  <c r="H499" i="13"/>
  <c r="H500" i="13"/>
  <c r="H501" i="13"/>
  <c r="H502" i="13"/>
  <c r="H26" i="13"/>
  <c r="F23" i="12" l="1"/>
  <c r="K8" i="13" l="1"/>
  <c r="G7" i="5"/>
  <c r="H10" i="7"/>
  <c r="I10" i="7" s="1"/>
  <c r="J10" i="7" s="1"/>
  <c r="K10" i="7" s="1"/>
  <c r="L10" i="7" s="1"/>
  <c r="M10" i="7" s="1"/>
  <c r="N10" i="7" s="1"/>
  <c r="O10" i="7" s="1"/>
  <c r="P10" i="7" s="1"/>
  <c r="Q10" i="7" s="1"/>
  <c r="H8" i="7"/>
  <c r="I8" i="7" s="1"/>
  <c r="H9" i="7"/>
  <c r="I9" i="7" s="1"/>
  <c r="J9" i="7" s="1"/>
  <c r="K9" i="7" s="1"/>
  <c r="H111" i="5"/>
  <c r="L87" i="5"/>
  <c r="L120" i="5"/>
  <c r="L121" i="5"/>
  <c r="L122" i="5"/>
  <c r="L123" i="5"/>
  <c r="L112" i="5"/>
  <c r="L108" i="5"/>
  <c r="L101" i="5"/>
  <c r="L102" i="5"/>
  <c r="L103" i="5"/>
  <c r="L104" i="5"/>
  <c r="L105" i="5"/>
  <c r="L92" i="5"/>
  <c r="L93" i="5"/>
  <c r="L94" i="5"/>
  <c r="L95" i="5"/>
  <c r="L96" i="5"/>
  <c r="L97" i="5"/>
  <c r="L85" i="5"/>
  <c r="L73" i="5"/>
  <c r="L74" i="5"/>
  <c r="L76" i="5"/>
  <c r="F61" i="12" s="1"/>
  <c r="L65" i="5"/>
  <c r="L66" i="5"/>
  <c r="L68" i="5"/>
  <c r="L69" i="5"/>
  <c r="L48" i="5"/>
  <c r="M48" i="5" s="1"/>
  <c r="L49" i="5"/>
  <c r="L50" i="5"/>
  <c r="L51" i="5"/>
  <c r="M51" i="5" s="1"/>
  <c r="L52" i="5"/>
  <c r="L55" i="5"/>
  <c r="L56" i="5"/>
  <c r="L57" i="5"/>
  <c r="L58" i="5"/>
  <c r="L59" i="5"/>
  <c r="L30" i="5"/>
  <c r="L31" i="5"/>
  <c r="L33" i="5"/>
  <c r="J36" i="12" s="1"/>
  <c r="L35" i="5"/>
  <c r="L36" i="5"/>
  <c r="L26" i="5"/>
  <c r="L27" i="5"/>
  <c r="L172" i="2"/>
  <c r="L158" i="2"/>
  <c r="L134" i="2"/>
  <c r="L125" i="2"/>
  <c r="H125" i="2"/>
  <c r="I125" i="2"/>
  <c r="J125" i="2"/>
  <c r="K125" i="2"/>
  <c r="L97" i="2"/>
  <c r="L85" i="2"/>
  <c r="L74" i="2"/>
  <c r="L68" i="2"/>
  <c r="L56" i="2"/>
  <c r="L33" i="2"/>
  <c r="L16" i="2"/>
  <c r="L9" i="2"/>
  <c r="H185" i="2"/>
  <c r="I185" i="2"/>
  <c r="J185" i="2"/>
  <c r="K185" i="2"/>
  <c r="H172" i="2"/>
  <c r="I172" i="2"/>
  <c r="J172" i="2"/>
  <c r="K172" i="2"/>
  <c r="H158" i="2"/>
  <c r="I158" i="2"/>
  <c r="J158" i="2"/>
  <c r="K158" i="2"/>
  <c r="H134" i="2"/>
  <c r="I134" i="2"/>
  <c r="J134" i="2"/>
  <c r="K134" i="2"/>
  <c r="H97" i="2"/>
  <c r="I97" i="2"/>
  <c r="J97" i="2"/>
  <c r="K97" i="2"/>
  <c r="H85" i="2"/>
  <c r="I85" i="2"/>
  <c r="J85" i="2"/>
  <c r="K85" i="2"/>
  <c r="H74" i="2"/>
  <c r="I74" i="2"/>
  <c r="J74" i="2"/>
  <c r="K74" i="2"/>
  <c r="H68" i="2"/>
  <c r="I68" i="2"/>
  <c r="J68" i="2"/>
  <c r="K68" i="2"/>
  <c r="H56" i="2"/>
  <c r="I56" i="2"/>
  <c r="J56" i="2"/>
  <c r="K56" i="2"/>
  <c r="H33" i="2"/>
  <c r="I33" i="2"/>
  <c r="J33" i="2"/>
  <c r="K33" i="2"/>
  <c r="H16" i="2"/>
  <c r="I16" i="2"/>
  <c r="J16" i="2"/>
  <c r="K16" i="2"/>
  <c r="H9" i="2"/>
  <c r="I9" i="2"/>
  <c r="J9" i="2"/>
  <c r="K9" i="2"/>
  <c r="J26" i="9"/>
  <c r="J27" i="9" s="1"/>
  <c r="J28" i="9" s="1"/>
  <c r="I26" i="9"/>
  <c r="I27" i="9" s="1"/>
  <c r="I28" i="9" s="1"/>
  <c r="F25" i="12" l="1"/>
  <c r="F12" i="20"/>
  <c r="L106" i="5"/>
  <c r="L17" i="5"/>
  <c r="L28" i="5"/>
  <c r="G7" i="15" s="1"/>
  <c r="L124" i="5"/>
  <c r="J38" i="12" s="1"/>
  <c r="L18" i="5"/>
  <c r="L19" i="5"/>
  <c r="F8" i="12"/>
  <c r="F60" i="12" s="1"/>
  <c r="L9" i="7"/>
  <c r="M9" i="7" s="1"/>
  <c r="N9" i="7" s="1"/>
  <c r="O9" i="7" s="1"/>
  <c r="P9" i="7" s="1"/>
  <c r="Q9" i="7" s="1"/>
  <c r="J8" i="7"/>
  <c r="K8" i="7" s="1"/>
  <c r="L8" i="7" s="1"/>
  <c r="M8" i="7" s="1"/>
  <c r="N8" i="7" s="1"/>
  <c r="O8" i="7" s="1"/>
  <c r="P8" i="7" s="1"/>
  <c r="Q8" i="7" s="1"/>
  <c r="L75" i="5"/>
  <c r="G21" i="15" s="1"/>
  <c r="L38" i="5"/>
  <c r="L98" i="5"/>
  <c r="L9" i="5"/>
  <c r="L10" i="5"/>
  <c r="L11" i="5"/>
  <c r="L14" i="5"/>
  <c r="L20" i="5"/>
  <c r="L137" i="5"/>
  <c r="L138" i="5"/>
  <c r="L130" i="5"/>
  <c r="L131" i="5"/>
  <c r="M128" i="5" s="1"/>
  <c r="L86" i="5"/>
  <c r="L70" i="5"/>
  <c r="L88" i="5"/>
  <c r="L135" i="2"/>
  <c r="L137" i="2"/>
  <c r="L69" i="2"/>
  <c r="L23" i="2"/>
  <c r="L17" i="2"/>
  <c r="H135" i="2"/>
  <c r="H137" i="2" s="1"/>
  <c r="I135" i="2"/>
  <c r="I137" i="2" s="1"/>
  <c r="J135" i="2"/>
  <c r="J137" i="2" s="1"/>
  <c r="J175" i="2" s="1"/>
  <c r="J178" i="2" s="1"/>
  <c r="K135" i="2"/>
  <c r="K137" i="2" s="1"/>
  <c r="J76" i="2"/>
  <c r="H23" i="2"/>
  <c r="H25" i="2" s="1"/>
  <c r="H27" i="2" s="1"/>
  <c r="H34" i="2" s="1"/>
  <c r="I23" i="2"/>
  <c r="I25" i="2" s="1"/>
  <c r="J23" i="2"/>
  <c r="J25" i="2" s="1"/>
  <c r="J27" i="2" s="1"/>
  <c r="J34" i="2" s="1"/>
  <c r="K23" i="2"/>
  <c r="L76" i="2"/>
  <c r="L98" i="2" s="1"/>
  <c r="I76" i="2"/>
  <c r="I98" i="2" s="1"/>
  <c r="K76" i="2"/>
  <c r="K98" i="2" s="1"/>
  <c r="H76" i="2"/>
  <c r="H98" i="2" s="1"/>
  <c r="H69" i="2"/>
  <c r="I69" i="2"/>
  <c r="J69" i="2"/>
  <c r="K69" i="2"/>
  <c r="H17" i="2"/>
  <c r="I17" i="2"/>
  <c r="J17" i="2"/>
  <c r="K17" i="2"/>
  <c r="M8" i="5" l="1" a="1"/>
  <c r="M8" i="5" s="1"/>
  <c r="L32" i="5"/>
  <c r="G8" i="15" s="1"/>
  <c r="J35" i="12"/>
  <c r="L77" i="5"/>
  <c r="L89" i="5"/>
  <c r="L110" i="5" s="1"/>
  <c r="L175" i="2"/>
  <c r="L178" i="2" s="1"/>
  <c r="L185" i="2" s="1"/>
  <c r="L34" i="5"/>
  <c r="K25" i="2"/>
  <c r="K27" i="2" s="1"/>
  <c r="K34" i="2" s="1"/>
  <c r="L25" i="2"/>
  <c r="L27" i="2" s="1"/>
  <c r="L34" i="2" s="1"/>
  <c r="I27" i="2"/>
  <c r="I34" i="2" s="1"/>
  <c r="J98" i="2"/>
  <c r="K175" i="2"/>
  <c r="K178" i="2" s="1"/>
  <c r="H175" i="2"/>
  <c r="H178" i="2" s="1"/>
  <c r="I175" i="2"/>
  <c r="I178" i="2" s="1"/>
  <c r="L37" i="5" l="1"/>
  <c r="J34" i="12"/>
  <c r="G9" i="15"/>
  <c r="G23" i="15"/>
  <c r="L15" i="5"/>
  <c r="M15" i="5" s="1"/>
  <c r="L39" i="5"/>
  <c r="L16" i="5" l="1"/>
  <c r="G12" i="15"/>
  <c r="F18" i="12"/>
  <c r="N15" i="5"/>
  <c r="G10" i="15"/>
  <c r="G11" i="15"/>
  <c r="O15" i="5" l="1"/>
  <c r="P15" i="5" s="1"/>
  <c r="Q15" i="5" s="1"/>
  <c r="R15" i="5" s="1"/>
  <c r="S15" i="5" l="1"/>
  <c r="T15" i="5" s="1"/>
  <c r="U15" i="5" s="1"/>
  <c r="V15" i="5" s="1"/>
  <c r="F24" i="12"/>
  <c r="F26" i="12" s="1"/>
  <c r="J16" i="9" l="1"/>
  <c r="J15" i="9"/>
  <c r="J14" i="9"/>
  <c r="M14" i="9" s="1"/>
  <c r="J12" i="9"/>
  <c r="J13" i="9"/>
  <c r="J11" i="9"/>
  <c r="J10" i="9"/>
  <c r="M10" i="9" s="1"/>
  <c r="J23" i="9"/>
  <c r="C7" i="20" s="1"/>
  <c r="S10" i="9" l="1"/>
  <c r="T10" i="9"/>
  <c r="M23" i="9"/>
  <c r="U23" i="9"/>
  <c r="M12" i="9"/>
  <c r="U12" i="9"/>
  <c r="M15" i="9"/>
  <c r="U15" i="9"/>
  <c r="U10" i="9"/>
  <c r="U14" i="9"/>
  <c r="M16" i="9"/>
  <c r="U16" i="9"/>
  <c r="M13" i="9"/>
  <c r="U13" i="9"/>
  <c r="M11" i="9"/>
  <c r="U11" i="9"/>
  <c r="S14" i="9"/>
  <c r="T14" i="9"/>
  <c r="H85" i="5"/>
  <c r="I85" i="5"/>
  <c r="J85" i="5"/>
  <c r="K85" i="5"/>
  <c r="H68" i="5"/>
  <c r="I68" i="5"/>
  <c r="J68" i="5"/>
  <c r="K68" i="5"/>
  <c r="H36" i="5"/>
  <c r="I36" i="5"/>
  <c r="J36" i="5"/>
  <c r="K36" i="5"/>
  <c r="U21" i="9" l="1"/>
  <c r="U20" i="9"/>
  <c r="E28" i="9" s="1"/>
  <c r="H28" i="9" s="1"/>
  <c r="J137" i="5"/>
  <c r="H137" i="5"/>
  <c r="I137" i="5"/>
  <c r="T15" i="9"/>
  <c r="S15" i="9"/>
  <c r="S16" i="9"/>
  <c r="T16" i="9"/>
  <c r="T23" i="9"/>
  <c r="S23" i="9"/>
  <c r="T13" i="9"/>
  <c r="S13" i="9"/>
  <c r="T11" i="9"/>
  <c r="S11" i="9"/>
  <c r="S12" i="9"/>
  <c r="T12" i="9"/>
  <c r="K137" i="5"/>
  <c r="L135" i="5" s="1"/>
  <c r="S21" i="9" l="1"/>
  <c r="T21" i="9"/>
  <c r="S20" i="9"/>
  <c r="E26" i="9" s="1"/>
  <c r="H26" i="9" s="1"/>
  <c r="K26" i="9" s="1"/>
  <c r="M26" i="9" s="1"/>
  <c r="T20" i="9"/>
  <c r="E27" i="9" s="1"/>
  <c r="H27" i="9" s="1"/>
  <c r="K27" i="9" s="1"/>
  <c r="M27" i="9" s="1"/>
  <c r="F7" i="20" s="1"/>
  <c r="K28" i="9"/>
  <c r="M28" i="9" s="1"/>
  <c r="F9" i="20" s="1"/>
  <c r="L136" i="5"/>
  <c r="L13" i="5"/>
  <c r="M13" i="5" s="1"/>
  <c r="M135" i="5"/>
  <c r="M137" i="5" s="1"/>
  <c r="F8" i="20" l="1"/>
  <c r="C26" i="20"/>
  <c r="C27" i="20" s="1"/>
  <c r="C24" i="20"/>
  <c r="C25" i="20" s="1"/>
  <c r="M68" i="5"/>
  <c r="M138" i="5"/>
  <c r="N135" i="5"/>
  <c r="N137" i="5" s="1"/>
  <c r="O135" i="5" l="1"/>
  <c r="O137" i="5" s="1"/>
  <c r="N68" i="5"/>
  <c r="P135" i="5" l="1"/>
  <c r="P137" i="5" s="1"/>
  <c r="Q135" i="5" s="1"/>
  <c r="Q137" i="5" s="1"/>
  <c r="O68" i="5"/>
  <c r="R135" i="5" l="1"/>
  <c r="R137" i="5" s="1"/>
  <c r="Q68" i="5"/>
  <c r="P68" i="5"/>
  <c r="I7" i="7"/>
  <c r="H112" i="5"/>
  <c r="I112" i="5"/>
  <c r="J112" i="5"/>
  <c r="K112" i="5"/>
  <c r="H108" i="5"/>
  <c r="I108" i="5"/>
  <c r="J108" i="5"/>
  <c r="K108" i="5"/>
  <c r="H87" i="5"/>
  <c r="I87" i="5"/>
  <c r="J87" i="5"/>
  <c r="K87" i="5"/>
  <c r="H123" i="5"/>
  <c r="I123" i="5"/>
  <c r="J123" i="5"/>
  <c r="K123" i="5"/>
  <c r="H122" i="5"/>
  <c r="I122" i="5"/>
  <c r="J122" i="5"/>
  <c r="K122" i="5"/>
  <c r="H121" i="5"/>
  <c r="I121" i="5"/>
  <c r="J121" i="5"/>
  <c r="K121" i="5"/>
  <c r="H120" i="5"/>
  <c r="I120" i="5"/>
  <c r="J120" i="5"/>
  <c r="K120" i="5"/>
  <c r="H103" i="5"/>
  <c r="I103" i="5"/>
  <c r="J103" i="5"/>
  <c r="K103" i="5"/>
  <c r="H104" i="5"/>
  <c r="I104" i="5"/>
  <c r="J104" i="5"/>
  <c r="K104" i="5"/>
  <c r="H101" i="5"/>
  <c r="I101" i="5"/>
  <c r="J101" i="5"/>
  <c r="K101" i="5"/>
  <c r="H105" i="5"/>
  <c r="I105" i="5"/>
  <c r="J105" i="5"/>
  <c r="K105" i="5"/>
  <c r="H102" i="5"/>
  <c r="I102" i="5"/>
  <c r="J102" i="5"/>
  <c r="K102" i="5"/>
  <c r="R68" i="5" l="1"/>
  <c r="S135" i="5"/>
  <c r="S137" i="5" s="1"/>
  <c r="J7" i="7"/>
  <c r="K7" i="7" s="1"/>
  <c r="L7" i="7" s="1"/>
  <c r="M7" i="7" s="1"/>
  <c r="N7" i="7" s="1"/>
  <c r="O7" i="7" s="1"/>
  <c r="P7" i="7" s="1"/>
  <c r="Q7" i="7" s="1"/>
  <c r="H106" i="5"/>
  <c r="K124" i="5"/>
  <c r="K106" i="5"/>
  <c r="J106" i="5"/>
  <c r="I106" i="5"/>
  <c r="H124" i="5"/>
  <c r="I124" i="5"/>
  <c r="J124" i="5"/>
  <c r="H95" i="5"/>
  <c r="I95" i="5"/>
  <c r="J95" i="5"/>
  <c r="K95" i="5"/>
  <c r="H97" i="5"/>
  <c r="I97" i="5"/>
  <c r="J97" i="5"/>
  <c r="K97" i="5"/>
  <c r="H96" i="5"/>
  <c r="I96" i="5"/>
  <c r="J96" i="5"/>
  <c r="K96" i="5"/>
  <c r="H94" i="5"/>
  <c r="I94" i="5"/>
  <c r="J94" i="5"/>
  <c r="K94" i="5"/>
  <c r="H93" i="5"/>
  <c r="I93" i="5"/>
  <c r="J93" i="5"/>
  <c r="K93" i="5"/>
  <c r="H92" i="5"/>
  <c r="I92" i="5"/>
  <c r="J92" i="5"/>
  <c r="K92" i="5"/>
  <c r="H76" i="5"/>
  <c r="I76" i="5"/>
  <c r="J76" i="5"/>
  <c r="K76" i="5"/>
  <c r="H74" i="5"/>
  <c r="I74" i="5"/>
  <c r="J74" i="5"/>
  <c r="K74" i="5"/>
  <c r="H73" i="5"/>
  <c r="I73" i="5"/>
  <c r="J73" i="5"/>
  <c r="K73" i="5"/>
  <c r="H59" i="5"/>
  <c r="I59" i="5"/>
  <c r="J59" i="5"/>
  <c r="K59" i="5"/>
  <c r="M59" i="5" s="1"/>
  <c r="N59" i="5" s="1"/>
  <c r="O59" i="5" s="1"/>
  <c r="P59" i="5" s="1"/>
  <c r="Q59" i="5" s="1"/>
  <c r="R59" i="5" s="1"/>
  <c r="S59" i="5" s="1"/>
  <c r="T59" i="5" s="1"/>
  <c r="U59" i="5" s="1"/>
  <c r="V59" i="5" s="1"/>
  <c r="H69" i="5"/>
  <c r="I69" i="5"/>
  <c r="J69" i="5"/>
  <c r="K69" i="5"/>
  <c r="M69" i="5" s="1"/>
  <c r="N69" i="5" s="1"/>
  <c r="O69" i="5" s="1"/>
  <c r="P69" i="5" s="1"/>
  <c r="Q69" i="5" s="1"/>
  <c r="R69" i="5" s="1"/>
  <c r="S69" i="5" s="1"/>
  <c r="T69" i="5" s="1"/>
  <c r="U69" i="5" s="1"/>
  <c r="V69" i="5" s="1"/>
  <c r="H66" i="5"/>
  <c r="I66" i="5"/>
  <c r="J66" i="5"/>
  <c r="K66" i="5"/>
  <c r="M66" i="5" s="1"/>
  <c r="H65" i="5"/>
  <c r="I65" i="5"/>
  <c r="J65" i="5"/>
  <c r="K65" i="5"/>
  <c r="G30" i="15" l="1"/>
  <c r="J88" i="5"/>
  <c r="H38" i="12"/>
  <c r="I88" i="5"/>
  <c r="G38" i="12"/>
  <c r="H88" i="5"/>
  <c r="F38" i="12"/>
  <c r="T135" i="5"/>
  <c r="T137" i="5" s="1"/>
  <c r="S68" i="5"/>
  <c r="K88" i="5"/>
  <c r="I38" i="12"/>
  <c r="M76" i="5"/>
  <c r="N76" i="5" s="1"/>
  <c r="O76" i="5" s="1"/>
  <c r="P76" i="5" s="1"/>
  <c r="Q76" i="5" s="1"/>
  <c r="R76" i="5" s="1"/>
  <c r="S76" i="5" s="1"/>
  <c r="T76" i="5" s="1"/>
  <c r="U76" i="5" s="1"/>
  <c r="V76" i="5" s="1"/>
  <c r="N66" i="5"/>
  <c r="M73" i="5"/>
  <c r="H75" i="5"/>
  <c r="J135" i="5"/>
  <c r="I135" i="5"/>
  <c r="K135" i="5"/>
  <c r="K75" i="5"/>
  <c r="G14" i="15" s="1"/>
  <c r="I98" i="5"/>
  <c r="J75" i="5"/>
  <c r="K98" i="5"/>
  <c r="H98" i="5"/>
  <c r="J98" i="5"/>
  <c r="I75" i="5"/>
  <c r="I70" i="5"/>
  <c r="J70" i="5"/>
  <c r="K70" i="5"/>
  <c r="H70" i="5"/>
  <c r="D21" i="15" l="1"/>
  <c r="F21" i="15"/>
  <c r="T68" i="5"/>
  <c r="U135" i="5"/>
  <c r="U137" i="5" s="1"/>
  <c r="E21" i="15"/>
  <c r="C21" i="15"/>
  <c r="H77" i="5"/>
  <c r="I77" i="5"/>
  <c r="O66" i="5"/>
  <c r="N73" i="5"/>
  <c r="H136" i="5"/>
  <c r="I136" i="5"/>
  <c r="K136" i="5"/>
  <c r="J136" i="5"/>
  <c r="K77" i="5"/>
  <c r="J77" i="5"/>
  <c r="U68" i="5" l="1"/>
  <c r="V135" i="5"/>
  <c r="V137" i="5" s="1"/>
  <c r="P66" i="5"/>
  <c r="Q66" i="5" s="1"/>
  <c r="R66" i="5" s="1"/>
  <c r="S66" i="5" s="1"/>
  <c r="T66" i="5" s="1"/>
  <c r="U66" i="5" s="1"/>
  <c r="V66" i="5" s="1"/>
  <c r="O73" i="5"/>
  <c r="H55" i="5"/>
  <c r="H131" i="5" s="1"/>
  <c r="I55" i="5"/>
  <c r="I131" i="5" s="1"/>
  <c r="J128" i="5" s="1"/>
  <c r="J55" i="5"/>
  <c r="J131" i="5" s="1"/>
  <c r="K128" i="5" s="1"/>
  <c r="K55" i="5"/>
  <c r="H58" i="5"/>
  <c r="I58" i="5"/>
  <c r="J58" i="5"/>
  <c r="K58" i="5"/>
  <c r="M58" i="5" s="1"/>
  <c r="N58" i="5" s="1"/>
  <c r="O58" i="5" s="1"/>
  <c r="P58" i="5" s="1"/>
  <c r="Q58" i="5" s="1"/>
  <c r="R58" i="5" s="1"/>
  <c r="S58" i="5" s="1"/>
  <c r="T58" i="5" s="1"/>
  <c r="U58" i="5" s="1"/>
  <c r="V58" i="5" s="1"/>
  <c r="H57" i="5"/>
  <c r="I57" i="5"/>
  <c r="J57" i="5"/>
  <c r="K57" i="5"/>
  <c r="H56" i="5"/>
  <c r="I56" i="5"/>
  <c r="J56" i="5"/>
  <c r="K56" i="5"/>
  <c r="M56" i="5" s="1"/>
  <c r="N56" i="5" s="1"/>
  <c r="O56" i="5" s="1"/>
  <c r="P56" i="5" s="1"/>
  <c r="Q56" i="5" s="1"/>
  <c r="R56" i="5" s="1"/>
  <c r="S56" i="5" s="1"/>
  <c r="T56" i="5" s="1"/>
  <c r="U56" i="5" s="1"/>
  <c r="V56" i="5" s="1"/>
  <c r="H52" i="5"/>
  <c r="I52" i="5"/>
  <c r="J52" i="5"/>
  <c r="K52" i="5"/>
  <c r="H51" i="5"/>
  <c r="I51" i="5"/>
  <c r="J51" i="5"/>
  <c r="K51" i="5"/>
  <c r="N51" i="5" s="1"/>
  <c r="O51" i="5" s="1"/>
  <c r="P51" i="5" s="1"/>
  <c r="Q51" i="5" s="1"/>
  <c r="R51" i="5" s="1"/>
  <c r="S51" i="5" s="1"/>
  <c r="T51" i="5" s="1"/>
  <c r="U51" i="5" s="1"/>
  <c r="V51" i="5" s="1"/>
  <c r="H50" i="5"/>
  <c r="I50" i="5"/>
  <c r="J50" i="5"/>
  <c r="K50" i="5"/>
  <c r="H49" i="5"/>
  <c r="I49" i="5"/>
  <c r="J49" i="5"/>
  <c r="K49" i="5"/>
  <c r="H48" i="5"/>
  <c r="I48" i="5"/>
  <c r="J48" i="5"/>
  <c r="K48" i="5"/>
  <c r="K131" i="5" l="1"/>
  <c r="L128" i="5" s="1"/>
  <c r="G27" i="15"/>
  <c r="V68" i="5"/>
  <c r="G29" i="15"/>
  <c r="G28" i="15"/>
  <c r="I128" i="5"/>
  <c r="L129" i="5"/>
  <c r="J37" i="12" s="1"/>
  <c r="J40" i="12" s="1"/>
  <c r="L12" i="5"/>
  <c r="M57" i="5"/>
  <c r="N57" i="5" s="1"/>
  <c r="M52" i="5"/>
  <c r="N52" i="5" s="1"/>
  <c r="N123" i="5" s="1"/>
  <c r="M94" i="5"/>
  <c r="P73" i="5"/>
  <c r="Q73" i="5" s="1"/>
  <c r="R73" i="5" s="1"/>
  <c r="S73" i="5" s="1"/>
  <c r="T73" i="5" s="1"/>
  <c r="U73" i="5" s="1"/>
  <c r="V73" i="5" s="1"/>
  <c r="J38" i="5"/>
  <c r="K38" i="5"/>
  <c r="H35" i="5"/>
  <c r="I35" i="5"/>
  <c r="J35" i="5"/>
  <c r="K35" i="5"/>
  <c r="H33" i="5"/>
  <c r="F36" i="12" s="1"/>
  <c r="I33" i="5"/>
  <c r="G36" i="12" s="1"/>
  <c r="J33" i="5"/>
  <c r="K33" i="5"/>
  <c r="H30" i="5"/>
  <c r="I30" i="5"/>
  <c r="J30" i="5"/>
  <c r="K30" i="5"/>
  <c r="H31" i="5"/>
  <c r="I31" i="5"/>
  <c r="J31" i="5"/>
  <c r="K31" i="5"/>
  <c r="H27" i="5"/>
  <c r="H18" i="5" s="1"/>
  <c r="I27" i="5"/>
  <c r="J27" i="5"/>
  <c r="K27" i="5"/>
  <c r="H26" i="5"/>
  <c r="I26" i="5"/>
  <c r="J26" i="5"/>
  <c r="K26" i="5"/>
  <c r="I2" i="5"/>
  <c r="D27" i="15" l="1"/>
  <c r="F27" i="15"/>
  <c r="E27" i="15"/>
  <c r="K12" i="5"/>
  <c r="I36" i="12"/>
  <c r="H14" i="5"/>
  <c r="J14" i="5"/>
  <c r="E29" i="15"/>
  <c r="D29" i="15"/>
  <c r="F28" i="15"/>
  <c r="F30" i="15"/>
  <c r="K19" i="5"/>
  <c r="D30" i="15"/>
  <c r="D28" i="15"/>
  <c r="I19" i="5"/>
  <c r="L8" i="5"/>
  <c r="F29" i="15"/>
  <c r="E28" i="15"/>
  <c r="E30" i="15"/>
  <c r="J19" i="5"/>
  <c r="I35" i="12"/>
  <c r="H35" i="12"/>
  <c r="I18" i="5"/>
  <c r="J12" i="5"/>
  <c r="H36" i="12"/>
  <c r="J17" i="5"/>
  <c r="K17" i="5"/>
  <c r="K18" i="5"/>
  <c r="I17" i="5"/>
  <c r="J2" i="5"/>
  <c r="G32" i="12"/>
  <c r="J18" i="5"/>
  <c r="I12" i="5"/>
  <c r="M123" i="5"/>
  <c r="O57" i="5"/>
  <c r="O94" i="5" s="1"/>
  <c r="N94" i="5"/>
  <c r="O52" i="5"/>
  <c r="K14" i="5"/>
  <c r="N48" i="5"/>
  <c r="I20" i="5"/>
  <c r="I14" i="5"/>
  <c r="J8" i="5"/>
  <c r="J20" i="5"/>
  <c r="H20" i="5"/>
  <c r="H9" i="5"/>
  <c r="H19" i="5"/>
  <c r="K20" i="5"/>
  <c r="M20" i="5" s="1"/>
  <c r="N20" i="5" s="1"/>
  <c r="O20" i="5" s="1"/>
  <c r="P20" i="5" s="1"/>
  <c r="Q20" i="5" s="1"/>
  <c r="R20" i="5" s="1"/>
  <c r="S20" i="5" s="1"/>
  <c r="T20" i="5" s="1"/>
  <c r="U20" i="5" s="1"/>
  <c r="V20" i="5" s="1"/>
  <c r="H17" i="5"/>
  <c r="J11" i="5"/>
  <c r="J10" i="5"/>
  <c r="K138" i="5"/>
  <c r="K13" i="5"/>
  <c r="I8" i="5"/>
  <c r="K9" i="5"/>
  <c r="I11" i="5"/>
  <c r="I10" i="5"/>
  <c r="J138" i="5"/>
  <c r="J13" i="5"/>
  <c r="J9" i="5"/>
  <c r="H10" i="5"/>
  <c r="I138" i="5"/>
  <c r="I13" i="5"/>
  <c r="H11" i="5"/>
  <c r="K8" i="5"/>
  <c r="I9" i="5"/>
  <c r="K11" i="5"/>
  <c r="K10" i="5"/>
  <c r="H138" i="5"/>
  <c r="J86" i="5"/>
  <c r="J130" i="5"/>
  <c r="J129" i="5" s="1"/>
  <c r="H37" i="12" s="1"/>
  <c r="I86" i="5"/>
  <c r="I130" i="5"/>
  <c r="I129" i="5" s="1"/>
  <c r="K86" i="5"/>
  <c r="K130" i="5"/>
  <c r="K129" i="5" s="1"/>
  <c r="I37" i="12" s="1"/>
  <c r="H86" i="5"/>
  <c r="H130" i="5"/>
  <c r="I28" i="5"/>
  <c r="H28" i="5"/>
  <c r="J28" i="5"/>
  <c r="K28" i="5"/>
  <c r="M11" i="5" l="1"/>
  <c r="N11" i="5" s="1"/>
  <c r="O11" i="5" s="1"/>
  <c r="P11" i="5" s="1"/>
  <c r="Q11" i="5" s="1"/>
  <c r="R11" i="5" s="1"/>
  <c r="S11" i="5" s="1"/>
  <c r="T11" i="5" s="1"/>
  <c r="U11" i="5" s="1"/>
  <c r="V11" i="5" s="1"/>
  <c r="M18" i="5"/>
  <c r="N18" i="5" s="1"/>
  <c r="O18" i="5" s="1"/>
  <c r="P18" i="5" s="1"/>
  <c r="Q18" i="5" s="1"/>
  <c r="R18" i="5" s="1"/>
  <c r="S18" i="5" s="1"/>
  <c r="T18" i="5" s="1"/>
  <c r="U18" i="5" s="1"/>
  <c r="V18" i="5" s="1"/>
  <c r="G37" i="12"/>
  <c r="M129" i="5"/>
  <c r="N129" i="5" s="1"/>
  <c r="O129" i="5" s="1"/>
  <c r="P129" i="5" s="1"/>
  <c r="Q129" i="5" s="1"/>
  <c r="R129" i="5" s="1"/>
  <c r="S129" i="5" s="1"/>
  <c r="T129" i="5" s="1"/>
  <c r="U129" i="5" s="1"/>
  <c r="V129" i="5" s="1"/>
  <c r="N13" i="5"/>
  <c r="O13" i="5" s="1"/>
  <c r="P13" i="5" s="1"/>
  <c r="Q13" i="5" s="1"/>
  <c r="J32" i="5"/>
  <c r="E7" i="15"/>
  <c r="M9" i="5"/>
  <c r="N9" i="5" s="1"/>
  <c r="O9" i="5" s="1"/>
  <c r="P9" i="5" s="1"/>
  <c r="Q9" i="5" s="1"/>
  <c r="R9" i="5" s="1"/>
  <c r="S9" i="5" s="1"/>
  <c r="T9" i="5" s="1"/>
  <c r="U9" i="5" s="1"/>
  <c r="V9" i="5" s="1"/>
  <c r="K32" i="5"/>
  <c r="F7" i="15"/>
  <c r="K2" i="5"/>
  <c r="H32" i="12"/>
  <c r="H32" i="5"/>
  <c r="C7" i="15"/>
  <c r="I32" i="5"/>
  <c r="D7" i="15"/>
  <c r="M14" i="5"/>
  <c r="N14" i="5" s="1"/>
  <c r="O14" i="5" s="1"/>
  <c r="P14" i="5" s="1"/>
  <c r="Q14" i="5" s="1"/>
  <c r="R14" i="5" s="1"/>
  <c r="S14" i="5" s="1"/>
  <c r="T14" i="5" s="1"/>
  <c r="U14" i="5" s="1"/>
  <c r="V14" i="5" s="1"/>
  <c r="M19" i="5"/>
  <c r="N19" i="5" s="1"/>
  <c r="O19" i="5" s="1"/>
  <c r="P19" i="5" s="1"/>
  <c r="Q19" i="5" s="1"/>
  <c r="R19" i="5" s="1"/>
  <c r="S19" i="5" s="1"/>
  <c r="T19" i="5" s="1"/>
  <c r="U19" i="5" s="1"/>
  <c r="V19" i="5" s="1"/>
  <c r="M17" i="5"/>
  <c r="M10" i="5"/>
  <c r="N10" i="5" s="1"/>
  <c r="O10" i="5" s="1"/>
  <c r="P10" i="5" s="1"/>
  <c r="Q10" i="5" s="1"/>
  <c r="R10" i="5" s="1"/>
  <c r="S10" i="5" s="1"/>
  <c r="T10" i="5" s="1"/>
  <c r="U10" i="5" s="1"/>
  <c r="V10" i="5" s="1"/>
  <c r="P52" i="5"/>
  <c r="O123" i="5"/>
  <c r="P57" i="5"/>
  <c r="O48" i="5"/>
  <c r="H38" i="5"/>
  <c r="I38" i="5"/>
  <c r="I4" i="2"/>
  <c r="J4" i="2" s="1"/>
  <c r="K4" i="2" s="1"/>
  <c r="P94" i="5" l="1"/>
  <c r="Q57" i="5"/>
  <c r="Q94" i="5"/>
  <c r="P123" i="5"/>
  <c r="Q52" i="5"/>
  <c r="Q123" i="5" s="1"/>
  <c r="H34" i="5"/>
  <c r="C8" i="15"/>
  <c r="J34" i="5"/>
  <c r="E8" i="15"/>
  <c r="F35" i="12"/>
  <c r="M2" i="5"/>
  <c r="I32" i="12"/>
  <c r="R13" i="5"/>
  <c r="Q138" i="5"/>
  <c r="K34" i="5"/>
  <c r="F8" i="15"/>
  <c r="K37" i="12"/>
  <c r="I34" i="5"/>
  <c r="D8" i="15"/>
  <c r="N17" i="5"/>
  <c r="G35" i="12"/>
  <c r="N138" i="5"/>
  <c r="F19" i="12"/>
  <c r="P138" i="5"/>
  <c r="P35" i="5" s="1"/>
  <c r="O138" i="5"/>
  <c r="P48" i="5"/>
  <c r="Q48" i="5" s="1"/>
  <c r="R48" i="5" s="1"/>
  <c r="S48" i="5" s="1"/>
  <c r="T48" i="5" s="1"/>
  <c r="U48" i="5" s="1"/>
  <c r="V48" i="5" s="1"/>
  <c r="S13" i="5" l="1"/>
  <c r="R138" i="5"/>
  <c r="O17" i="5"/>
  <c r="G34" i="12"/>
  <c r="G40" i="12" s="1"/>
  <c r="D9" i="15"/>
  <c r="D23" i="15"/>
  <c r="I37" i="5"/>
  <c r="Q35" i="5"/>
  <c r="Q105" i="5"/>
  <c r="R52" i="5"/>
  <c r="R123" i="5" s="1"/>
  <c r="R57" i="5"/>
  <c r="R94" i="5" s="1"/>
  <c r="N2" i="5"/>
  <c r="K32" i="12"/>
  <c r="H34" i="12"/>
  <c r="H40" i="12" s="1"/>
  <c r="E9" i="15"/>
  <c r="E23" i="15"/>
  <c r="J37" i="5"/>
  <c r="F34" i="12"/>
  <c r="F40" i="12" s="1"/>
  <c r="C23" i="15"/>
  <c r="C9" i="15"/>
  <c r="H37" i="5"/>
  <c r="L37" i="12"/>
  <c r="I34" i="12"/>
  <c r="I40" i="12" s="1"/>
  <c r="F9" i="15"/>
  <c r="F23" i="15"/>
  <c r="K37" i="5"/>
  <c r="P105" i="5"/>
  <c r="N105" i="5"/>
  <c r="N35" i="5"/>
  <c r="M35" i="5"/>
  <c r="M105" i="5"/>
  <c r="O105" i="5"/>
  <c r="O35" i="5"/>
  <c r="K89" i="5"/>
  <c r="K110" i="5" s="1"/>
  <c r="J89" i="5"/>
  <c r="J110" i="5" s="1"/>
  <c r="H89" i="5"/>
  <c r="H110" i="5" s="1"/>
  <c r="I89" i="5"/>
  <c r="I110" i="5" s="1"/>
  <c r="O2" i="5" l="1"/>
  <c r="L32" i="12"/>
  <c r="F10" i="15"/>
  <c r="F11" i="15"/>
  <c r="K15" i="5"/>
  <c r="K39" i="5"/>
  <c r="S52" i="5"/>
  <c r="S123" i="5" s="1"/>
  <c r="E10" i="15"/>
  <c r="E11" i="15"/>
  <c r="J39" i="5"/>
  <c r="J15" i="5"/>
  <c r="M37" i="12"/>
  <c r="C10" i="15"/>
  <c r="H39" i="5"/>
  <c r="H15" i="5"/>
  <c r="C11" i="15"/>
  <c r="D10" i="15"/>
  <c r="I39" i="5"/>
  <c r="I15" i="5"/>
  <c r="D11" i="15"/>
  <c r="P17" i="5"/>
  <c r="R35" i="5"/>
  <c r="R105" i="5"/>
  <c r="S57" i="5"/>
  <c r="S94" i="5" s="1"/>
  <c r="T13" i="5"/>
  <c r="S138" i="5"/>
  <c r="M26" i="5"/>
  <c r="H113" i="5"/>
  <c r="D14" i="15" l="1"/>
  <c r="E14" i="15"/>
  <c r="F14" i="15"/>
  <c r="M27" i="5"/>
  <c r="M28" i="5" s="1"/>
  <c r="H7" i="15" s="1"/>
  <c r="N37" i="12"/>
  <c r="S105" i="5"/>
  <c r="S35" i="5"/>
  <c r="U13" i="5"/>
  <c r="T138" i="5"/>
  <c r="Q17" i="5"/>
  <c r="T52" i="5"/>
  <c r="T123" i="5" s="1"/>
  <c r="T57" i="5"/>
  <c r="F12" i="15"/>
  <c r="K16" i="5"/>
  <c r="E12" i="15"/>
  <c r="J16" i="5"/>
  <c r="D12" i="15"/>
  <c r="I16" i="5"/>
  <c r="C12" i="15"/>
  <c r="H16" i="5"/>
  <c r="P2" i="5"/>
  <c r="M32" i="12"/>
  <c r="M36" i="5"/>
  <c r="M30" i="5"/>
  <c r="M31" i="5"/>
  <c r="I111" i="5"/>
  <c r="I113" i="5" s="1"/>
  <c r="H47" i="5"/>
  <c r="M16" i="5" l="1"/>
  <c r="N16" i="5" s="1"/>
  <c r="O16" i="5" s="1"/>
  <c r="P16" i="5" s="1"/>
  <c r="Q16" i="5" s="1"/>
  <c r="R16" i="5" s="1"/>
  <c r="S16" i="5" s="1"/>
  <c r="T16" i="5" s="1"/>
  <c r="U16" i="5" s="1"/>
  <c r="V16" i="5" s="1"/>
  <c r="U57" i="5"/>
  <c r="U94" i="5" s="1"/>
  <c r="U52" i="5"/>
  <c r="U123" i="5" s="1"/>
  <c r="N32" i="12"/>
  <c r="Q2" i="5"/>
  <c r="T94" i="5"/>
  <c r="R17" i="5"/>
  <c r="H60" i="5"/>
  <c r="C17" i="15"/>
  <c r="C18" i="15"/>
  <c r="T105" i="5"/>
  <c r="T35" i="5"/>
  <c r="V13" i="5"/>
  <c r="V138" i="5" s="1"/>
  <c r="U138" i="5"/>
  <c r="Q92" i="5"/>
  <c r="O37" i="12"/>
  <c r="N92" i="5"/>
  <c r="M92" i="5"/>
  <c r="M97" i="5"/>
  <c r="M87" i="5"/>
  <c r="M32" i="5"/>
  <c r="H8" i="15" s="1"/>
  <c r="I47" i="5"/>
  <c r="J111" i="5"/>
  <c r="J113" i="5" s="1"/>
  <c r="S17" i="5" l="1"/>
  <c r="V35" i="5"/>
  <c r="V105" i="5"/>
  <c r="H79" i="5"/>
  <c r="H3" i="5" s="1"/>
  <c r="C22" i="15"/>
  <c r="R92" i="5"/>
  <c r="P37" i="12"/>
  <c r="V52" i="5"/>
  <c r="V123" i="5" s="1"/>
  <c r="O32" i="12"/>
  <c r="R2" i="5"/>
  <c r="I60" i="5"/>
  <c r="D17" i="15"/>
  <c r="D18" i="15"/>
  <c r="U35" i="5"/>
  <c r="U105" i="5"/>
  <c r="V57" i="5"/>
  <c r="V94" i="5" s="1"/>
  <c r="M98" i="5"/>
  <c r="M130" i="5"/>
  <c r="M33" i="5" s="1"/>
  <c r="K36" i="12" s="1"/>
  <c r="K111" i="5"/>
  <c r="K113" i="5" s="1"/>
  <c r="L111" i="5" s="1"/>
  <c r="L113" i="5" s="1"/>
  <c r="J47" i="5"/>
  <c r="D13" i="15" l="1"/>
  <c r="D26" i="15"/>
  <c r="J60" i="5"/>
  <c r="E13" i="15" s="1"/>
  <c r="E17" i="15"/>
  <c r="E18" i="15"/>
  <c r="Q37" i="12"/>
  <c r="S92" i="5"/>
  <c r="T17" i="5"/>
  <c r="I79" i="5"/>
  <c r="I3" i="5" s="1"/>
  <c r="D22" i="15"/>
  <c r="P32" i="12"/>
  <c r="S2" i="5"/>
  <c r="P92" i="5"/>
  <c r="O92" i="5"/>
  <c r="M86" i="5"/>
  <c r="M131" i="5"/>
  <c r="K47" i="5"/>
  <c r="M34" i="5"/>
  <c r="E26" i="15" l="1"/>
  <c r="U17" i="5"/>
  <c r="J79" i="5"/>
  <c r="J3" i="5" s="1"/>
  <c r="E22" i="15"/>
  <c r="R37" i="12"/>
  <c r="T92" i="5"/>
  <c r="F17" i="15"/>
  <c r="F18" i="15"/>
  <c r="Q32" i="12"/>
  <c r="T2" i="5"/>
  <c r="K34" i="12"/>
  <c r="H9" i="15"/>
  <c r="H23" i="15"/>
  <c r="L47" i="5"/>
  <c r="N128" i="5"/>
  <c r="M55" i="5"/>
  <c r="H27" i="15" s="1"/>
  <c r="K60" i="5"/>
  <c r="F26" i="15" s="1"/>
  <c r="M37" i="5"/>
  <c r="F13" i="15" l="1"/>
  <c r="L60" i="5"/>
  <c r="G17" i="15"/>
  <c r="G18" i="15"/>
  <c r="K79" i="5"/>
  <c r="K3" i="5" s="1"/>
  <c r="F22" i="15"/>
  <c r="V17" i="5"/>
  <c r="S37" i="12"/>
  <c r="U92" i="5"/>
  <c r="R32" i="12"/>
  <c r="U2" i="5"/>
  <c r="M38" i="5"/>
  <c r="H10" i="15"/>
  <c r="M111" i="5"/>
  <c r="N130" i="5"/>
  <c r="N33" i="5" s="1"/>
  <c r="G26" i="15" l="1"/>
  <c r="G13" i="15"/>
  <c r="T37" i="12"/>
  <c r="V92" i="5"/>
  <c r="L79" i="5"/>
  <c r="L3" i="5" s="1"/>
  <c r="G22" i="15"/>
  <c r="S32" i="12"/>
  <c r="V2" i="5"/>
  <c r="T32" i="12" s="1"/>
  <c r="L36" i="12"/>
  <c r="M39" i="5"/>
  <c r="K35" i="12"/>
  <c r="H11" i="15"/>
  <c r="N131" i="5"/>
  <c r="N86" i="5"/>
  <c r="M104" i="5" l="1"/>
  <c r="M106" i="5" s="1"/>
  <c r="H12" i="15"/>
  <c r="M85" i="5"/>
  <c r="N55" i="5"/>
  <c r="O128" i="5"/>
  <c r="M74" i="5" l="1"/>
  <c r="M75" i="5" s="1"/>
  <c r="H21" i="15" s="1"/>
  <c r="O130" i="5"/>
  <c r="O33" i="5" s="1"/>
  <c r="H14" i="15" l="1"/>
  <c r="M36" i="12"/>
  <c r="O86" i="5"/>
  <c r="O131" i="5"/>
  <c r="O55" i="5" l="1"/>
  <c r="P128" i="5"/>
  <c r="P130" i="5" l="1"/>
  <c r="P33" i="5" l="1"/>
  <c r="P86" i="5" s="1"/>
  <c r="P131" i="5"/>
  <c r="N36" i="12" l="1"/>
  <c r="P55" i="5"/>
  <c r="Q128" i="5"/>
  <c r="Q130" i="5" l="1"/>
  <c r="Q33" i="5" s="1"/>
  <c r="O36" i="12" s="1"/>
  <c r="Q131" i="5" l="1"/>
  <c r="Q55" i="5" s="1"/>
  <c r="Q86" i="5"/>
  <c r="R128" i="5" l="1"/>
  <c r="R130" i="5" s="1"/>
  <c r="R33" i="5" s="1"/>
  <c r="P36" i="12" s="1"/>
  <c r="N26" i="5" s="1"/>
  <c r="I27" i="15" s="1"/>
  <c r="O26" i="5" l="1"/>
  <c r="J27" i="15" s="1"/>
  <c r="N36" i="5"/>
  <c r="N30" i="5"/>
  <c r="N27" i="5"/>
  <c r="N28" i="5" s="1"/>
  <c r="N31" i="5"/>
  <c r="R131" i="5"/>
  <c r="S128" i="5" s="1"/>
  <c r="R86" i="5"/>
  <c r="N87" i="5" l="1"/>
  <c r="N97" i="5"/>
  <c r="N98" i="5" s="1"/>
  <c r="I7" i="15"/>
  <c r="N32" i="5"/>
  <c r="O30" i="5"/>
  <c r="O36" i="5"/>
  <c r="P26" i="5"/>
  <c r="K27" i="15" s="1"/>
  <c r="O31" i="5"/>
  <c r="O27" i="5"/>
  <c r="O28" i="5" s="1"/>
  <c r="R55" i="5"/>
  <c r="S130" i="5"/>
  <c r="S33" i="5" s="1"/>
  <c r="Q36" i="12" s="1"/>
  <c r="O32" i="5" l="1"/>
  <c r="J7" i="15"/>
  <c r="O87" i="5"/>
  <c r="O97" i="5"/>
  <c r="O98" i="5" s="1"/>
  <c r="P36" i="5"/>
  <c r="Q26" i="5"/>
  <c r="L27" i="15" s="1"/>
  <c r="P27" i="5"/>
  <c r="P28" i="5" s="1"/>
  <c r="P31" i="5"/>
  <c r="P30" i="5"/>
  <c r="I8" i="15"/>
  <c r="N34" i="5"/>
  <c r="S131" i="5"/>
  <c r="T128" i="5" s="1"/>
  <c r="S86" i="5"/>
  <c r="L34" i="12" l="1"/>
  <c r="I23" i="15"/>
  <c r="I9" i="15"/>
  <c r="N37" i="5"/>
  <c r="Q31" i="5"/>
  <c r="Q36" i="5"/>
  <c r="R26" i="5"/>
  <c r="M27" i="15" s="1"/>
  <c r="Q30" i="5"/>
  <c r="Q27" i="5"/>
  <c r="Q28" i="5" s="1"/>
  <c r="P87" i="5"/>
  <c r="P97" i="5"/>
  <c r="P98" i="5" s="1"/>
  <c r="K7" i="15"/>
  <c r="P32" i="5"/>
  <c r="J8" i="15"/>
  <c r="O34" i="5"/>
  <c r="J9" i="15" s="1"/>
  <c r="S55" i="5"/>
  <c r="T130" i="5"/>
  <c r="T33" i="5" s="1"/>
  <c r="R36" i="12" s="1"/>
  <c r="L7" i="15" l="1"/>
  <c r="Q32" i="5"/>
  <c r="R49" i="5"/>
  <c r="R31" i="5"/>
  <c r="R36" i="5"/>
  <c r="S26" i="5"/>
  <c r="N27" i="15" s="1"/>
  <c r="R30" i="5"/>
  <c r="R27" i="5"/>
  <c r="R28" i="5" s="1"/>
  <c r="Q97" i="5"/>
  <c r="Q98" i="5" s="1"/>
  <c r="Q87" i="5"/>
  <c r="M34" i="12"/>
  <c r="J23" i="15"/>
  <c r="O37" i="5"/>
  <c r="K8" i="15"/>
  <c r="P34" i="5"/>
  <c r="I10" i="15"/>
  <c r="N38" i="5"/>
  <c r="N39" i="5" s="1"/>
  <c r="T131" i="5"/>
  <c r="T55" i="5" s="1"/>
  <c r="T86" i="5"/>
  <c r="U128" i="5" l="1"/>
  <c r="M7" i="15"/>
  <c r="R32" i="5"/>
  <c r="S30" i="5"/>
  <c r="S27" i="5"/>
  <c r="S28" i="5" s="1"/>
  <c r="S31" i="5"/>
  <c r="S36" i="5"/>
  <c r="T26" i="5"/>
  <c r="O27" i="15" s="1"/>
  <c r="N34" i="12"/>
  <c r="P37" i="5"/>
  <c r="K9" i="15"/>
  <c r="K23" i="15"/>
  <c r="R97" i="5"/>
  <c r="R98" i="5" s="1"/>
  <c r="R87" i="5"/>
  <c r="L8" i="15"/>
  <c r="Q34" i="5"/>
  <c r="I12" i="15"/>
  <c r="N104" i="5"/>
  <c r="N106" i="5" s="1"/>
  <c r="N85" i="5"/>
  <c r="I11" i="15"/>
  <c r="L35" i="12"/>
  <c r="J10" i="15"/>
  <c r="O38" i="5"/>
  <c r="O39" i="5" s="1"/>
  <c r="U130" i="5"/>
  <c r="U33" i="5" s="1"/>
  <c r="S36" i="12" s="1"/>
  <c r="N74" i="5" l="1"/>
  <c r="N75" i="5" s="1"/>
  <c r="I14" i="15" s="1"/>
  <c r="J12" i="15"/>
  <c r="O85" i="5"/>
  <c r="O104" i="5"/>
  <c r="O106" i="5" s="1"/>
  <c r="U26" i="5"/>
  <c r="T30" i="5"/>
  <c r="T27" i="5"/>
  <c r="T28" i="5" s="1"/>
  <c r="T31" i="5"/>
  <c r="T36" i="5"/>
  <c r="J11" i="15"/>
  <c r="M35" i="12"/>
  <c r="S97" i="5"/>
  <c r="S98" i="5" s="1"/>
  <c r="S87" i="5"/>
  <c r="L9" i="15"/>
  <c r="Q37" i="5"/>
  <c r="L23" i="15"/>
  <c r="O34" i="12"/>
  <c r="P38" i="5"/>
  <c r="P39" i="5" s="1"/>
  <c r="K10" i="15"/>
  <c r="N7" i="15"/>
  <c r="S32" i="5"/>
  <c r="M8" i="15"/>
  <c r="R34" i="5"/>
  <c r="U131" i="5"/>
  <c r="U55" i="5" s="1"/>
  <c r="U86" i="5"/>
  <c r="O74" i="5" l="1"/>
  <c r="O75" i="5" s="1"/>
  <c r="P27" i="15"/>
  <c r="V128" i="5"/>
  <c r="N8" i="15"/>
  <c r="S34" i="5"/>
  <c r="M23" i="15"/>
  <c r="R37" i="5"/>
  <c r="M9" i="15"/>
  <c r="P34" i="12"/>
  <c r="K12" i="15"/>
  <c r="P85" i="5"/>
  <c r="P104" i="5"/>
  <c r="P106" i="5" s="1"/>
  <c r="Q38" i="5"/>
  <c r="Q39" i="5" s="1"/>
  <c r="L10" i="15"/>
  <c r="O7" i="15"/>
  <c r="T32" i="5"/>
  <c r="N35" i="12"/>
  <c r="K11" i="15"/>
  <c r="T97" i="5"/>
  <c r="T98" i="5" s="1"/>
  <c r="T87" i="5"/>
  <c r="I21" i="15"/>
  <c r="U30" i="5"/>
  <c r="U27" i="5"/>
  <c r="U28" i="5" s="1"/>
  <c r="P7" i="15" s="1"/>
  <c r="V26" i="5"/>
  <c r="U31" i="5"/>
  <c r="U36" i="5"/>
  <c r="V130" i="5"/>
  <c r="V33" i="5" s="1"/>
  <c r="T36" i="12" s="1"/>
  <c r="J14" i="15" l="1"/>
  <c r="V131" i="5"/>
  <c r="V55" i="5" s="1"/>
  <c r="Q27" i="15" s="1"/>
  <c r="U97" i="5"/>
  <c r="U98" i="5" s="1"/>
  <c r="U87" i="5"/>
  <c r="O35" i="12"/>
  <c r="L11" i="15"/>
  <c r="P74" i="5"/>
  <c r="Q34" i="12"/>
  <c r="N23" i="15"/>
  <c r="S37" i="5"/>
  <c r="N9" i="15"/>
  <c r="L12" i="15"/>
  <c r="Q85" i="5"/>
  <c r="Q104" i="5"/>
  <c r="Q106" i="5" s="1"/>
  <c r="U32" i="5"/>
  <c r="V30" i="5"/>
  <c r="V27" i="5"/>
  <c r="V28" i="5" s="1"/>
  <c r="Q7" i="15" s="1"/>
  <c r="V31" i="5"/>
  <c r="V36" i="5"/>
  <c r="J21" i="15"/>
  <c r="R38" i="5"/>
  <c r="R39" i="5" s="1"/>
  <c r="M10" i="15"/>
  <c r="O8" i="15"/>
  <c r="T34" i="5"/>
  <c r="V86" i="5"/>
  <c r="V32" i="5" l="1"/>
  <c r="Q8" i="15" s="1"/>
  <c r="P8" i="15"/>
  <c r="U34" i="5"/>
  <c r="M12" i="15"/>
  <c r="R85" i="5"/>
  <c r="R104" i="5"/>
  <c r="R106" i="5" s="1"/>
  <c r="S38" i="5"/>
  <c r="S39" i="5" s="1"/>
  <c r="N10" i="15"/>
  <c r="O9" i="15"/>
  <c r="T37" i="5"/>
  <c r="O23" i="15"/>
  <c r="R34" i="12"/>
  <c r="P35" i="12"/>
  <c r="M11" i="15"/>
  <c r="P75" i="5"/>
  <c r="Q74" i="5"/>
  <c r="V97" i="5"/>
  <c r="V98" i="5" s="1"/>
  <c r="V87" i="5"/>
  <c r="V34" i="5" l="1"/>
  <c r="V37" i="5" s="1"/>
  <c r="V38" i="5" s="1"/>
  <c r="K14" i="15"/>
  <c r="T38" i="5"/>
  <c r="T39" i="5" s="1"/>
  <c r="O10" i="15"/>
  <c r="Q35" i="12"/>
  <c r="N11" i="15"/>
  <c r="Q75" i="5"/>
  <c r="R74" i="5"/>
  <c r="U37" i="5"/>
  <c r="P23" i="15"/>
  <c r="S34" i="12"/>
  <c r="P9" i="15"/>
  <c r="S104" i="5"/>
  <c r="S106" i="5" s="1"/>
  <c r="N12" i="15"/>
  <c r="S85" i="5"/>
  <c r="K21" i="15"/>
  <c r="T34" i="12" l="1"/>
  <c r="F50" i="12" s="1"/>
  <c r="Q10" i="15"/>
  <c r="Q9" i="15"/>
  <c r="Q23" i="15"/>
  <c r="L14" i="15"/>
  <c r="U38" i="5"/>
  <c r="U39" i="5" s="1"/>
  <c r="P10" i="15"/>
  <c r="R75" i="5"/>
  <c r="S74" i="5"/>
  <c r="L21" i="15"/>
  <c r="T85" i="5"/>
  <c r="O12" i="15"/>
  <c r="T104" i="5"/>
  <c r="T106" i="5" s="1"/>
  <c r="O11" i="15"/>
  <c r="R35" i="12"/>
  <c r="V39" i="5"/>
  <c r="T35" i="12"/>
  <c r="Q11" i="15"/>
  <c r="D19" i="16"/>
  <c r="C13" i="20" s="1"/>
  <c r="F69" i="12" l="1"/>
  <c r="D20" i="16"/>
  <c r="F7" i="12" s="1"/>
  <c r="F9" i="12" s="1"/>
  <c r="F13" i="12" s="1"/>
  <c r="M14" i="15"/>
  <c r="S75" i="5"/>
  <c r="T74" i="5"/>
  <c r="M21" i="15"/>
  <c r="P12" i="15"/>
  <c r="U85" i="5"/>
  <c r="U104" i="5"/>
  <c r="U106" i="5" s="1"/>
  <c r="P11" i="15"/>
  <c r="S35" i="12"/>
  <c r="Q12" i="15"/>
  <c r="V104" i="5"/>
  <c r="V106" i="5" s="1"/>
  <c r="V85" i="5"/>
  <c r="N14" i="15" l="1"/>
  <c r="T75" i="5"/>
  <c r="U74" i="5"/>
  <c r="U75" i="5" s="1"/>
  <c r="N21" i="15"/>
  <c r="F12" i="12"/>
  <c r="F14" i="12" s="1"/>
  <c r="F11" i="20" l="1"/>
  <c r="P21" i="15"/>
  <c r="P14" i="15"/>
  <c r="O14" i="15"/>
  <c r="V74" i="5"/>
  <c r="V75" i="5" s="1"/>
  <c r="Q14" i="15" s="1"/>
  <c r="O21" i="15"/>
  <c r="M49" i="5"/>
  <c r="N49" i="5"/>
  <c r="Q21" i="15" l="1"/>
  <c r="N120" i="5"/>
  <c r="M120" i="5"/>
  <c r="H29" i="15"/>
  <c r="I29" i="15"/>
  <c r="V49" i="5"/>
  <c r="U49" i="5"/>
  <c r="S49" i="5"/>
  <c r="N29" i="15" s="1"/>
  <c r="T49" i="5"/>
  <c r="O49" i="5"/>
  <c r="O120" i="5" s="1"/>
  <c r="P49" i="5"/>
  <c r="Q49" i="5"/>
  <c r="R120" i="5" s="1"/>
  <c r="K29" i="15" l="1"/>
  <c r="V120" i="5"/>
  <c r="L29" i="15"/>
  <c r="T120" i="5"/>
  <c r="Q120" i="5"/>
  <c r="P120" i="5"/>
  <c r="Q29" i="15"/>
  <c r="J29" i="15"/>
  <c r="U120" i="5"/>
  <c r="S120" i="5"/>
  <c r="M29" i="15"/>
  <c r="O29" i="15"/>
  <c r="P29" i="15"/>
  <c r="M65" i="5"/>
  <c r="M50" i="5"/>
  <c r="M70" i="5" l="1"/>
  <c r="M77" i="5" s="1"/>
  <c r="H30" i="15"/>
  <c r="M122" i="5"/>
  <c r="M121" i="5"/>
  <c r="H28" i="15"/>
  <c r="M124" i="5" l="1"/>
  <c r="K38" i="12" s="1"/>
  <c r="K40" i="12" s="1"/>
  <c r="M88" i="5" l="1"/>
  <c r="M89" i="5" s="1"/>
  <c r="M110" i="5" s="1"/>
  <c r="M113" i="5" s="1"/>
  <c r="N111" i="5" s="1"/>
  <c r="M47" i="5" l="1"/>
  <c r="H17" i="15" s="1"/>
  <c r="H18" i="15" l="1"/>
  <c r="M60" i="5"/>
  <c r="H13" i="15" s="1"/>
  <c r="N65" i="5"/>
  <c r="N50" i="5"/>
  <c r="N121" i="5" s="1"/>
  <c r="H22" i="15" l="1"/>
  <c r="M79" i="5"/>
  <c r="M3" i="5" s="1"/>
  <c r="H26" i="15"/>
  <c r="N70" i="5"/>
  <c r="N77" i="5" s="1"/>
  <c r="I28" i="15"/>
  <c r="N122" i="5"/>
  <c r="N124" i="5" s="1"/>
  <c r="I30" i="15"/>
  <c r="L38" i="12" l="1"/>
  <c r="L40" i="12" s="1"/>
  <c r="N88" i="5"/>
  <c r="N89" i="5" s="1"/>
  <c r="N110" i="5" s="1"/>
  <c r="N113" i="5" s="1"/>
  <c r="N47" i="5" l="1"/>
  <c r="O111" i="5"/>
  <c r="N60" i="5" l="1"/>
  <c r="I18" i="15"/>
  <c r="I17" i="15"/>
  <c r="I13" i="15" l="1"/>
  <c r="I26" i="15"/>
  <c r="N79" i="5"/>
  <c r="N3" i="5" s="1"/>
  <c r="I22" i="15"/>
  <c r="V65" i="5"/>
  <c r="U50" i="5"/>
  <c r="V50" i="5"/>
  <c r="T65" i="5"/>
  <c r="U65" i="5"/>
  <c r="O65" i="5"/>
  <c r="O122" i="5" s="1"/>
  <c r="P65" i="5"/>
  <c r="Q65" i="5"/>
  <c r="Q70" i="5" s="1"/>
  <c r="Q77" i="5" s="1"/>
  <c r="R65" i="5"/>
  <c r="S65" i="5"/>
  <c r="T50" i="5"/>
  <c r="O50" i="5"/>
  <c r="P50" i="5"/>
  <c r="Q50" i="5"/>
  <c r="R50" i="5"/>
  <c r="S50" i="5"/>
  <c r="Q30" i="15" l="1"/>
  <c r="R122" i="5"/>
  <c r="L30" i="15"/>
  <c r="K28" i="15"/>
  <c r="L28" i="15"/>
  <c r="Q28" i="15"/>
  <c r="J30" i="15"/>
  <c r="M28" i="15"/>
  <c r="T122" i="5"/>
  <c r="O30" i="15"/>
  <c r="S122" i="5"/>
  <c r="N30" i="15"/>
  <c r="T70" i="5"/>
  <c r="T77" i="5" s="1"/>
  <c r="O28" i="15"/>
  <c r="T121" i="5"/>
  <c r="T124" i="5" s="1"/>
  <c r="V122" i="5"/>
  <c r="S121" i="5"/>
  <c r="U121" i="5"/>
  <c r="U122" i="5"/>
  <c r="K30" i="15"/>
  <c r="P30" i="15"/>
  <c r="U70" i="5"/>
  <c r="U77" i="5" s="1"/>
  <c r="J28" i="15"/>
  <c r="P122" i="5"/>
  <c r="O70" i="5"/>
  <c r="O77" i="5" s="1"/>
  <c r="S70" i="5"/>
  <c r="S77" i="5" s="1"/>
  <c r="Q122" i="5"/>
  <c r="R70" i="5"/>
  <c r="R77" i="5" s="1"/>
  <c r="P121" i="5"/>
  <c r="V121" i="5"/>
  <c r="V70" i="5"/>
  <c r="V77" i="5" s="1"/>
  <c r="P70" i="5"/>
  <c r="P77" i="5" s="1"/>
  <c r="N28" i="15"/>
  <c r="R121" i="5"/>
  <c r="R124" i="5" s="1"/>
  <c r="P28" i="15"/>
  <c r="M30" i="15"/>
  <c r="Q121" i="5"/>
  <c r="O121" i="5"/>
  <c r="O124" i="5" s="1"/>
  <c r="M38" i="12" s="1"/>
  <c r="M40" i="12" s="1"/>
  <c r="P124" i="5" l="1"/>
  <c r="S124" i="5"/>
  <c r="Q38" i="12" s="1"/>
  <c r="Q40" i="12" s="1"/>
  <c r="U124" i="5"/>
  <c r="S38" i="12" s="1"/>
  <c r="S40" i="12" s="1"/>
  <c r="V124" i="5"/>
  <c r="V88" i="5" s="1"/>
  <c r="V89" i="5" s="1"/>
  <c r="V110" i="5" s="1"/>
  <c r="O88" i="5"/>
  <c r="O89" i="5" s="1"/>
  <c r="O110" i="5" s="1"/>
  <c r="O113" i="5" s="1"/>
  <c r="N38" i="12"/>
  <c r="N40" i="12" s="1"/>
  <c r="P88" i="5"/>
  <c r="P89" i="5" s="1"/>
  <c r="P110" i="5" s="1"/>
  <c r="R88" i="5"/>
  <c r="R89" i="5" s="1"/>
  <c r="R110" i="5" s="1"/>
  <c r="P38" i="12"/>
  <c r="P40" i="12" s="1"/>
  <c r="R38" i="12"/>
  <c r="R40" i="12" s="1"/>
  <c r="T88" i="5"/>
  <c r="T89" i="5" s="1"/>
  <c r="T110" i="5" s="1"/>
  <c r="Q124" i="5"/>
  <c r="O38" i="12" s="1"/>
  <c r="O40" i="12" s="1"/>
  <c r="S88" i="5" l="1"/>
  <c r="S89" i="5" s="1"/>
  <c r="S110" i="5" s="1"/>
  <c r="T38" i="12"/>
  <c r="T40" i="12" s="1"/>
  <c r="F54" i="12" s="1"/>
  <c r="U88" i="5"/>
  <c r="U89" i="5" s="1"/>
  <c r="U110" i="5" s="1"/>
  <c r="Q88" i="5"/>
  <c r="Q89" i="5" s="1"/>
  <c r="Q110" i="5" s="1"/>
  <c r="P111" i="5"/>
  <c r="P113" i="5" s="1"/>
  <c r="O47" i="5"/>
  <c r="F49" i="12" l="1"/>
  <c r="P47" i="5"/>
  <c r="Q111" i="5"/>
  <c r="Q113" i="5" s="1"/>
  <c r="O60" i="5"/>
  <c r="J18" i="15"/>
  <c r="J17" i="15"/>
  <c r="F51" i="12" l="1"/>
  <c r="F55" i="12" s="1"/>
  <c r="F57" i="12" s="1"/>
  <c r="F63" i="12" s="1"/>
  <c r="F67" i="12" s="1"/>
  <c r="H89" i="12" s="1"/>
  <c r="J26" i="15"/>
  <c r="J13" i="15"/>
  <c r="J22" i="15"/>
  <c r="O79" i="5"/>
  <c r="O3" i="5" s="1"/>
  <c r="R111" i="5"/>
  <c r="R113" i="5" s="1"/>
  <c r="Q47" i="5"/>
  <c r="P60" i="5"/>
  <c r="K17" i="15"/>
  <c r="K18" i="15"/>
  <c r="C14" i="20" l="1"/>
  <c r="F6" i="20"/>
  <c r="F71" i="12"/>
  <c r="H80" i="12"/>
  <c r="K13" i="15"/>
  <c r="K26" i="15"/>
  <c r="S111" i="5"/>
  <c r="S113" i="5" s="1"/>
  <c r="R47" i="5"/>
  <c r="K22" i="15"/>
  <c r="P79" i="5"/>
  <c r="P3" i="5" s="1"/>
  <c r="Q60" i="5"/>
  <c r="L18" i="15"/>
  <c r="L17" i="15"/>
  <c r="G71" i="12" l="1"/>
  <c r="C16" i="20" s="1"/>
  <c r="F10" i="20"/>
  <c r="C15" i="20"/>
  <c r="L13" i="15"/>
  <c r="L26" i="15"/>
  <c r="Q79" i="5"/>
  <c r="Q3" i="5" s="1"/>
  <c r="L22" i="15"/>
  <c r="M17" i="15"/>
  <c r="M18" i="15"/>
  <c r="R60" i="5"/>
  <c r="S47" i="5"/>
  <c r="T111" i="5"/>
  <c r="T113" i="5" s="1"/>
  <c r="M13" i="15" l="1"/>
  <c r="M26" i="15"/>
  <c r="R79" i="5"/>
  <c r="R3" i="5" s="1"/>
  <c r="M22" i="15"/>
  <c r="N18" i="15"/>
  <c r="N17" i="15"/>
  <c r="S60" i="5"/>
  <c r="U111" i="5"/>
  <c r="U113" i="5" s="1"/>
  <c r="T47" i="5"/>
  <c r="N13" i="15" l="1"/>
  <c r="N26" i="15"/>
  <c r="O17" i="15"/>
  <c r="T60" i="5"/>
  <c r="O18" i="15"/>
  <c r="N22" i="15"/>
  <c r="S79" i="5"/>
  <c r="S3" i="5" s="1"/>
  <c r="U47" i="5"/>
  <c r="V111" i="5"/>
  <c r="V113" i="5" s="1"/>
  <c r="V47" i="5" s="1"/>
  <c r="O13" i="15" l="1"/>
  <c r="O26" i="15"/>
  <c r="Q18" i="15"/>
  <c r="V60" i="5"/>
  <c r="Q17" i="15"/>
  <c r="T79" i="5"/>
  <c r="T3" i="5" s="1"/>
  <c r="O22" i="15"/>
  <c r="P17" i="15"/>
  <c r="P18" i="15"/>
  <c r="U60" i="5"/>
  <c r="P13" i="15" s="1"/>
  <c r="Q26" i="15" l="1"/>
  <c r="Q13" i="15"/>
  <c r="P26" i="15"/>
  <c r="P22" i="15"/>
  <c r="U79" i="5"/>
  <c r="U3" i="5" s="1"/>
  <c r="Q22" i="15"/>
  <c r="V79" i="5"/>
  <c r="V3"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<sst xmlns="http://schemas.openxmlformats.org/spreadsheetml/2006/main" count="879" uniqueCount="520">
  <si>
    <t>Emami Limited</t>
  </si>
  <si>
    <t>Historical Financial Information</t>
  </si>
  <si>
    <t>INCOME</t>
  </si>
  <si>
    <t>Revenue from Operations</t>
  </si>
  <si>
    <t>Other Income</t>
  </si>
  <si>
    <t>Total Income</t>
  </si>
  <si>
    <t>EXPENSES</t>
  </si>
  <si>
    <t>Cost of Materials Consumed</t>
  </si>
  <si>
    <t>Purchases of Stock-in-Trade</t>
  </si>
  <si>
    <t>Employee Benefits Expense</t>
  </si>
  <si>
    <t>Other Expenses</t>
  </si>
  <si>
    <t>Finance Costs</t>
  </si>
  <si>
    <t>Depreciation &amp; Amortisation Expense :</t>
  </si>
  <si>
    <t>a) Amortisation of Intangible Assets</t>
  </si>
  <si>
    <t>b) Depreciation of Property, Plant &amp; Equipment</t>
  </si>
  <si>
    <t>c) Depreciation of Right of Use Assets</t>
  </si>
  <si>
    <t>Total Expenses before Exceptional items and Tax</t>
  </si>
  <si>
    <t>Share of loss of Associates</t>
  </si>
  <si>
    <t>Profit Before Exceptional Items and Tax</t>
  </si>
  <si>
    <t>Exceptional Items</t>
  </si>
  <si>
    <t>Profit Before Tax</t>
  </si>
  <si>
    <t>Tax Expense:</t>
  </si>
  <si>
    <t>Current Tax (Including MAT)</t>
  </si>
  <si>
    <t>MAT Credit Entitlement</t>
  </si>
  <si>
    <t>Deferred Tax Charge / (Credit)</t>
  </si>
  <si>
    <t>Total tax expense</t>
  </si>
  <si>
    <t>Profit for the year</t>
  </si>
  <si>
    <t>Income Statement</t>
  </si>
  <si>
    <t>-</t>
  </si>
  <si>
    <t>Decrease/(Increase) in Inventories of Finished Goods, Stock in trade and Work-in-Progress</t>
  </si>
  <si>
    <t>Total Expenses before Exceptional items, Interest, Depreciation &amp; Amortisation and Tax</t>
  </si>
  <si>
    <t>Earnings before Share of loss of Associates, Exceptional Items, Interest, Depreciation &amp; Amortisation and Tax</t>
  </si>
  <si>
    <t>Financial Statement</t>
  </si>
  <si>
    <t>Balance Sheet</t>
  </si>
  <si>
    <t>ASSETS</t>
  </si>
  <si>
    <t>1. Non-Current Assets</t>
  </si>
  <si>
    <t>(a) Property, Plant and Equipment</t>
  </si>
  <si>
    <t>(b) Capital Work-in-Progress</t>
  </si>
  <si>
    <t>(c) Investment Property</t>
  </si>
  <si>
    <t>(d) Goodwill on Consolidation</t>
  </si>
  <si>
    <t>(e) Other Intangible Assets</t>
  </si>
  <si>
    <t>(f) Right of Use Assets</t>
  </si>
  <si>
    <t>(g) Intangible Assets under Development</t>
  </si>
  <si>
    <t>(h) Investments accounted for using equity method</t>
  </si>
  <si>
    <t>(i) Investments</t>
  </si>
  <si>
    <t>(j) Deferred Tax Assets (Net)</t>
  </si>
  <si>
    <t>2. Current Assets</t>
  </si>
  <si>
    <t>(a) Inventories</t>
  </si>
  <si>
    <t>(b) Financial Assets</t>
  </si>
  <si>
    <t>(ii) Trade Receivables</t>
  </si>
  <si>
    <t>(iii) Cash and Cash Equivalents</t>
  </si>
  <si>
    <t>(iv) Bank Balance other than (iii) above</t>
  </si>
  <si>
    <t>(v) Loans</t>
  </si>
  <si>
    <t>(vi) Other Financial Assets</t>
  </si>
  <si>
    <t>(c) Current Tax Assets (Net)</t>
  </si>
  <si>
    <t>(d) Other Current Assets</t>
  </si>
  <si>
    <t>TOTAL ASSETS</t>
  </si>
  <si>
    <t>EQUITY AND LIABILITIES</t>
  </si>
  <si>
    <t>Equity</t>
  </si>
  <si>
    <t>(a) Equity Share Capital</t>
  </si>
  <si>
    <t>(b) Other Equity</t>
  </si>
  <si>
    <t>Total Equity attributable to Equity Holders of the Parent</t>
  </si>
  <si>
    <t>(c) Non-Controlling Interest</t>
  </si>
  <si>
    <t>Total Equity</t>
  </si>
  <si>
    <t>Liabilities</t>
  </si>
  <si>
    <t>1. Non-Current Liabilities</t>
  </si>
  <si>
    <t>(a) Financial Liabilities</t>
  </si>
  <si>
    <t>(i) Lease Liabilities</t>
  </si>
  <si>
    <t>(ii) Other Financial Liabilities</t>
  </si>
  <si>
    <t>(b) Provisions</t>
  </si>
  <si>
    <t>(c) Deferred Tax Liabilities (Net)</t>
  </si>
  <si>
    <t>(d) Other Non-Current Liabilities</t>
  </si>
  <si>
    <t>2. Current Liabilities</t>
  </si>
  <si>
    <t>(i) Borrowings</t>
  </si>
  <si>
    <t>(ii) Lease Liabilities</t>
  </si>
  <si>
    <t>(iii) Trade Payables</t>
  </si>
  <si>
    <t>(iv) Other Financial Liabilities</t>
  </si>
  <si>
    <t>(b) Other Current Liabilities</t>
  </si>
  <si>
    <t>(c) Provisions</t>
  </si>
  <si>
    <t>(d) Current Tax Liabilities (Net)</t>
  </si>
  <si>
    <t>TOTAL EQUITY AND LIABILITIES</t>
  </si>
  <si>
    <t>Total Non-Current Assets</t>
  </si>
  <si>
    <t>Total Current Assets</t>
  </si>
  <si>
    <t>Total Non-Current Liabilities</t>
  </si>
  <si>
    <t>Total Current Liabilities</t>
  </si>
  <si>
    <t>(i) Financial Assets:</t>
  </si>
  <si>
    <t>Total outstanding dues of Micro Enterprises &amp; Small Enterprises</t>
  </si>
  <si>
    <t>Total outstanding dues of creditors other than Micro Enterprises &amp; Small Enterprises</t>
  </si>
  <si>
    <t>MAT Credit Entitlement for earlier years</t>
  </si>
  <si>
    <t>Cash Flow Statements</t>
  </si>
  <si>
    <t>A. CASH FLOW FROM OPERATING ACTIVITIES</t>
  </si>
  <si>
    <t>NET PROFIT BEFORE TAX</t>
  </si>
  <si>
    <t>Adjustments for :</t>
  </si>
  <si>
    <t>Profit on Sale/Fair Value of mutual funds and AIF</t>
  </si>
  <si>
    <t>Depreciation and Amortisation Expenses</t>
  </si>
  <si>
    <t>Interest income on loans &amp; deposits</t>
  </si>
  <si>
    <t>Loss/(Profit) on Sale/Disposal of Property, Plant &amp; Equipments (Net)</t>
  </si>
  <si>
    <t>Unrealised Foreign Exchange Gain (Net)</t>
  </si>
  <si>
    <t>Sundry balances written (back) (Net)</t>
  </si>
  <si>
    <t>Provision for litigation written back</t>
  </si>
  <si>
    <t>Profit on fair value of Derivatives</t>
  </si>
  <si>
    <t>Provision for doubtful trade receivables</t>
  </si>
  <si>
    <t>Provision for doubtful receivables</t>
  </si>
  <si>
    <t>Profit on Fair Value of Loan</t>
  </si>
  <si>
    <t>Gain on reversal of impairment of Investments in an Associate</t>
  </si>
  <si>
    <t>Profit on fair value of investment in CCPS in associate</t>
  </si>
  <si>
    <t>Dividend Income from equity investment carried at cost</t>
  </si>
  <si>
    <t>Dividend Income from equity investment carried at fair value through OCI</t>
  </si>
  <si>
    <t>Share based payments in subsidiaries</t>
  </si>
  <si>
    <t>Cash Generated from operations before working capital changes</t>
  </si>
  <si>
    <t>Adjustments for working capital changes :</t>
  </si>
  <si>
    <t>Increase/ (Decrease) in Trade Payables and Other Liabilities</t>
  </si>
  <si>
    <t>Decrease/(Increase) in Trade Receivables</t>
  </si>
  <si>
    <t>Decrease in Loans and Other Financial Assets</t>
  </si>
  <si>
    <t>Decrease in Other Non Financial Assets</t>
  </si>
  <si>
    <t>(Decrease) in Provisions</t>
  </si>
  <si>
    <t>CASH GENERATED FROM OPERATIONS</t>
  </si>
  <si>
    <t>Less : Direct Taxes Paid (net of refund)</t>
  </si>
  <si>
    <t>NET CASH FLOWS GENERATED FROM OPERATING ACTIVITIES*</t>
  </si>
  <si>
    <t>Decrease/(Increase) in Inventories</t>
  </si>
  <si>
    <t>B. CASH FLOWS FROM INVESTING ACTIVITIES :</t>
  </si>
  <si>
    <t>Interest Received</t>
  </si>
  <si>
    <t>Dividend Received</t>
  </si>
  <si>
    <t>Purchases of Current Investments</t>
  </si>
  <si>
    <t>Proceeds from Sale of Current Investments</t>
  </si>
  <si>
    <t>Loans given to Body Corporate</t>
  </si>
  <si>
    <t>Loans given to Associate</t>
  </si>
  <si>
    <t>Proceeds from Sale of Property, Plant &amp; Equipment</t>
  </si>
  <si>
    <t>Investments in Alternative Investment Fund (AIF)</t>
  </si>
  <si>
    <t>Proceeds from Alternative Investment Fund (AIF)</t>
  </si>
  <si>
    <t>Investment in Compulsorily Convertible Preference Shares</t>
  </si>
  <si>
    <t>Investment in Equity Shares of Associate</t>
  </si>
  <si>
    <t>Deposits made with Banks</t>
  </si>
  <si>
    <t>Proceeds from maturity of Deposits with Banks</t>
  </si>
  <si>
    <t>NET CASH USED FLOWS IN INVESTING ACTIVITIES</t>
  </si>
  <si>
    <t>Purchase of Property, Plant &amp; Equipment &amp; Intangible Assets (Including Capital Work-in-Progress and Intangible Assets Development)</t>
  </si>
  <si>
    <t>C. CASH FLOWS FROM FINANCING ACTIVITIES</t>
  </si>
  <si>
    <t>Repayment of Short Term Borrowings</t>
  </si>
  <si>
    <t>Proceeds from Short Term Borrowings</t>
  </si>
  <si>
    <t>Acquisition of Non-controlling interests</t>
  </si>
  <si>
    <t>Buy Back of Shares including Transaction Costs and Taxes</t>
  </si>
  <si>
    <t>Transfer (to) /from Escrow Account</t>
  </si>
  <si>
    <t>Interest Paid</t>
  </si>
  <si>
    <t>Dividend Paid</t>
  </si>
  <si>
    <t>Payment of Principal Portion of Lease Liabilities</t>
  </si>
  <si>
    <t>NET CASH FLOWS USED IN FINANCING ACTIVITIES</t>
  </si>
  <si>
    <t>Payment against Cancellation of Share based payments in subsidiaries</t>
  </si>
  <si>
    <t>Cash Credit (repaid)/taken (net) (Including working capital demand loan)</t>
  </si>
  <si>
    <t>D. Effect of Foreign Exchange Fluctuation</t>
  </si>
  <si>
    <t>NET INCREASE IN CASH &amp; CASH EQUIVALENTS (A+B+C+D)</t>
  </si>
  <si>
    <t>Add- CASH &amp; CASH EQUIVALENTS-AT THE BEGINNING OF THE YEAR</t>
  </si>
  <si>
    <t>CASH &amp; CASH EQUIVALENTS-AT THE END OF THE YEAR</t>
  </si>
  <si>
    <t>Cash &amp; Cash Equivalents includes:</t>
  </si>
  <si>
    <t>Balances with banks</t>
  </si>
  <si>
    <t>Fixed Deposits with Banks (Original Maturity of less than 3 Months)</t>
  </si>
  <si>
    <t>Cheques in hand</t>
  </si>
  <si>
    <t>Fund in transit</t>
  </si>
  <si>
    <t>Cash on hand</t>
  </si>
  <si>
    <t xml:space="preserve">Total Cash &amp; Cash Equivalents </t>
  </si>
  <si>
    <t>Short term loans given</t>
  </si>
  <si>
    <t>Proceeds from repayment of loan given</t>
  </si>
  <si>
    <t>Corporate Dividend Tax paid</t>
  </si>
  <si>
    <t>Add- CASH &amp; CASH EQUIVALENTS-ACQUIRED ON BUSINESS ACQUISITION*</t>
  </si>
  <si>
    <t>Financial Statements &amp; DCF Analysis</t>
  </si>
  <si>
    <t>Revenue</t>
  </si>
  <si>
    <t>₹ in Lacs</t>
  </si>
  <si>
    <t>Cost of Goods Sold</t>
  </si>
  <si>
    <t>Gross Profit</t>
  </si>
  <si>
    <t>Salaries and Benefits</t>
  </si>
  <si>
    <t>Other SG&amp;A Expenses</t>
  </si>
  <si>
    <t>EBITDA</t>
  </si>
  <si>
    <t>Depreciation &amp; Amortisation Expenses</t>
  </si>
  <si>
    <t xml:space="preserve">EBIT </t>
  </si>
  <si>
    <t>Interest Expense</t>
  </si>
  <si>
    <t>Other Income (Expenses)</t>
  </si>
  <si>
    <t>Earnings Before Taxes</t>
  </si>
  <si>
    <t>Taxes</t>
  </si>
  <si>
    <t>Net Earnings</t>
  </si>
  <si>
    <t>Current Assets</t>
  </si>
  <si>
    <t>Cash &amp; Cash Equivalents</t>
  </si>
  <si>
    <t>Investments</t>
  </si>
  <si>
    <t>Accounts Receivables</t>
  </si>
  <si>
    <t>Inventories</t>
  </si>
  <si>
    <t>Bank Deposits</t>
  </si>
  <si>
    <t>Other Current Assets</t>
  </si>
  <si>
    <t>Non- Current Assets</t>
  </si>
  <si>
    <t>Property, Plant &amp; Equipments</t>
  </si>
  <si>
    <t>Financial Assets</t>
  </si>
  <si>
    <t>Goodwill &amp; Intangible Assets</t>
  </si>
  <si>
    <t>Other Non-Current Assets</t>
  </si>
  <si>
    <t>Total Assets</t>
  </si>
  <si>
    <t>LIABILITIES</t>
  </si>
  <si>
    <t>Current Liabilities</t>
  </si>
  <si>
    <t>Accounts Payable</t>
  </si>
  <si>
    <t>Other Current Liabilities</t>
  </si>
  <si>
    <t>Non-Current Liabilities</t>
  </si>
  <si>
    <t>Other Non-Current Liabilities</t>
  </si>
  <si>
    <t>Total Liabilities</t>
  </si>
  <si>
    <t>Equity Capital</t>
  </si>
  <si>
    <t>Retained Earnings</t>
  </si>
  <si>
    <t>Shareholders Equity</t>
  </si>
  <si>
    <t>Non-Controlling Interest</t>
  </si>
  <si>
    <t>Total Liabilities and Shareholders Equity</t>
  </si>
  <si>
    <t>Check</t>
  </si>
  <si>
    <t>Cash Flow Statement</t>
  </si>
  <si>
    <t>Operating Cashflow</t>
  </si>
  <si>
    <t>Plus: Depreciation and Amortisation</t>
  </si>
  <si>
    <t>Plus/Minus: Adjustment for Non-Operating Items</t>
  </si>
  <si>
    <t>Plus/Minus: Adjustments for Operating Assets and Liabilities</t>
  </si>
  <si>
    <t>Cash Flow from Operations</t>
  </si>
  <si>
    <t>Investing Cashflow</t>
  </si>
  <si>
    <t>Investment in Property, Plant and Equipment</t>
  </si>
  <si>
    <t>Sale of Property, Plant and Equipment</t>
  </si>
  <si>
    <t>Purchase/Sale of Investments</t>
  </si>
  <si>
    <t>Cash Flow from Financing</t>
  </si>
  <si>
    <t>Net Change is Loans and Advances</t>
  </si>
  <si>
    <t>Financing Cashflow</t>
  </si>
  <si>
    <t>Issuence and Repayment of Debt</t>
  </si>
  <si>
    <t>Net Issuance/Repurchase of Equity</t>
  </si>
  <si>
    <t>Other Financing Activity</t>
  </si>
  <si>
    <t>Cash Flow from Investing</t>
  </si>
  <si>
    <t>Net Increase/(Decrease) in cash</t>
  </si>
  <si>
    <t>Opening cash balance</t>
  </si>
  <si>
    <t>Closing cash balance</t>
  </si>
  <si>
    <t>Supporting Schedules</t>
  </si>
  <si>
    <t>Working Capital</t>
  </si>
  <si>
    <t>Inventory</t>
  </si>
  <si>
    <t>Others</t>
  </si>
  <si>
    <t>Total</t>
  </si>
  <si>
    <t>Effects of Foreign Exchange Fluctuations</t>
  </si>
  <si>
    <t>Cash and Cash Equivqlents Aquired on Business Acquisition</t>
  </si>
  <si>
    <t>Depreciation</t>
  </si>
  <si>
    <t>PPE Opening Balance</t>
  </si>
  <si>
    <t>Plus: Capex</t>
  </si>
  <si>
    <t>Less: Depreciation</t>
  </si>
  <si>
    <t>Debt &amp; Interest Schedule</t>
  </si>
  <si>
    <t>Debt Opening Balance</t>
  </si>
  <si>
    <t>Issuence (Repayment)</t>
  </si>
  <si>
    <t>Debt Closing Balance</t>
  </si>
  <si>
    <t>PPE Closing Balance</t>
  </si>
  <si>
    <t>Ratios and Assumptions</t>
  </si>
  <si>
    <t>SCENARIO</t>
  </si>
  <si>
    <t>Revenue Growth</t>
  </si>
  <si>
    <t>COGS (% of Revenue)</t>
  </si>
  <si>
    <t>Salaries and Benefits (% of Revenue)</t>
  </si>
  <si>
    <t>Other SG&amp;A Expense (% of Revenue)</t>
  </si>
  <si>
    <t>Depreciation and Amortisation (% of PPE)</t>
  </si>
  <si>
    <t>Interest Expense (% of Debt)</t>
  </si>
  <si>
    <t>Other Income/(Expenses) (% of Revenue)</t>
  </si>
  <si>
    <t>Taxes (% of EBT)</t>
  </si>
  <si>
    <t>Dividend Payout Ratio</t>
  </si>
  <si>
    <t xml:space="preserve">Accounts Receivable </t>
  </si>
  <si>
    <t xml:space="preserve">Inventory </t>
  </si>
  <si>
    <t xml:space="preserve">Accounts Payable </t>
  </si>
  <si>
    <t>Capital Asset Turnover Ratio</t>
  </si>
  <si>
    <t>Units</t>
  </si>
  <si>
    <t>%</t>
  </si>
  <si>
    <t>Days</t>
  </si>
  <si>
    <t>Times</t>
  </si>
  <si>
    <t>Scenarios</t>
  </si>
  <si>
    <t>Growth %</t>
  </si>
  <si>
    <t>Base Case</t>
  </si>
  <si>
    <t>Bull Case</t>
  </si>
  <si>
    <t>Bear Case</t>
  </si>
  <si>
    <t>Annual Growth Tapering</t>
  </si>
  <si>
    <t>Debt</t>
  </si>
  <si>
    <t>Master Check</t>
  </si>
  <si>
    <t>Company Name</t>
  </si>
  <si>
    <t>Price</t>
  </si>
  <si>
    <t>(₹ per share)</t>
  </si>
  <si>
    <t>Shares</t>
  </si>
  <si>
    <t>(Lacs)</t>
  </si>
  <si>
    <t>(₹ in Lacs)</t>
  </si>
  <si>
    <t>Market Cap</t>
  </si>
  <si>
    <t>EV</t>
  </si>
  <si>
    <t>Sales</t>
  </si>
  <si>
    <t>Earnings</t>
  </si>
  <si>
    <t>Market Data</t>
  </si>
  <si>
    <t>Financial Data</t>
  </si>
  <si>
    <t>P &amp; G Hygine</t>
  </si>
  <si>
    <t>Dabur India</t>
  </si>
  <si>
    <t>Honasa Consumer</t>
  </si>
  <si>
    <t>Gillette India</t>
  </si>
  <si>
    <t>Ticker</t>
  </si>
  <si>
    <t>COLPAL</t>
  </si>
  <si>
    <t>EMAMILTD</t>
  </si>
  <si>
    <t>HONASA</t>
  </si>
  <si>
    <t>GILLETTE</t>
  </si>
  <si>
    <t>PGHH</t>
  </si>
  <si>
    <t>DABUR</t>
  </si>
  <si>
    <t>Bajaj Consumer Care Ltd</t>
  </si>
  <si>
    <t>BAJAJCON</t>
  </si>
  <si>
    <t>Average</t>
  </si>
  <si>
    <t>Metrics</t>
  </si>
  <si>
    <t>Valuation</t>
  </si>
  <si>
    <t>EV/Sales</t>
  </si>
  <si>
    <t>EV/EBITDA</t>
  </si>
  <si>
    <t>P/E</t>
  </si>
  <si>
    <t>x</t>
  </si>
  <si>
    <t>EV/Revenue</t>
  </si>
  <si>
    <t>Comps</t>
  </si>
  <si>
    <t>Equity Value</t>
  </si>
  <si>
    <t>Share Price</t>
  </si>
  <si>
    <t>COMPS Valuation</t>
  </si>
  <si>
    <t>Equity Market Returns</t>
  </si>
  <si>
    <t>Date</t>
  </si>
  <si>
    <t>Index Close Price</t>
  </si>
  <si>
    <t>Index</t>
  </si>
  <si>
    <t>Year Frac</t>
  </si>
  <si>
    <t>Market Return</t>
  </si>
  <si>
    <t>Nifty 50</t>
  </si>
  <si>
    <t>Total Debt</t>
  </si>
  <si>
    <t>Tax Rate</t>
  </si>
  <si>
    <t>Cost of Debt</t>
  </si>
  <si>
    <t>Pre Tax Cost of Debt</t>
  </si>
  <si>
    <t>After Tax Cost of Debt</t>
  </si>
  <si>
    <t>Cost of Equity</t>
  </si>
  <si>
    <t>Risk Free Rate</t>
  </si>
  <si>
    <t>Equity Market Return</t>
  </si>
  <si>
    <t>Equity Risk Premium</t>
  </si>
  <si>
    <t>WACC</t>
  </si>
  <si>
    <t>Perpetual Growth Rate</t>
  </si>
  <si>
    <t>Discount Rate</t>
  </si>
  <si>
    <t>Current Market Price</t>
  </si>
  <si>
    <t>EBIT</t>
  </si>
  <si>
    <t>Less: Capex</t>
  </si>
  <si>
    <t>Intrinsic Value</t>
  </si>
  <si>
    <t>Enterprise Value</t>
  </si>
  <si>
    <t>Profit</t>
  </si>
  <si>
    <t>(b) Loans</t>
  </si>
  <si>
    <t>(c) Other Financial Assets</t>
  </si>
  <si>
    <t>(a)Other Investments</t>
  </si>
  <si>
    <t>(l) Other Non-Current Assets</t>
  </si>
  <si>
    <t>(k)Non-Current Assets (Net)</t>
  </si>
  <si>
    <t>Loss on Impairment of Investments in Associates (Net)</t>
  </si>
  <si>
    <t>Investment in Exchange Traded Funds</t>
  </si>
  <si>
    <t>Investment in Optionally Convertible Debentures of Associate</t>
  </si>
  <si>
    <t>Equity Beta</t>
  </si>
  <si>
    <t>Change</t>
  </si>
  <si>
    <t>Emami</t>
  </si>
  <si>
    <t>Limited</t>
  </si>
  <si>
    <t xml:space="preserve">Covariance </t>
  </si>
  <si>
    <t>Variance</t>
  </si>
  <si>
    <t>Beta</t>
  </si>
  <si>
    <t>Ratio Analysis</t>
  </si>
  <si>
    <t>Particulars</t>
  </si>
  <si>
    <t>Profitability Ratios</t>
  </si>
  <si>
    <t>Gross Margin</t>
  </si>
  <si>
    <t>EBITDA Margin</t>
  </si>
  <si>
    <t>Operating Margin</t>
  </si>
  <si>
    <t>Effective Tax Rate</t>
  </si>
  <si>
    <t>Net Profit Margin</t>
  </si>
  <si>
    <t>Pretax Profit Margin</t>
  </si>
  <si>
    <t>Liquidity Ratios</t>
  </si>
  <si>
    <t>Quick Ratio</t>
  </si>
  <si>
    <t>Current Ratio</t>
  </si>
  <si>
    <t>Solvency Ratios</t>
  </si>
  <si>
    <t>Debt to Equity</t>
  </si>
  <si>
    <t>Debt to Assets</t>
  </si>
  <si>
    <t>Interest Coverage Ratio</t>
  </si>
  <si>
    <t>Return on Assets</t>
  </si>
  <si>
    <t>Return on Equity</t>
  </si>
  <si>
    <t>Efficiency/Activity Ratios</t>
  </si>
  <si>
    <t>Inventory Turnover</t>
  </si>
  <si>
    <t>Receivable Turnover</t>
  </si>
  <si>
    <t>Payable Turnover</t>
  </si>
  <si>
    <t>Asset Turnover ratio</t>
  </si>
  <si>
    <t>Company Data</t>
  </si>
  <si>
    <t>No. of Outstanding Shares</t>
  </si>
  <si>
    <t>Face Value per share</t>
  </si>
  <si>
    <t>Company Description</t>
  </si>
  <si>
    <t>ISIN Code</t>
  </si>
  <si>
    <t>Sector Name</t>
  </si>
  <si>
    <t>Industry</t>
  </si>
  <si>
    <t>Website</t>
  </si>
  <si>
    <t>INE548C01032</t>
  </si>
  <si>
    <t>FMCG</t>
  </si>
  <si>
    <t>http://www.emamiltd.in</t>
  </si>
  <si>
    <t>₹</t>
  </si>
  <si>
    <t>Capital Structure</t>
  </si>
  <si>
    <t xml:space="preserve">Total </t>
  </si>
  <si>
    <t>Nos in Lacs</t>
  </si>
  <si>
    <t>Weightage</t>
  </si>
  <si>
    <t>Unlevered FCFF</t>
  </si>
  <si>
    <t>Less: Tax</t>
  </si>
  <si>
    <t>Add: Depreciation &amp; Amortisation</t>
  </si>
  <si>
    <t>Change in Working Capital</t>
  </si>
  <si>
    <t>Cash Conversion Cycle (Days)</t>
  </si>
  <si>
    <t>Terminal Value</t>
  </si>
  <si>
    <t>Sum of PV of Cashflows</t>
  </si>
  <si>
    <t>PV of Terminal Value</t>
  </si>
  <si>
    <t>Add: Cash &amp; Cash Equivalents</t>
  </si>
  <si>
    <t>Less: Debt</t>
  </si>
  <si>
    <t>Less: Non-Controlling Interest</t>
  </si>
  <si>
    <t>No. of Equity Shares Outstanding</t>
  </si>
  <si>
    <t>Intrinsic Value Per Share</t>
  </si>
  <si>
    <t>Upside/Downside Potential</t>
  </si>
  <si>
    <t>Sensitivity Analysis</t>
  </si>
  <si>
    <t>Trend</t>
  </si>
  <si>
    <t>Interpretation of Ratios</t>
  </si>
  <si>
    <t>Assumptions</t>
  </si>
  <si>
    <t>Costs</t>
  </si>
  <si>
    <t>Tax expense has been forecasted by increasing the effective tax rate (calculated as a % of PBT) by 0.5% once every 2 years.</t>
  </si>
  <si>
    <t>Cash and Cash equivalents are taken as the balancing figures in the Balance Sheet.</t>
  </si>
  <si>
    <t>Trade Receivables, Inventory, and Trade Payables are forecast using a days-based methodology. Receivable Days, Inventory Days, and Payable Days are calculated as the average of the historical five-year period (FY2022–FY2026) and are assumed to remain constant throughout the forecast period.</t>
  </si>
  <si>
    <t>DSO DIO DPO are calculated by assuming 365 days in a year.</t>
  </si>
  <si>
    <t>Finance cost has been projected using the company's latest historical effective borrowing rate, calculated based on the most recent financial year's finance cost and outstanding debt balance. The forecast assumes that the company's debt level remains constant throughout the projection period, with no significant new borrowings, repayments, or refinancing activities.</t>
  </si>
  <si>
    <t>Property, Plant &amp; Equipment is rolled forward through the depreciation schedule, where the closing PPE balance each year equals the opening PPE balance plus capital expenditure for the year less depreciation for the year. Capital expenditure for the first forecast year is taken as the average of the last four historical years' capex, and from the following year onward it is grown at a constant rate of 0.5% per year.</t>
  </si>
  <si>
    <r>
      <t>Emami Limited</t>
    </r>
    <r>
      <rPr>
        <sz val="12"/>
        <color theme="1"/>
        <rFont val="Calibri"/>
        <family val="2"/>
        <scheme val="minor"/>
      </rPr>
      <t xml:space="preserve"> is one of India's leading FMCG companies, engaged in the manufacturing, marketing, and distribution of a diverse portfolio of personal care, healthcare, and wellness products. The Company has a strong presence in the beauty, skincare, haircare, men's grooming, and Ayurvedic healthcare segments, with several well-established brands catering to both domestic and international markets. Emami's product portfolio includes brands such as BoroPlus, Navratna, Kesh King, Zandu, Smart And Handsome, and Dermicool.</t>
    </r>
  </si>
  <si>
    <t>DCF Valuation</t>
  </si>
  <si>
    <t>Median</t>
  </si>
  <si>
    <t>Colgate-Palmolive</t>
  </si>
  <si>
    <t>Revenue Growth Rate (%)</t>
  </si>
  <si>
    <t>Perpetual Growth Rate (%)</t>
  </si>
  <si>
    <t>10 year Bond Yield rate (%)</t>
  </si>
  <si>
    <t>Interest Rate (Pre Tax) (%)</t>
  </si>
  <si>
    <t>Capital Expenditure Growth Rate (%)</t>
  </si>
  <si>
    <t>Exchange Name</t>
  </si>
  <si>
    <t>Market Capitalization</t>
  </si>
  <si>
    <t>WACC Calculations</t>
  </si>
  <si>
    <t>Godrej Consumer Product Limited</t>
  </si>
  <si>
    <t>GODREJCP</t>
  </si>
  <si>
    <t>Personal Products</t>
  </si>
  <si>
    <t>Bull Case: Assumes stronger-than-expected industry growth, market share gains, successful product expansion, and favorable consumer demand, resulting in growth rates approximately 5% higher than the Base Case.</t>
  </si>
  <si>
    <t>Bear Case: Assumes weaker industry conditions, increased competitive pressures, or slower consumer demand, resulting in growth rates approximately 5% lower than the Base Case.</t>
  </si>
  <si>
    <t>For working capital forecasting purposes, all revenue is assumed to be generated on credit.</t>
  </si>
  <si>
    <t>Fixed Asset Schedule</t>
  </si>
  <si>
    <t>Equity Share Capital is also held constant ₹4,365 Lacs (FY2026 level), implying no new share issuance or buyback during the forecast period. Retained Earnings (Other Equity) is rolled forward each year as the prior year's Retained Earnings plus Net Earnings for the year less Dividends Paid during the year, consistent with the Dividend Payout Ratio assumption used in the income statement.</t>
  </si>
  <si>
    <t>Debt is assumed to remain constant at ₹16,192 Lacs (FY2026 level) for the entire forecast period, with no new borrowings, repayments, or refinancing assumed — this is consistent with the assumption used for projecting finance costs, where the effective borrowing rate is applied to a constant debt balance.</t>
  </si>
  <si>
    <t>All Balance Sheet items, except Property, Plant &amp; Equipment (PPE), Trade Receivables, Inventory, Trade Payables, Borrowings (Current and Non-Current), Equity, and Cash &amp; Cash Equivalents, are assumed to remain constant at their FY2026 balances throughout the forecast period.</t>
  </si>
  <si>
    <t>Dividend</t>
  </si>
  <si>
    <t>Dividend payments are forecast based on the historical average dividend payout ratio over the last five years, which is held constant throughout the forecast period.</t>
  </si>
  <si>
    <t>Terminal Value (Perpetual Growth Rate)</t>
  </si>
  <si>
    <t>Terminal Value (EV/EBITDA)</t>
  </si>
  <si>
    <t>EV/EBITDA Multiple</t>
  </si>
  <si>
    <t>Exit Multiples</t>
  </si>
  <si>
    <t>Sensitivities - Intrinsic Value (Rs./Share)</t>
  </si>
  <si>
    <t>EBITDA Margin fell sharply from 29.88% in FY2022 to 25.33% in FY2023, as Emami chose to defend and grow market share by increasing advertising and promotion (A&amp;P) spend and employee costs, then it recovered to 26.91% in 2025 and again fell to 25.50% in FY2026, as Salaries &amp; Benefits and Other SG&amp;A Expenses grew at a faster pace than Revenue during this period. From FY2027 onwards, the margin stabilises at a constant 26.83%, since operating expenses are projected as a fixed percentage of Revenue, reflecting an assumption that the company's current cost structure remains sustainable through the forecast horizon.</t>
  </si>
  <si>
    <t>Debt to Equity ratio collapsed  from 0.14x in FY2022 to just 0.04x in FY2023, reflecting a significant debt repayment or reclassification during that year. ticked up slightly to 0.06x in FY2026 (likely reflecting a fresh borrowing or lease liability addition), and then declines consistently every year of the forecast to 0.02x by FY2036. The projection-period decline is because Debt is assumed to remain constatnt throughout the forecast period, so the rapidly expanding Equity base (driven by retained profits) causes the ratio to fall steadily. Emami is effectively becoming a purely equity-financed company across our forecast horizon. An extremely low D/E ratio is often cited as a sign of financial strength, and it is, but it also means Emami foregoes the benefits of financial leverage.</t>
  </si>
  <si>
    <t>Asset Turnover increased from 1.10x in FY2023 to 1.12x in FY2024 and declined to 1.03x in FY2026, ratio was stable and healthy throughout the historical period and generated approximately ₹1 of revenue for every ₹1 assets. Throughout the forecasting period it falled consistently to 0.70x by FY2036.  This is the flip side of the Current and Cash Ratio trends: Total Assets grow faster than Revenue in the forecast period because of the build-up of cash, which do not directly generate sales. The operating business is not becoming less efficient — the asset base is being inflated by idle financial holdings.</t>
  </si>
  <si>
    <t>Emami Limited - Financial Model Index</t>
  </si>
  <si>
    <t>Sheet</t>
  </si>
  <si>
    <t>Description</t>
  </si>
  <si>
    <t>This Page - model navigation and overview</t>
  </si>
  <si>
    <t>Company details and key model assumptions</t>
  </si>
  <si>
    <t>Inputs</t>
  </si>
  <si>
    <t>Model</t>
  </si>
  <si>
    <t>Market Returns</t>
  </si>
  <si>
    <t>Summary</t>
  </si>
  <si>
    <t>Comps Valuation</t>
  </si>
  <si>
    <t>Historical financial data (FY2022–FY2026): P&amp;L, Balance Sheet, Cash Flow</t>
  </si>
  <si>
    <t>Bull, Base, and Bear case revenue assumptions</t>
  </si>
  <si>
    <t>Historical and forecasted financial statements</t>
  </si>
  <si>
    <t>Key financial ratios (profitability, liquidity, solvency, efficiency) with interpretations</t>
  </si>
  <si>
    <t>Calculation of company beta</t>
  </si>
  <si>
    <t>Historical market return data for WACC calculation</t>
  </si>
  <si>
    <t>WACC, Unlevered FCFF, Terminal Value, DCF &amp; EV/EBITDA Intrinsic Value calculation</t>
  </si>
  <si>
    <t>Relative valuation using peer trading multiples</t>
  </si>
  <si>
    <t>Executive summary of model outputs</t>
  </si>
  <si>
    <t>Valuation Summary</t>
  </si>
  <si>
    <t>Company Profile</t>
  </si>
  <si>
    <t xml:space="preserve">Sector </t>
  </si>
  <si>
    <t>Shares Outstanding (in lacs)</t>
  </si>
  <si>
    <t>Market Cap (₹ in Lacs)</t>
  </si>
  <si>
    <t>Face Value (₹)</t>
  </si>
  <si>
    <t>Valuation Snapshot</t>
  </si>
  <si>
    <t>DCF Intrinsic Value/share</t>
  </si>
  <si>
    <t>Comps EV/EBITDA value / share</t>
  </si>
  <si>
    <t>Comps EV/Revenue value / share</t>
  </si>
  <si>
    <t>Comps PE value / Share</t>
  </si>
  <si>
    <t>DCF - Upside/Downside Potential</t>
  </si>
  <si>
    <t>Fixed Asset Turnover</t>
  </si>
  <si>
    <t>Revenue (₹ in Lacs)</t>
  </si>
  <si>
    <t>EBITDA (₹ in Lacs)</t>
  </si>
  <si>
    <t>Net Profit (₹ in Lacs)</t>
  </si>
  <si>
    <t>Key Financial Metrics FY2026</t>
  </si>
  <si>
    <t xml:space="preserve">EBITDA Margin </t>
  </si>
  <si>
    <t xml:space="preserve">Net Profit Margin </t>
  </si>
  <si>
    <t xml:space="preserve">ROE </t>
  </si>
  <si>
    <t xml:space="preserve">ROA </t>
  </si>
  <si>
    <t xml:space="preserve">Debt/Equity </t>
  </si>
  <si>
    <t xml:space="preserve">Current Ratio </t>
  </si>
  <si>
    <t>DCF Target Price</t>
  </si>
  <si>
    <t>Upside</t>
  </si>
  <si>
    <t>Football Field Analysis</t>
  </si>
  <si>
    <t>Open</t>
  </si>
  <si>
    <t>High</t>
  </si>
  <si>
    <t>Low</t>
  </si>
  <si>
    <t>Close</t>
  </si>
  <si>
    <t>DCF</t>
  </si>
  <si>
    <t>52 Week High/Low</t>
  </si>
  <si>
    <t>All operating costs excluding finance costs, tax, and depreciation, have been forecasted as a % of total Revenue from Operations using the letest years %</t>
  </si>
  <si>
    <t>Market Consensus</t>
  </si>
  <si>
    <t>Operating Margin declined from 19.38% in FY2022 to 18.07% in FY2023 due to higher Depreciation &amp; Amortisation (D&amp;A) eating into EBITDA, then rising to 21.34% in FY2024 and 22.23% in FY2025 because depreciation charges as a percentage of revenue declined as older PPE assets aged and partially written down. In FY2026 in dipped again to 20.80%. From FY2027, the margin rises steadily every year, reaching 24.39% by FY2036 even while the EBITDA margin stays perfectly flat at 26.83%. This consistent expansion is because D&amp;A is projected as a percentage of average Fixed Assets, and since Fixed Asset growth is modest relative to Revenue growth (supported by the rising Fixed Asset Turnover), D&amp;A as a % of Revenue keeps falling, lifting EBIT margin year after year.</t>
  </si>
  <si>
    <t>Pretax Profit Margin moved from 21.59% in FY2022 down to 19.66% in FY2023 (tracking the dip in operating margin), recovered to 23.47% in FY2025, and eased to 22.39% in FY2026. From FY2027 onwards it increases consistently to 25.81% by FY2036. This sustained improvement is driven by two effects acting in the same direction: (a) the rising Operating Margin discussed above, and (b) Interest Expense, which is projected as a percentage of average Debt - since Debt is projected to stay constant, due to this finance costs shrink as a proportion of Revenue, further boosting the pretax margin.</t>
  </si>
  <si>
    <t xml:space="preserve">Return on Assets (ROA) rose from 20.35% in FY2023 to a peak of 23.56% in FY2025 on the back of improving Net Profit Margin and efficient asset utilisation, the company was generating nearly ₹24 of profit for every ₹100 of assets deployed, then declined to 21.04% in FY2026 and continues falling steadilyfrom 21.96% in FY2027 to 16.04% by FY2036. Because we assume no extraordinary dividends, no share buybacks, and no M&amp;A, the free cash flow generated each year sits on the balance sheet as growing financial assets. The asset base therefore grows much faster than revenue or profit. </t>
  </si>
  <si>
    <t>Return on Equity (ROE) increased from 28.65% in FY2023 to a peak of 31.23% in FY2025, driven by high net margins, reasonable asset efficiency, and very low financial leverage, then declines consistently from 27.60% in FY2026 to 18.40% by FY2036 almost 10 percentage points. With retained earnings expanding every year with no buybacks or extraordinary dividends, the equity expanding much faster than the Net Earnings, ROE compresses steadily, even though the underlying business remains highly profitable.</t>
  </si>
  <si>
    <t>The Quick Ratio (Current Assets minus inventory, divided by current liabilities) tracking the current ratio trend throughout the period with the gap between two ratios representing the inventory component. It rose from 1.11x in FY2022 to 2.19x in FY2026 and continues to climb in forecasting period to 7.19x by FY2036, the reason of dramatic rise is the same as current ratio- cash accumulation. Quick Ratio well above 1.00x is a positive signal during the audited years (it means the company can meet all short-term obligations without selling any inventory).</t>
  </si>
  <si>
    <t xml:space="preserve">The Interest Coverage Ratio measures how many times Emami's EBIT covers its annual interest expense, a ratio above 3.00x is considered safe and above 10.00x as very strong. Emami's historical ICR has ranged from 70.65x to 121.74x, meaning the company earned between 71 and 122 times its interest obligation in any given year. reflecting a near debt free capital structure. Started at a very strong 121.74x in FY2022, eased to 70.65x in FY2026, it reflects slightly growing interest expense (higher finance charges as some debt was added in FY2026) and a mildly dipping EBIT in certain years. Ratio dipped further to a low of 46.34x in FY2027 and after that it recovers steadily to 83.99x by FY2036, as EBIT grows and interest obligation stays constant. </t>
  </si>
  <si>
    <t>The Fixed Asset Turnover Ratio increased steadily from 5.00x in FY2023 to 6.53x in FY2026 reflecting a significant improvement in the company's ability to generate revenue from its fixed asset base.  Ratio is projected to rise further to 12.52x by FY2036. This reflects increasingly efficient utilization of fixed assets, with revenue growth significantly outpacing additions to the fixed asset base. A higher fixed asset turnover ratio is generally viewed positively as it demonstrates that the company is generating greater sales without requiring proportionate investments in fixed assets.</t>
  </si>
  <si>
    <t>The Receivables Turnover Ratio declined from 9.26x in FY2023 to 7.87x in FY2024, indicating slower collection of receivables and a greater amount of capital tied up in credit sales. The ratio subsequently improved to 8.06x in FY2025 and further increased to 9.51x in FY2026, indicating stronger collection efficiency and more effective credit management practices. Higher receivable turnover enhances liquidity, reduces credit risk, and improves cash flow generation. Thereafter, in forecasted period it increased slightly to 10.14x in FY2027 and then continues to decrease upto 8.95x by FY2036, while remaining at healthy levels. This suggests that the company is expected to maintain disciplined credit policies and stable collection practices in its long-term business expansion.</t>
  </si>
  <si>
    <t>The Inventory Turnover Ratio improved from 3.50x in FY2023 to 3.78x in FY2025, indicating more efficient inventory management and faster movement of products through the supply chain.  Although the ratio temporarily declined to 3.22x in FY2026, suggesting that inventory levels increased at a faster pace than cost of goods sold. This decline may indicate inventory build-up, weaker demand, precautionary stocking, or slower inventory movement. it stabilizes around 3.35x–3.48x throughout the forecast period. This indicates a consistent inventory replenishment cycle and suggests that inventory levels are expected to remain aligned with sales growth, supporting efficient working capital management.</t>
  </si>
  <si>
    <t>The Payables Turnover Ratio declined from 2.91x in FY2023 to 2.49x in FY2026, indicating that the company is taking longer to settle its obligations with suppliers. A lower payable turnover ratio generally implies extended credit periods, which can be beneficial for cash flow management as the company retains cash for a longer duration. The ratio subsequently stabilizes around 2.68x–2.73x over the forecast period, indicating a balanced approach toward supplier payments. This stability suggests that the company is expected to maintain consistent relationships with vendors while optimizing working capital requirements.</t>
  </si>
  <si>
    <t>Depreciation expense is forecasted using the historical average depreciation rate observed over the historical period.</t>
  </si>
  <si>
    <t>52 Week Low/High</t>
  </si>
  <si>
    <t>376.40 - 634.20</t>
  </si>
  <si>
    <t>The Cash Conversion Cycle improved significantly from 19.36 days in FY2022 to 4.28 days in FY2025, reflecting substantial enhancement in working capital efficiency through faster inventory turnover, improved receivable collections, and effective management of payables. A CCC of 4.28 days means Emami was converting raw material investment into customer cash in just 4.28 days on average in FY2025. The ratio rise slighlty 8.30 days in FY2026 and our model forecasts Days ratios at their five-year historical average producing a constant CCC of 11.74 days from FY2027 onwards, it remains substantially below historical levels, indicating a structurally efficient operating cycle and strong cash generation capability. The consistently low CCC highlights the company's ability to convert operating profits into cash with minimal working capital investment.</t>
  </si>
  <si>
    <t>Recommendation</t>
  </si>
  <si>
    <t>Football Field Analysis: Data Sources</t>
  </si>
  <si>
    <t>Revenue has been projected based on the expected growth outlook of the industry and the company's ability to maintain its market position. FY2027 revenue growth is assumed at 9.0%, in line with CRISIL Ratings' expectation of 8–10% revenue growth for the Indian FMCG sector. Growth is gradually tapered towards the perpetual growth rate over the forecast period. Source: [CRISIL Ratings, May 2026]. Revenue growth gradually declines over the forecast period and converges towards the perpetual growth rate of 4.0% by FY2036.</t>
  </si>
  <si>
    <t>Source: NSE, Company Annual Reports</t>
  </si>
  <si>
    <t xml:space="preserve">COMPS  Inputs Data </t>
  </si>
  <si>
    <t>The Gross Margin drop from 66.33% in FY2022 to 64.73% in FY2023 indicating higher input costs or a less favourable product mix during the year, and then rising consistently to 67.57%, then 68.65% and then finally reaching five year high of 69.89% in FY2026, reflecting improved pricing, better product mix and cost efficiencies. For the forecast period, the margin is held constant at 67.43% as per the projection methodology (COGS projected as a fixed % of Revenue, the five year historical average) indicating a stable, sustainable cost structure going forward.</t>
  </si>
  <si>
    <t>Debt to Assets ratio shows the same story as debt to equity, it fell sharply from 0.09x in FY2022 to 0.03x in FY2023 and the rose to 0.04x in FY2026, and then declines steadily to 0.02 by FY2036. The forecast-period decline reflects the same dynamic as above: Debt remains constant while Total Assets expand at a faster pace, so debt becomes an increasingly negligible component of the asset base, reducing financial risk further each year. The company maintains a conservative capital structure throughout the forecast period.</t>
  </si>
  <si>
    <t>The Current Ratio improved from 1.67x in FY2022 to 2.76x in FY2026, because the growth in current assets outpacing the growth in current liabilities, with the ratio above 1.50x throughout the historical period shows no liquidity risk at any point. Ratio then increases sharply every year of the forecast from 3.29x in FY2027 to reach 7.81x by FY2036, means company holds nearly ₹8 of current asset for every ₹1 of current liability. It arises because our model assumes all free cash flow accumulates on the balance sheet as current financial assets, year after year, with no extraordinary distributions or investments.</t>
  </si>
  <si>
    <t>Tax Rate declined sharply from 21.61% in FY2022 to 6.29% in FY2023, indicating the impact of exceptional tax benefits such as deferred tax adjustments, tax credits or one-time tax reversals, before normalising to the 8.37-10.19% range by FY2026. During the forecast period, the Effective Tax Rate is assumed to increase by 0.50 percentage points every two years</t>
  </si>
  <si>
    <t>Net Profit Margin declined sharply from 26.25% in FY2022 to 18.42% in FY2023, primarily due to lower operating profitability despite a significantly lower effective tax rate. From FY2023 onwards, the net margin recovered steadily to 20.51% by FY2026. the margin recovers and then rises consistently every year of the forecast, from 21.69% in FY2027 to 23.01% by FY2036. This forecast-period improvement is the net result of the expanding Operating and Pretax margins (driven by D&amp;A and Interest Expense growing slower than Revenue) being only partially offset by the gradually rising Effective Tax Rate assumption. This shows company remains highly profitable throughout the forecast period.</t>
  </si>
  <si>
    <t>Data Source : Market Screener analyst consensus (July 2026)</t>
  </si>
  <si>
    <t>Comps Inputs</t>
  </si>
  <si>
    <t>Inputs used for Comparable Company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</si>
</sst>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quot;A&quot;"/>
    <numFmt numFmtId="165" formatCode="#&quot;E&quot;"/>
    <numFmt numFmtId="166" formatCode="#,##0;\(#,##0\);&quot;-&quot;"/>
    <numFmt numFmtId="167" formatCode="#,##0.00;\(#,##0.00\);&quot;-&quot;"/>
    <numFmt numFmtId="168" formatCode="##.00\x"/>
    <numFmt numFmtId="169" formatCode="##.#\x"/>
    <numFmt numFmtId="170" formatCode="##.0\x"/>
    <numFmt numFmtId="171" formatCode="#&quot;&quot;"/>
    <numFmt numFmtId="172" formatCode="###\A"/>
    <numFmt numFmtId="173" formatCode="0.000%"/>
    <numFmt numFmtId="174" formatCode="0.000000"/>
    <numFmt numFmtId="175" formatCode=";;"/>
    <numFmt numFmtId="176" formatCode="0.0"/>
    <numFmt numFmtId="177" formatCode="0.0%"/>
    <numFmt numFmtId="178" formatCode="##.##\x"/>
  </numFmts>
  <fonts count="26" x14ac:knownFonts="1">
    <font>
      <sz val="11"/>
      <color theme="1"/>
      <name val="Calibri"/>
      <family val="2"/>
      <scheme val="minor"/>
    </font>
    <font>
      <b/>
      <sz val="20"/>
      <color theme="0"/>
      <name val="Book Antiqua"/>
      <family val="1"/>
    </font>
    <font>
      <sz val="11"/>
      <color theme="0"/>
      <name val="Book Antiqua"/>
      <family val="1"/>
    </font>
    <font>
      <b/>
      <sz val="14"/>
      <color theme="0"/>
      <name val="Book Antiqua"/>
      <family val="1"/>
    </font>
    <font>
      <sz val="11"/>
      <color theme="1"/>
      <name val="Book Antiqua"/>
      <family val="1"/>
    </font>
    <font>
      <b/>
      <sz val="14"/>
      <name val="Book Antiqua"/>
      <family val="1"/>
    </font>
    <font>
      <sz val="14"/>
      <name val="Book Antiqua"/>
      <family val="1"/>
    </font>
    <font>
      <b/>
      <sz val="11"/>
      <color theme="1"/>
      <name val="Book Antiqua"/>
      <family val="1"/>
    </font>
    <font>
      <sz val="11"/>
      <color theme="1"/>
      <name val="Calibri"/>
      <family val="2"/>
      <scheme val="minor"/>
    </font>
    <font>
      <b/>
      <sz val="12"/>
      <color theme="0"/>
      <name val="Book Antiqua"/>
      <family val="1"/>
    </font>
    <font>
      <sz val="12"/>
      <color theme="1"/>
      <name val="Book Antiqua"/>
      <family val="1"/>
    </font>
    <font>
      <b/>
      <sz val="12"/>
      <color theme="1"/>
      <name val="Book Antiqua"/>
      <family val="1"/>
    </font>
    <font>
      <sz val="12"/>
      <color theme="0"/>
      <name val="Book Antiqua"/>
      <family val="1"/>
    </font>
    <font>
      <b/>
      <sz val="12"/>
      <name val="Book Antiqua"/>
      <family val="1"/>
    </font>
    <font>
      <sz val="12"/>
      <color rgb="FF00B050"/>
      <name val="Book Antiqua"/>
      <family val="1"/>
    </font>
    <font>
      <sz val="12"/>
      <name val="Book Antiqua"/>
      <family val="1"/>
    </font>
    <font>
      <b/>
      <sz val="11"/>
      <color theme="0"/>
      <name val="Book Antiqua"/>
      <family val="1"/>
    </font>
    <font>
      <sz val="12"/>
      <color theme="1"/>
      <name val="Calibri"/>
      <family val="2"/>
      <scheme val="minor"/>
    </font>
    <font>
      <sz val="12"/>
      <color theme="8"/>
      <name val="Book Antiqua"/>
      <family val="1"/>
    </font>
    <font>
      <u/>
      <sz val="11"/>
      <color theme="10"/>
      <name val="Calibri"/>
      <family val="2"/>
      <scheme val="minor"/>
    </font>
    <font>
      <sz val="11"/>
      <name val="Book Antiqua"/>
      <family val="1"/>
    </font>
    <font>
      <u/>
      <sz val="12"/>
      <color theme="10"/>
      <name val="Calibri"/>
      <family val="2"/>
      <scheme val="minor"/>
    </font>
    <font>
      <sz val="8"/>
      <name val="Calibri"/>
      <family val="2"/>
      <scheme val="minor"/>
    </font>
    <font>
      <b/>
      <sz val="14"/>
      <color theme="1"/>
      <name val="Book Antiqua"/>
      <family val="1"/>
    </font>
    <font>
      <b/>
      <sz val="11"/>
      <color theme="0" tint="-4.9989318521683403E-2"/>
      <name val="Book Antiqua"/>
      <family val="1"/>
    </font>
    <font>
      <sz val="11"/>
      <color theme="8"/>
      <name val="Book Antiqua"/>
      <family val="1"/>
    </font>
  </fonts>
  <fills count="11">
    <fill>
      <patternFill patternType="none"/>
    </fill>
    <fill>
      <patternFill patternType="gray125"/>
    </fill>
    <fill>
      <patternFill patternType="solid">
        <fgColor theme="1" tint="0.14999847407452621"/>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theme="0"/>
        <bgColor indexed="64"/>
      </patternFill>
    </fill>
    <fill>
      <patternFill patternType="solid">
        <fgColor theme="2" tint="-0.499984740745262"/>
        <bgColor indexed="64"/>
      </patternFill>
    </fill>
    <fill>
      <patternFill patternType="solid">
        <fgColor theme="1"/>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F2F2F2"/>
        <bgColor rgb="FFE2EFDA"/>
      </patternFill>
    </fill>
  </fills>
  <borders count="17">
    <border>
      <left/>
      <right/>
      <top/>
      <bottom/>
      <diagonal/>
    </border>
    <border>
      <left style="thin">
        <color auto="1"/>
      </left>
      <right/>
      <top/>
      <bottom/>
      <diagonal/>
    </border>
    <border>
      <left/>
      <right/>
      <top style="thin">
        <color indexed="64"/>
      </top>
      <bottom style="thin">
        <color indexed="64"/>
      </bottom>
      <diagonal/>
    </border>
    <border>
      <left/>
      <right/>
      <top style="thin">
        <color indexed="64"/>
      </top>
      <bottom/>
      <diagonal/>
    </border>
    <border>
      <left/>
      <right/>
      <top style="thin">
        <color indexed="64"/>
      </top>
      <bottom style="double">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43" fontId="8" fillId="0" borderId="0" applyFont="0" applyFill="0" applyBorder="0" applyAlignment="0" applyProtection="0"/>
    <xf numFmtId="9" fontId="8" fillId="0" borderId="0" applyFont="0" applyFill="0" applyBorder="0" applyAlignment="0" applyProtection="0"/>
    <xf numFmtId="0" fontId="19" fillId="0" borderId="0" applyNumberFormat="0" applyFill="0" applyBorder="0" applyAlignment="0" applyProtection="0"/>
  </cellStyleXfs>
  <cellXfs count="320">
    <xf numFmtId="0" fontId="0" fillId="0" borderId="0" xfId="0"/>
    <xf numFmtId="0" fontId="4" fillId="0" borderId="0" xfId="0" applyFont="1"/>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164" fontId="2" fillId="3" borderId="0" xfId="0" applyNumberFormat="1" applyFont="1" applyFill="1"/>
    <xf numFmtId="0" fontId="2" fillId="2" borderId="1" xfId="0" applyFont="1" applyFill="1" applyBorder="1"/>
    <xf numFmtId="165" fontId="2" fillId="2" borderId="1" xfId="0" applyNumberFormat="1" applyFont="1" applyFill="1" applyBorder="1"/>
    <xf numFmtId="165" fontId="2" fillId="2" borderId="0" xfId="0" applyNumberFormat="1" applyFont="1" applyFill="1"/>
    <xf numFmtId="0" fontId="5" fillId="0" borderId="0" xfId="0" applyFont="1"/>
    <xf numFmtId="0" fontId="6" fillId="0" borderId="0" xfId="0" applyFont="1"/>
    <xf numFmtId="164" fontId="6" fillId="0" borderId="0" xfId="0" applyNumberFormat="1" applyFont="1"/>
    <xf numFmtId="165" fontId="6" fillId="0" borderId="0" xfId="0" applyNumberFormat="1" applyFont="1"/>
    <xf numFmtId="0" fontId="7" fillId="0" borderId="0" xfId="0" applyFont="1"/>
    <xf numFmtId="2" fontId="4" fillId="0" borderId="0" xfId="0" applyNumberFormat="1" applyFont="1" applyAlignment="1">
      <alignment horizontal="right" vertical="center"/>
    </xf>
    <xf numFmtId="2" fontId="7" fillId="0" borderId="0" xfId="0" applyNumberFormat="1" applyFont="1" applyAlignment="1">
      <alignment horizontal="right" vertical="center"/>
    </xf>
    <xf numFmtId="0" fontId="4" fillId="0" borderId="0" xfId="0" applyFont="1" applyAlignment="1">
      <alignment horizontal="center" vertical="center"/>
    </xf>
    <xf numFmtId="0" fontId="4" fillId="0" borderId="0" xfId="0" applyFont="1" applyAlignment="1">
      <alignment horizontal="center"/>
    </xf>
    <xf numFmtId="4" fontId="7" fillId="0" borderId="0" xfId="0" applyNumberFormat="1" applyFont="1"/>
    <xf numFmtId="0" fontId="9" fillId="2" borderId="0" xfId="0" applyFont="1" applyFill="1"/>
    <xf numFmtId="0" fontId="10" fillId="0" borderId="0" xfId="0" applyFont="1"/>
    <xf numFmtId="0" fontId="11" fillId="0" borderId="0" xfId="0" applyFont="1"/>
    <xf numFmtId="43" fontId="10" fillId="0" borderId="0" xfId="1" applyFont="1"/>
    <xf numFmtId="43" fontId="4" fillId="0" borderId="0" xfId="1" applyFont="1" applyAlignment="1">
      <alignment horizontal="right" vertical="center"/>
    </xf>
    <xf numFmtId="43" fontId="7" fillId="0" borderId="2" xfId="1" applyFont="1" applyBorder="1" applyAlignment="1">
      <alignment horizontal="right" vertical="center"/>
    </xf>
    <xf numFmtId="43" fontId="4" fillId="0" borderId="0" xfId="1" applyFont="1"/>
    <xf numFmtId="43" fontId="7" fillId="0" borderId="0" xfId="1" applyFont="1" applyAlignment="1">
      <alignment horizontal="right" vertical="center"/>
    </xf>
    <xf numFmtId="43" fontId="7" fillId="0" borderId="0" xfId="1" applyFont="1"/>
    <xf numFmtId="0" fontId="12" fillId="2" borderId="0" xfId="0" applyFont="1" applyFill="1"/>
    <xf numFmtId="43" fontId="12" fillId="2" borderId="0" xfId="1" applyFont="1" applyFill="1" applyAlignment="1">
      <alignment horizontal="right" vertical="center"/>
    </xf>
    <xf numFmtId="43" fontId="10" fillId="0" borderId="0" xfId="1" applyFont="1" applyAlignment="1">
      <alignment horizontal="right" vertical="center"/>
    </xf>
    <xf numFmtId="2" fontId="10" fillId="0" borderId="0" xfId="0" applyNumberFormat="1" applyFont="1" applyAlignment="1">
      <alignment horizontal="right" vertical="center"/>
    </xf>
    <xf numFmtId="0" fontId="13" fillId="0" borderId="0" xfId="0" applyFont="1"/>
    <xf numFmtId="0" fontId="10" fillId="0" borderId="0" xfId="0" applyFont="1" applyAlignment="1">
      <alignment horizontal="center" vertical="center"/>
    </xf>
    <xf numFmtId="0" fontId="10" fillId="0" borderId="0" xfId="0" applyFont="1" applyAlignment="1">
      <alignment horizontal="center"/>
    </xf>
    <xf numFmtId="4" fontId="10" fillId="0" borderId="0" xfId="0" applyNumberFormat="1" applyFont="1"/>
    <xf numFmtId="0" fontId="11" fillId="0" borderId="3" xfId="0" applyFont="1" applyBorder="1"/>
    <xf numFmtId="0" fontId="10" fillId="0" borderId="3" xfId="0" applyFont="1" applyBorder="1"/>
    <xf numFmtId="166" fontId="14" fillId="0" borderId="0" xfId="1" applyNumberFormat="1" applyFont="1" applyBorder="1" applyAlignment="1">
      <alignment horizontal="right" vertical="center"/>
    </xf>
    <xf numFmtId="166" fontId="14" fillId="0" borderId="0" xfId="1" applyNumberFormat="1" applyFont="1" applyAlignment="1">
      <alignment horizontal="right" vertical="center"/>
    </xf>
    <xf numFmtId="166" fontId="11" fillId="0" borderId="3" xfId="1" applyNumberFormat="1" applyFont="1" applyBorder="1" applyAlignment="1">
      <alignment horizontal="right" vertical="center"/>
    </xf>
    <xf numFmtId="166" fontId="10" fillId="0" borderId="0" xfId="1" applyNumberFormat="1" applyFont="1" applyAlignment="1">
      <alignment horizontal="right" vertical="center"/>
    </xf>
    <xf numFmtId="0" fontId="11" fillId="0" borderId="4" xfId="0" applyFont="1" applyBorder="1"/>
    <xf numFmtId="0" fontId="10" fillId="0" borderId="4" xfId="0" applyFont="1" applyBorder="1"/>
    <xf numFmtId="166" fontId="11" fillId="0" borderId="4" xfId="1" applyNumberFormat="1" applyFont="1" applyBorder="1" applyAlignment="1">
      <alignment horizontal="right" vertical="center"/>
    </xf>
    <xf numFmtId="2" fontId="10" fillId="0" borderId="0" xfId="0" applyNumberFormat="1" applyFont="1"/>
    <xf numFmtId="166" fontId="11" fillId="0" borderId="0" xfId="1" applyNumberFormat="1" applyFont="1" applyBorder="1" applyAlignment="1">
      <alignment horizontal="right" vertical="center"/>
    </xf>
    <xf numFmtId="166" fontId="10" fillId="0" borderId="0" xfId="0" applyNumberFormat="1" applyFont="1"/>
    <xf numFmtId="2" fontId="4" fillId="0" borderId="0" xfId="0" applyNumberFormat="1" applyFont="1"/>
    <xf numFmtId="167" fontId="14" fillId="0" borderId="0" xfId="1" applyNumberFormat="1" applyFont="1" applyAlignment="1">
      <alignment horizontal="right" vertical="center"/>
    </xf>
    <xf numFmtId="167" fontId="11" fillId="0" borderId="3" xfId="1" applyNumberFormat="1" applyFont="1" applyBorder="1" applyAlignment="1">
      <alignment horizontal="right" vertical="center"/>
    </xf>
    <xf numFmtId="167" fontId="11" fillId="0" borderId="0" xfId="1" applyNumberFormat="1" applyFont="1" applyBorder="1" applyAlignment="1">
      <alignment horizontal="right" vertical="center"/>
    </xf>
    <xf numFmtId="167" fontId="10" fillId="0" borderId="0" xfId="1" applyNumberFormat="1" applyFont="1" applyBorder="1" applyAlignment="1">
      <alignment horizontal="right" vertical="center"/>
    </xf>
    <xf numFmtId="0" fontId="15" fillId="0" borderId="0" xfId="0" applyFont="1"/>
    <xf numFmtId="165" fontId="15" fillId="0" borderId="0" xfId="0" applyNumberFormat="1" applyFont="1"/>
    <xf numFmtId="10" fontId="15" fillId="0" borderId="0" xfId="2" applyNumberFormat="1" applyFont="1"/>
    <xf numFmtId="10" fontId="10" fillId="0" borderId="0" xfId="2" applyNumberFormat="1" applyFont="1" applyBorder="1" applyAlignment="1">
      <alignment horizontal="right" vertical="center"/>
    </xf>
    <xf numFmtId="166" fontId="10" fillId="0" borderId="0" xfId="1" applyNumberFormat="1" applyFont="1" applyBorder="1" applyAlignment="1">
      <alignment horizontal="right" vertical="center"/>
    </xf>
    <xf numFmtId="43" fontId="11" fillId="0" borderId="0" xfId="1" applyFont="1" applyAlignment="1">
      <alignment horizontal="right" vertical="center"/>
    </xf>
    <xf numFmtId="10" fontId="10" fillId="0" borderId="0" xfId="0" applyNumberFormat="1" applyFont="1"/>
    <xf numFmtId="0" fontId="10" fillId="0" borderId="0" xfId="1" applyNumberFormat="1" applyFont="1" applyAlignment="1">
      <alignment horizontal="right" vertical="center"/>
    </xf>
    <xf numFmtId="10" fontId="10" fillId="0" borderId="0" xfId="1" applyNumberFormat="1" applyFont="1" applyAlignment="1">
      <alignment horizontal="right" vertical="center"/>
    </xf>
    <xf numFmtId="10" fontId="10" fillId="0" borderId="0" xfId="1" applyNumberFormat="1" applyFont="1" applyBorder="1" applyAlignment="1">
      <alignment horizontal="right" vertical="center"/>
    </xf>
    <xf numFmtId="9" fontId="10" fillId="0" borderId="0" xfId="0" applyNumberFormat="1" applyFont="1"/>
    <xf numFmtId="10" fontId="10" fillId="0" borderId="0" xfId="2" applyNumberFormat="1" applyFont="1" applyAlignment="1">
      <alignment horizontal="right" vertical="center"/>
    </xf>
    <xf numFmtId="10" fontId="11" fillId="0" borderId="0" xfId="2" applyNumberFormat="1" applyFont="1" applyBorder="1" applyAlignment="1">
      <alignment horizontal="right" vertical="center"/>
    </xf>
    <xf numFmtId="168" fontId="11" fillId="0" borderId="0" xfId="1" applyNumberFormat="1" applyFont="1" applyBorder="1" applyAlignment="1">
      <alignment horizontal="right" vertical="center"/>
    </xf>
    <xf numFmtId="168" fontId="13" fillId="0" borderId="0" xfId="0" applyNumberFormat="1" applyFont="1"/>
    <xf numFmtId="164" fontId="15" fillId="0" borderId="0" xfId="0" applyNumberFormat="1" applyFont="1" applyAlignment="1">
      <alignment horizontal="right"/>
    </xf>
    <xf numFmtId="167" fontId="11" fillId="0" borderId="3" xfId="0" applyNumberFormat="1" applyFont="1" applyBorder="1"/>
    <xf numFmtId="0" fontId="2" fillId="0" borderId="0" xfId="0" applyFont="1"/>
    <xf numFmtId="0" fontId="9" fillId="2" borderId="0" xfId="0" applyFont="1" applyFill="1" applyAlignment="1">
      <alignment horizontal="center"/>
    </xf>
    <xf numFmtId="10" fontId="9" fillId="2" borderId="0" xfId="1" applyNumberFormat="1" applyFont="1" applyFill="1" applyAlignment="1">
      <alignment horizontal="center" vertical="center"/>
    </xf>
    <xf numFmtId="10" fontId="9" fillId="2" borderId="0" xfId="2" applyNumberFormat="1" applyFont="1" applyFill="1" applyAlignment="1">
      <alignment horizontal="center" vertical="center"/>
    </xf>
    <xf numFmtId="0" fontId="12" fillId="2" borderId="0" xfId="0" applyFont="1" applyFill="1" applyAlignment="1">
      <alignment horizontal="center"/>
    </xf>
    <xf numFmtId="10" fontId="12" fillId="2" borderId="0" xfId="2" applyNumberFormat="1" applyFont="1" applyFill="1" applyBorder="1" applyAlignment="1">
      <alignment horizontal="center" vertical="center"/>
    </xf>
    <xf numFmtId="2" fontId="10" fillId="0" borderId="0" xfId="2" applyNumberFormat="1" applyFont="1" applyAlignment="1">
      <alignment horizontal="right" vertical="center"/>
    </xf>
    <xf numFmtId="2" fontId="4" fillId="0" borderId="0" xfId="1" applyNumberFormat="1" applyFont="1" applyAlignment="1">
      <alignment horizontal="right" vertical="center"/>
    </xf>
    <xf numFmtId="2" fontId="4" fillId="0" borderId="0" xfId="1" applyNumberFormat="1" applyFont="1"/>
    <xf numFmtId="43" fontId="11" fillId="0" borderId="0" xfId="1" applyFont="1"/>
    <xf numFmtId="2" fontId="11" fillId="0" borderId="0" xfId="0" applyNumberFormat="1" applyFont="1" applyAlignment="1">
      <alignment horizontal="right" vertical="center"/>
    </xf>
    <xf numFmtId="4" fontId="11" fillId="0" borderId="0" xfId="0" applyNumberFormat="1" applyFont="1"/>
    <xf numFmtId="2" fontId="12" fillId="2" borderId="0" xfId="1" applyNumberFormat="1" applyFont="1" applyFill="1" applyAlignment="1">
      <alignment horizontal="right" vertical="center"/>
    </xf>
    <xf numFmtId="2" fontId="12" fillId="2" borderId="0" xfId="0" applyNumberFormat="1" applyFont="1" applyFill="1"/>
    <xf numFmtId="0" fontId="12" fillId="2" borderId="0" xfId="0" applyFont="1" applyFill="1" applyAlignment="1">
      <alignment horizontal="center" vertical="center"/>
    </xf>
    <xf numFmtId="9" fontId="10" fillId="4" borderId="0" xfId="0" applyNumberFormat="1" applyFont="1" applyFill="1"/>
    <xf numFmtId="0" fontId="10" fillId="4" borderId="0" xfId="0" applyFont="1" applyFill="1"/>
    <xf numFmtId="10" fontId="9" fillId="2" borderId="0" xfId="2" applyNumberFormat="1" applyFont="1" applyFill="1" applyAlignment="1">
      <alignment horizontal="center" vertical="center" wrapText="1"/>
    </xf>
    <xf numFmtId="169" fontId="10" fillId="0" borderId="0" xfId="0" applyNumberFormat="1" applyFont="1"/>
    <xf numFmtId="169" fontId="4" fillId="0" borderId="0" xfId="0" applyNumberFormat="1" applyFont="1"/>
    <xf numFmtId="169" fontId="12" fillId="2" borderId="0" xfId="0" applyNumberFormat="1" applyFont="1" applyFill="1"/>
    <xf numFmtId="0" fontId="10" fillId="2" borderId="0" xfId="0" applyFont="1" applyFill="1"/>
    <xf numFmtId="164" fontId="2" fillId="2" borderId="0" xfId="0" applyNumberFormat="1" applyFont="1" applyFill="1"/>
    <xf numFmtId="9" fontId="10" fillId="0" borderId="0" xfId="2" applyFont="1" applyAlignment="1">
      <alignment horizontal="right" vertical="center"/>
    </xf>
    <xf numFmtId="170" fontId="10" fillId="0" borderId="0" xfId="0" applyNumberFormat="1" applyFont="1"/>
    <xf numFmtId="43" fontId="7" fillId="0" borderId="5" xfId="1" applyFont="1" applyBorder="1" applyAlignment="1">
      <alignment horizontal="right" vertical="center"/>
    </xf>
    <xf numFmtId="43" fontId="7" fillId="0" borderId="3" xfId="1" applyFont="1" applyBorder="1" applyAlignment="1">
      <alignment horizontal="right" vertical="center"/>
    </xf>
    <xf numFmtId="43" fontId="7" fillId="0" borderId="4" xfId="1" applyFont="1" applyBorder="1" applyAlignment="1">
      <alignment horizontal="right" vertical="center"/>
    </xf>
    <xf numFmtId="0" fontId="7" fillId="0" borderId="3" xfId="0" applyFont="1" applyBorder="1"/>
    <xf numFmtId="0" fontId="4" fillId="0" borderId="3" xfId="0" applyFont="1" applyBorder="1"/>
    <xf numFmtId="0" fontId="7" fillId="0" borderId="2" xfId="0" applyFont="1" applyBorder="1"/>
    <xf numFmtId="0" fontId="4" fillId="0" borderId="2" xfId="0" applyFont="1" applyBorder="1"/>
    <xf numFmtId="0" fontId="7" fillId="0" borderId="4" xfId="0" applyFont="1" applyBorder="1"/>
    <xf numFmtId="0" fontId="4" fillId="0" borderId="4" xfId="0" applyFont="1" applyBorder="1"/>
    <xf numFmtId="0" fontId="10" fillId="0" borderId="2" xfId="0" applyFont="1" applyBorder="1"/>
    <xf numFmtId="0" fontId="11" fillId="0" borderId="2" xfId="0" applyFont="1" applyBorder="1"/>
    <xf numFmtId="171" fontId="6" fillId="0" borderId="0" xfId="0" applyNumberFormat="1" applyFont="1"/>
    <xf numFmtId="43" fontId="4" fillId="0" borderId="2" xfId="1" applyFont="1" applyBorder="1" applyAlignment="1">
      <alignment horizontal="right" vertical="center"/>
    </xf>
    <xf numFmtId="43" fontId="4" fillId="0" borderId="3" xfId="1" applyFont="1" applyBorder="1" applyAlignment="1">
      <alignment horizontal="right" vertical="center"/>
    </xf>
    <xf numFmtId="172" fontId="2" fillId="3" borderId="0" xfId="0" applyNumberFormat="1" applyFont="1" applyFill="1"/>
    <xf numFmtId="2" fontId="14" fillId="0" borderId="0" xfId="0" applyNumberFormat="1" applyFont="1" applyAlignment="1">
      <alignment horizontal="right" vertical="center"/>
    </xf>
    <xf numFmtId="43" fontId="7" fillId="0" borderId="0" xfId="1" applyFont="1" applyBorder="1" applyAlignment="1">
      <alignment horizontal="right" vertical="center"/>
    </xf>
    <xf numFmtId="0" fontId="12" fillId="2" borderId="0" xfId="0" applyFont="1" applyFill="1" applyAlignment="1">
      <alignment horizontal="center" vertical="center" wrapText="1"/>
    </xf>
    <xf numFmtId="0" fontId="17" fillId="0" borderId="0" xfId="0" applyFont="1"/>
    <xf numFmtId="173" fontId="17" fillId="0" borderId="0" xfId="2" applyNumberFormat="1" applyFont="1" applyBorder="1"/>
    <xf numFmtId="0" fontId="11" fillId="0" borderId="6" xfId="1" applyNumberFormat="1" applyFont="1" applyBorder="1" applyAlignment="1">
      <alignment vertical="top"/>
    </xf>
    <xf numFmtId="0" fontId="11" fillId="0" borderId="6" xfId="1" applyNumberFormat="1" applyFont="1" applyBorder="1" applyAlignment="1">
      <alignment horizontal="right" vertical="center"/>
    </xf>
    <xf numFmtId="10" fontId="11" fillId="0" borderId="6" xfId="1" applyNumberFormat="1" applyFont="1" applyBorder="1" applyAlignment="1">
      <alignment vertical="top"/>
    </xf>
    <xf numFmtId="10" fontId="11" fillId="0" borderId="6" xfId="2" applyNumberFormat="1" applyFont="1" applyBorder="1" applyAlignment="1">
      <alignment horizontal="right" vertical="center"/>
    </xf>
    <xf numFmtId="2" fontId="11" fillId="0" borderId="6" xfId="2" applyNumberFormat="1" applyFont="1" applyBorder="1" applyAlignment="1">
      <alignment horizontal="right" vertical="center"/>
    </xf>
    <xf numFmtId="43" fontId="11" fillId="0" borderId="6" xfId="1" applyFont="1" applyBorder="1" applyAlignment="1">
      <alignment vertical="top"/>
    </xf>
    <xf numFmtId="10" fontId="11" fillId="0" borderId="6" xfId="1" applyNumberFormat="1" applyFont="1" applyBorder="1" applyAlignment="1">
      <alignment horizontal="right" vertical="center"/>
    </xf>
    <xf numFmtId="15" fontId="17" fillId="0" borderId="0" xfId="0" applyNumberFormat="1" applyFont="1"/>
    <xf numFmtId="0" fontId="12" fillId="0" borderId="0" xfId="0" applyFont="1" applyAlignment="1">
      <alignment vertical="center"/>
    </xf>
    <xf numFmtId="0" fontId="12" fillId="0" borderId="0" xfId="0" applyFont="1" applyAlignment="1">
      <alignment vertical="center" wrapText="1"/>
    </xf>
    <xf numFmtId="0" fontId="12" fillId="0" borderId="0" xfId="0" applyFont="1" applyAlignment="1">
      <alignment horizontal="center" vertical="center" wrapText="1"/>
    </xf>
    <xf numFmtId="0" fontId="10" fillId="0" borderId="5" xfId="0" applyFont="1" applyBorder="1" applyAlignment="1">
      <alignment horizontal="center" vertical="top"/>
    </xf>
    <xf numFmtId="2" fontId="10" fillId="2" borderId="0" xfId="0" applyNumberFormat="1" applyFont="1" applyFill="1" applyAlignment="1">
      <alignment horizontal="right" vertical="center"/>
    </xf>
    <xf numFmtId="0" fontId="10" fillId="0" borderId="0" xfId="0" applyFont="1" applyAlignment="1">
      <alignment vertical="center"/>
    </xf>
    <xf numFmtId="175" fontId="10" fillId="0" borderId="6" xfId="0" applyNumberFormat="1" applyFont="1" applyBorder="1"/>
    <xf numFmtId="9" fontId="10" fillId="0" borderId="6" xfId="2" applyFont="1" applyBorder="1"/>
    <xf numFmtId="0" fontId="10" fillId="0" borderId="3" xfId="0" applyFont="1" applyBorder="1" applyAlignment="1">
      <alignment vertical="center"/>
    </xf>
    <xf numFmtId="167" fontId="10" fillId="0" borderId="3" xfId="1" applyNumberFormat="1" applyFont="1" applyBorder="1" applyAlignment="1">
      <alignment horizontal="right" vertical="center"/>
    </xf>
    <xf numFmtId="9" fontId="10" fillId="0" borderId="0" xfId="2" applyFont="1" applyBorder="1" applyAlignment="1">
      <alignment horizontal="right" vertical="center"/>
    </xf>
    <xf numFmtId="9" fontId="10" fillId="0" borderId="3" xfId="2" applyFont="1" applyBorder="1" applyAlignment="1">
      <alignment horizontal="right" vertical="center"/>
    </xf>
    <xf numFmtId="10" fontId="10" fillId="0" borderId="3" xfId="2" applyNumberFormat="1" applyFont="1" applyBorder="1" applyAlignment="1">
      <alignment horizontal="right" vertical="center"/>
    </xf>
    <xf numFmtId="10" fontId="10" fillId="0" borderId="4" xfId="2" applyNumberFormat="1" applyFont="1" applyBorder="1" applyAlignment="1">
      <alignment horizontal="right" vertical="center"/>
    </xf>
    <xf numFmtId="0" fontId="10" fillId="0" borderId="5" xfId="0" applyFont="1" applyBorder="1" applyAlignment="1">
      <alignment vertical="center"/>
    </xf>
    <xf numFmtId="167" fontId="11" fillId="0" borderId="4" xfId="1" applyNumberFormat="1" applyFont="1" applyBorder="1" applyAlignment="1">
      <alignment horizontal="right" vertical="center"/>
    </xf>
    <xf numFmtId="0" fontId="9" fillId="2" borderId="4" xfId="0" applyFont="1" applyFill="1" applyBorder="1"/>
    <xf numFmtId="167" fontId="9" fillId="2" borderId="4" xfId="1" applyNumberFormat="1" applyFont="1" applyFill="1" applyBorder="1" applyAlignment="1">
      <alignment horizontal="right" vertical="center"/>
    </xf>
    <xf numFmtId="0" fontId="10" fillId="6" borderId="0" xfId="0" applyFont="1" applyFill="1"/>
    <xf numFmtId="166" fontId="10" fillId="0" borderId="6" xfId="1" applyNumberFormat="1" applyFont="1" applyBorder="1" applyAlignment="1">
      <alignment horizontal="right" vertical="center"/>
    </xf>
    <xf numFmtId="165" fontId="16" fillId="2" borderId="0" xfId="0" applyNumberFormat="1" applyFont="1" applyFill="1" applyAlignment="1">
      <alignment horizontal="center" vertical="center"/>
    </xf>
    <xf numFmtId="15" fontId="10" fillId="0" borderId="6" xfId="0" applyNumberFormat="1" applyFont="1" applyBorder="1"/>
    <xf numFmtId="173" fontId="10" fillId="0" borderId="6" xfId="2" applyNumberFormat="1" applyFont="1" applyBorder="1"/>
    <xf numFmtId="0" fontId="11" fillId="0" borderId="6" xfId="0" applyFont="1" applyBorder="1" applyAlignment="1">
      <alignment horizontal="left" vertical="center"/>
    </xf>
    <xf numFmtId="174" fontId="11" fillId="0" borderId="6" xfId="2" applyNumberFormat="1" applyFont="1" applyBorder="1" applyAlignment="1">
      <alignment horizontal="right" vertical="center"/>
    </xf>
    <xf numFmtId="0" fontId="11" fillId="0" borderId="6" xfId="1" applyNumberFormat="1" applyFont="1" applyBorder="1" applyAlignment="1">
      <alignment horizontal="left" vertical="center"/>
    </xf>
    <xf numFmtId="0" fontId="11" fillId="0" borderId="6" xfId="2" applyNumberFormat="1" applyFont="1" applyBorder="1" applyAlignment="1">
      <alignment horizontal="left" vertical="center"/>
    </xf>
    <xf numFmtId="0" fontId="16" fillId="2" borderId="0" xfId="0" applyFont="1" applyFill="1"/>
    <xf numFmtId="0" fontId="9" fillId="2" borderId="0" xfId="1" applyNumberFormat="1" applyFont="1" applyFill="1" applyAlignment="1">
      <alignment horizontal="right" vertical="center"/>
    </xf>
    <xf numFmtId="0" fontId="5" fillId="2" borderId="0" xfId="0" applyFont="1" applyFill="1"/>
    <xf numFmtId="0" fontId="10" fillId="0" borderId="0" xfId="0" applyFont="1" applyAlignment="1">
      <alignment horizontal="center" vertical="top"/>
    </xf>
    <xf numFmtId="0" fontId="10" fillId="0" borderId="6" xfId="0" applyFont="1" applyBorder="1" applyAlignment="1">
      <alignment horizontal="left" vertical="center" wrapText="1"/>
    </xf>
    <xf numFmtId="0" fontId="10" fillId="0" borderId="6" xfId="0" applyFont="1" applyBorder="1" applyAlignment="1">
      <alignment horizontal="left" vertical="center"/>
    </xf>
    <xf numFmtId="0" fontId="10" fillId="0" borderId="9" xfId="0" applyFont="1" applyBorder="1"/>
    <xf numFmtId="0" fontId="10" fillId="0" borderId="10" xfId="0" applyFont="1" applyBorder="1"/>
    <xf numFmtId="0" fontId="10" fillId="0" borderId="11" xfId="0" applyFont="1" applyBorder="1"/>
    <xf numFmtId="0" fontId="10" fillId="0" borderId="3" xfId="0" applyFont="1" applyBorder="1" applyAlignment="1">
      <alignment horizontal="center" vertical="top"/>
    </xf>
    <xf numFmtId="2" fontId="10" fillId="0" borderId="12" xfId="0" applyNumberFormat="1" applyFont="1" applyBorder="1" applyAlignment="1">
      <alignment horizontal="right"/>
    </xf>
    <xf numFmtId="0" fontId="10" fillId="0" borderId="1" xfId="0" applyFont="1" applyBorder="1"/>
    <xf numFmtId="2" fontId="10" fillId="0" borderId="13" xfId="0" applyNumberFormat="1" applyFont="1" applyBorder="1" applyAlignment="1">
      <alignment horizontal="right"/>
    </xf>
    <xf numFmtId="0" fontId="10" fillId="0" borderId="14" xfId="0" applyFont="1" applyBorder="1"/>
    <xf numFmtId="2" fontId="10" fillId="0" borderId="15" xfId="0" applyNumberFormat="1" applyFont="1" applyBorder="1" applyAlignment="1">
      <alignment horizontal="right"/>
    </xf>
    <xf numFmtId="10" fontId="10" fillId="0" borderId="12" xfId="0" applyNumberFormat="1" applyFont="1" applyBorder="1" applyAlignment="1">
      <alignment horizontal="right"/>
    </xf>
    <xf numFmtId="0" fontId="10" fillId="0" borderId="0" xfId="0" applyFont="1" applyAlignment="1">
      <alignment horizontal="left" vertical="center"/>
    </xf>
    <xf numFmtId="10" fontId="10" fillId="0" borderId="13" xfId="0" applyNumberFormat="1" applyFont="1" applyBorder="1" applyAlignment="1">
      <alignment horizontal="right"/>
    </xf>
    <xf numFmtId="0" fontId="4" fillId="0" borderId="0" xfId="0" applyFont="1" applyAlignment="1">
      <alignment horizontal="left" vertical="center"/>
    </xf>
    <xf numFmtId="0" fontId="11" fillId="0" borderId="0" xfId="0" applyFont="1" applyAlignment="1">
      <alignment horizontal="left" vertical="center"/>
    </xf>
    <xf numFmtId="0" fontId="10" fillId="0" borderId="0" xfId="0" applyFont="1" applyAlignment="1">
      <alignment horizontal="right" vertical="center"/>
    </xf>
    <xf numFmtId="10" fontId="4" fillId="0" borderId="0" xfId="2" applyNumberFormat="1" applyFont="1" applyAlignment="1">
      <alignment horizontal="right" vertical="center"/>
    </xf>
    <xf numFmtId="15" fontId="17" fillId="0" borderId="0" xfId="0" applyNumberFormat="1" applyFont="1" applyAlignment="1">
      <alignment horizontal="right" vertical="center"/>
    </xf>
    <xf numFmtId="0" fontId="17" fillId="0" borderId="0" xfId="0" applyFont="1" applyAlignment="1">
      <alignment horizontal="right" vertical="center"/>
    </xf>
    <xf numFmtId="173" fontId="17" fillId="0" borderId="0" xfId="2" applyNumberFormat="1" applyFont="1" applyBorder="1" applyAlignment="1">
      <alignment horizontal="right" vertical="center"/>
    </xf>
    <xf numFmtId="0" fontId="11" fillId="0" borderId="0" xfId="0" applyFont="1" applyAlignment="1">
      <alignment horizontal="right" vertical="center"/>
    </xf>
    <xf numFmtId="4" fontId="11" fillId="0" borderId="0" xfId="0" applyNumberFormat="1" applyFont="1" applyAlignment="1">
      <alignment horizontal="right" vertical="center"/>
    </xf>
    <xf numFmtId="15" fontId="17" fillId="0" borderId="7" xfId="0" applyNumberFormat="1" applyFont="1" applyBorder="1" applyAlignment="1">
      <alignment horizontal="right" vertical="center"/>
    </xf>
    <xf numFmtId="0" fontId="17" fillId="0" borderId="7" xfId="0" applyFont="1" applyBorder="1" applyAlignment="1">
      <alignment horizontal="right" vertical="center"/>
    </xf>
    <xf numFmtId="173" fontId="17" fillId="0" borderId="7" xfId="2" applyNumberFormat="1" applyFont="1" applyBorder="1" applyAlignment="1">
      <alignment horizontal="right" vertical="center"/>
    </xf>
    <xf numFmtId="15" fontId="17" fillId="0" borderId="6" xfId="0" applyNumberFormat="1" applyFont="1" applyBorder="1" applyAlignment="1">
      <alignment horizontal="right" vertical="center"/>
    </xf>
    <xf numFmtId="0" fontId="17" fillId="0" borderId="6" xfId="0" applyFont="1" applyBorder="1" applyAlignment="1">
      <alignment horizontal="right" vertical="center"/>
    </xf>
    <xf numFmtId="173" fontId="17" fillId="0" borderId="6" xfId="2" applyNumberFormat="1" applyFont="1" applyBorder="1" applyAlignment="1">
      <alignment horizontal="right" vertical="center"/>
    </xf>
    <xf numFmtId="2" fontId="12" fillId="2" borderId="0" xfId="1" applyNumberFormat="1" applyFont="1" applyFill="1" applyAlignment="1">
      <alignment horizontal="center" vertical="center"/>
    </xf>
    <xf numFmtId="2" fontId="12" fillId="2" borderId="0" xfId="0" applyNumberFormat="1" applyFont="1" applyFill="1" applyAlignment="1">
      <alignment horizontal="center" vertical="center" wrapText="1"/>
    </xf>
    <xf numFmtId="0" fontId="9" fillId="2" borderId="0" xfId="0" applyFont="1" applyFill="1" applyAlignment="1">
      <alignment horizontal="center" vertical="center"/>
    </xf>
    <xf numFmtId="176" fontId="10" fillId="0" borderId="6" xfId="0" applyNumberFormat="1" applyFont="1" applyBorder="1"/>
    <xf numFmtId="177" fontId="10" fillId="0" borderId="6" xfId="2" applyNumberFormat="1" applyFont="1" applyBorder="1"/>
    <xf numFmtId="15" fontId="10" fillId="0" borderId="0" xfId="0" applyNumberFormat="1" applyFont="1"/>
    <xf numFmtId="176" fontId="10" fillId="0" borderId="0" xfId="0" applyNumberFormat="1" applyFont="1"/>
    <xf numFmtId="173" fontId="10" fillId="0" borderId="0" xfId="2" applyNumberFormat="1" applyFont="1" applyFill="1" applyBorder="1"/>
    <xf numFmtId="173" fontId="10" fillId="0" borderId="0" xfId="2" applyNumberFormat="1" applyFont="1" applyBorder="1"/>
    <xf numFmtId="43" fontId="11" fillId="0" borderId="4" xfId="1" applyFont="1" applyBorder="1" applyAlignment="1">
      <alignment horizontal="right" vertical="center"/>
    </xf>
    <xf numFmtId="2" fontId="12" fillId="2" borderId="0" xfId="0" applyNumberFormat="1" applyFont="1" applyFill="1" applyAlignment="1">
      <alignment horizontal="right" vertical="center"/>
    </xf>
    <xf numFmtId="10" fontId="10" fillId="0" borderId="0" xfId="2" applyNumberFormat="1" applyFont="1" applyAlignment="1">
      <alignment horizontal="right"/>
    </xf>
    <xf numFmtId="10" fontId="10" fillId="0" borderId="0" xfId="2" applyNumberFormat="1" applyFont="1" applyBorder="1" applyAlignment="1">
      <alignment horizontal="right"/>
    </xf>
    <xf numFmtId="10" fontId="10" fillId="0" borderId="15" xfId="2" applyNumberFormat="1" applyFont="1" applyBorder="1" applyAlignment="1">
      <alignment horizontal="right"/>
    </xf>
    <xf numFmtId="167" fontId="10" fillId="0" borderId="0" xfId="0" applyNumberFormat="1" applyFont="1"/>
    <xf numFmtId="14" fontId="10" fillId="0" borderId="0" xfId="0" applyNumberFormat="1" applyFont="1"/>
    <xf numFmtId="14" fontId="10" fillId="0" borderId="0" xfId="0" applyNumberFormat="1" applyFont="1" applyAlignment="1">
      <alignment horizontal="right" vertical="center"/>
    </xf>
    <xf numFmtId="166" fontId="10" fillId="8" borderId="6" xfId="1" applyNumberFormat="1" applyFont="1" applyFill="1" applyBorder="1" applyAlignment="1">
      <alignment horizontal="right" vertical="center"/>
    </xf>
    <xf numFmtId="166" fontId="10" fillId="5" borderId="6" xfId="1" applyNumberFormat="1" applyFont="1" applyFill="1" applyBorder="1" applyAlignment="1">
      <alignment horizontal="right" vertical="center"/>
    </xf>
    <xf numFmtId="166" fontId="10" fillId="9" borderId="6" xfId="1" applyNumberFormat="1" applyFont="1" applyFill="1" applyBorder="1" applyAlignment="1">
      <alignment horizontal="right" vertical="center"/>
    </xf>
    <xf numFmtId="0" fontId="9" fillId="5" borderId="0" xfId="0" applyFont="1" applyFill="1"/>
    <xf numFmtId="0" fontId="10" fillId="5" borderId="0" xfId="0" applyFont="1" applyFill="1"/>
    <xf numFmtId="0" fontId="12" fillId="5" borderId="0" xfId="0" applyFont="1" applyFill="1"/>
    <xf numFmtId="2" fontId="12" fillId="5" borderId="0" xfId="1" applyNumberFormat="1" applyFont="1" applyFill="1" applyAlignment="1">
      <alignment horizontal="right" vertical="center"/>
    </xf>
    <xf numFmtId="2" fontId="12" fillId="5" borderId="0" xfId="0" applyNumberFormat="1" applyFont="1" applyFill="1"/>
    <xf numFmtId="0" fontId="16" fillId="2" borderId="6" xfId="0" applyFont="1" applyFill="1" applyBorder="1"/>
    <xf numFmtId="0" fontId="4" fillId="0" borderId="6" xfId="0" applyFont="1" applyBorder="1"/>
    <xf numFmtId="0" fontId="4" fillId="10" borderId="6" xfId="0" applyFont="1" applyFill="1" applyBorder="1"/>
    <xf numFmtId="0" fontId="19" fillId="0" borderId="6" xfId="3" applyBorder="1"/>
    <xf numFmtId="10" fontId="4" fillId="0" borderId="0" xfId="2" applyNumberFormat="1" applyFont="1" applyFill="1" applyAlignment="1">
      <alignment horizontal="right" vertical="center"/>
    </xf>
    <xf numFmtId="10" fontId="4" fillId="0" borderId="0" xfId="2" applyNumberFormat="1" applyFont="1" applyFill="1" applyBorder="1" applyAlignment="1">
      <alignment horizontal="right" vertical="center"/>
    </xf>
    <xf numFmtId="43" fontId="4" fillId="0" borderId="0" xfId="1" applyFont="1" applyFill="1" applyAlignment="1">
      <alignment horizontal="right" vertical="center"/>
    </xf>
    <xf numFmtId="164" fontId="4" fillId="0" borderId="0" xfId="0" applyNumberFormat="1" applyFont="1"/>
    <xf numFmtId="165" fontId="4" fillId="0" borderId="0" xfId="0" applyNumberFormat="1" applyFont="1"/>
    <xf numFmtId="0" fontId="7" fillId="0" borderId="0" xfId="1" applyNumberFormat="1" applyFont="1" applyFill="1" applyAlignment="1">
      <alignment horizontal="right" vertical="center"/>
    </xf>
    <xf numFmtId="43" fontId="18" fillId="0" borderId="0" xfId="1" applyFont="1" applyAlignment="1">
      <alignment horizontal="right" vertical="center"/>
    </xf>
    <xf numFmtId="43" fontId="18" fillId="0" borderId="0" xfId="1" applyFont="1"/>
    <xf numFmtId="0" fontId="4" fillId="0" borderId="6" xfId="0" applyFont="1" applyBorder="1" applyAlignment="1">
      <alignment horizontal="center" vertical="center"/>
    </xf>
    <xf numFmtId="166" fontId="10" fillId="0" borderId="6" xfId="1" applyNumberFormat="1" applyFont="1" applyBorder="1" applyAlignment="1">
      <alignment horizontal="center" vertical="center"/>
    </xf>
    <xf numFmtId="2" fontId="4" fillId="0" borderId="6" xfId="0" applyNumberFormat="1" applyFont="1" applyBorder="1"/>
    <xf numFmtId="10" fontId="4" fillId="0" borderId="6" xfId="0" applyNumberFormat="1" applyFont="1" applyBorder="1"/>
    <xf numFmtId="9" fontId="4" fillId="0" borderId="6" xfId="0" applyNumberFormat="1" applyFont="1" applyBorder="1"/>
    <xf numFmtId="2" fontId="4" fillId="0" borderId="6" xfId="0" applyNumberFormat="1" applyFont="1" applyBorder="1" applyAlignment="1">
      <alignment horizontal="center" vertical="center"/>
    </xf>
    <xf numFmtId="10" fontId="4" fillId="0" borderId="6" xfId="2" applyNumberFormat="1" applyFont="1" applyFill="1" applyBorder="1" applyAlignment="1">
      <alignment horizontal="center" vertical="center"/>
    </xf>
    <xf numFmtId="0" fontId="4" fillId="0" borderId="6" xfId="0" applyFont="1" applyBorder="1" applyAlignment="1">
      <alignment horizontal="left" vertical="center"/>
    </xf>
    <xf numFmtId="43" fontId="4" fillId="0" borderId="6" xfId="1" applyFont="1" applyBorder="1"/>
    <xf numFmtId="0" fontId="4" fillId="0" borderId="6" xfId="1" applyNumberFormat="1" applyFont="1" applyBorder="1" applyAlignment="1">
      <alignment horizontal="left" vertical="center"/>
    </xf>
    <xf numFmtId="43" fontId="4" fillId="0" borderId="6" xfId="1" applyFont="1" applyBorder="1" applyAlignment="1">
      <alignment horizontal="right" vertical="center"/>
    </xf>
    <xf numFmtId="0" fontId="4" fillId="0" borderId="6" xfId="1" applyNumberFormat="1" applyFont="1" applyFill="1" applyBorder="1" applyAlignment="1">
      <alignment horizontal="left" vertical="center"/>
    </xf>
    <xf numFmtId="10" fontId="4" fillId="0" borderId="6" xfId="2" applyNumberFormat="1" applyFont="1" applyFill="1" applyBorder="1" applyAlignment="1">
      <alignment horizontal="right" vertical="center"/>
    </xf>
    <xf numFmtId="43" fontId="4" fillId="0" borderId="6" xfId="1" applyFont="1" applyFill="1" applyBorder="1" applyAlignment="1">
      <alignment horizontal="right" vertical="center"/>
    </xf>
    <xf numFmtId="10" fontId="4" fillId="0" borderId="6" xfId="1" applyNumberFormat="1" applyFont="1" applyFill="1" applyBorder="1" applyAlignment="1">
      <alignment horizontal="right" vertical="center"/>
    </xf>
    <xf numFmtId="178" fontId="4" fillId="0" borderId="6" xfId="1" applyNumberFormat="1" applyFont="1" applyBorder="1" applyAlignment="1">
      <alignment horizontal="right" vertical="center"/>
    </xf>
    <xf numFmtId="2" fontId="16" fillId="2" borderId="6" xfId="0" applyNumberFormat="1" applyFont="1" applyFill="1" applyBorder="1" applyAlignment="1">
      <alignment horizontal="right"/>
    </xf>
    <xf numFmtId="0" fontId="2" fillId="0" borderId="1" xfId="0" applyFont="1" applyBorder="1"/>
    <xf numFmtId="165" fontId="2" fillId="0" borderId="1" xfId="0" applyNumberFormat="1" applyFont="1" applyBorder="1"/>
    <xf numFmtId="165" fontId="2" fillId="0" borderId="0" xfId="0" applyNumberFormat="1" applyFont="1"/>
    <xf numFmtId="43" fontId="2" fillId="2" borderId="0" xfId="1" applyFont="1" applyFill="1" applyAlignment="1">
      <alignment horizontal="right" vertical="center"/>
    </xf>
    <xf numFmtId="0" fontId="7" fillId="0" borderId="6" xfId="0" applyFont="1" applyBorder="1"/>
    <xf numFmtId="43" fontId="4" fillId="0" borderId="6" xfId="0" applyNumberFormat="1" applyFont="1" applyBorder="1"/>
    <xf numFmtId="0" fontId="7" fillId="0" borderId="8" xfId="0" applyFont="1" applyBorder="1"/>
    <xf numFmtId="0" fontId="11" fillId="0" borderId="0" xfId="2" applyNumberFormat="1" applyFont="1" applyBorder="1" applyAlignment="1">
      <alignment horizontal="left" vertical="center"/>
    </xf>
    <xf numFmtId="2" fontId="11" fillId="0" borderId="0" xfId="2" applyNumberFormat="1" applyFont="1" applyBorder="1" applyAlignment="1">
      <alignment horizontal="right" vertical="center"/>
    </xf>
    <xf numFmtId="0" fontId="9" fillId="7" borderId="6" xfId="0" applyFont="1" applyFill="1" applyBorder="1" applyAlignment="1">
      <alignment horizontal="center" vertical="center"/>
    </xf>
    <xf numFmtId="0" fontId="11" fillId="0" borderId="8" xfId="0" applyFont="1" applyBorder="1" applyAlignment="1">
      <alignment horizontal="left" vertical="center"/>
    </xf>
    <xf numFmtId="0" fontId="11" fillId="0" borderId="6" xfId="0" applyFont="1" applyBorder="1" applyAlignment="1">
      <alignment vertical="center"/>
    </xf>
    <xf numFmtId="0" fontId="24" fillId="2" borderId="6" xfId="0" applyFont="1" applyFill="1" applyBorder="1"/>
    <xf numFmtId="2" fontId="24" fillId="2" borderId="6" xfId="0" applyNumberFormat="1" applyFont="1" applyFill="1" applyBorder="1"/>
    <xf numFmtId="10" fontId="16" fillId="2" borderId="6" xfId="0" applyNumberFormat="1" applyFont="1" applyFill="1" applyBorder="1"/>
    <xf numFmtId="0" fontId="10" fillId="0" borderId="0" xfId="0" applyFont="1" applyAlignment="1">
      <alignment horizontal="left" vertical="center" wrapText="1"/>
    </xf>
    <xf numFmtId="0" fontId="9" fillId="0" borderId="0" xfId="0" applyFont="1"/>
    <xf numFmtId="0" fontId="12" fillId="0" borderId="0" xfId="0" applyFont="1"/>
    <xf numFmtId="2" fontId="12" fillId="0" borderId="0" xfId="1" applyNumberFormat="1" applyFont="1" applyFill="1" applyAlignment="1">
      <alignment horizontal="right" vertical="center"/>
    </xf>
    <xf numFmtId="2" fontId="12" fillId="0" borderId="0" xfId="0" applyNumberFormat="1" applyFont="1"/>
    <xf numFmtId="43" fontId="11" fillId="0" borderId="0" xfId="1" applyFont="1" applyFill="1" applyAlignment="1">
      <alignment horizontal="right" vertical="center"/>
    </xf>
    <xf numFmtId="43" fontId="18" fillId="0" borderId="0" xfId="1" applyFont="1" applyFill="1" applyAlignment="1">
      <alignment horizontal="right" vertical="center"/>
    </xf>
    <xf numFmtId="43" fontId="10" fillId="0" borderId="0" xfId="1" applyFont="1" applyFill="1" applyAlignment="1">
      <alignment horizontal="right" vertical="center"/>
    </xf>
    <xf numFmtId="43" fontId="18" fillId="0" borderId="0" xfId="1" applyFont="1" applyFill="1"/>
    <xf numFmtId="0" fontId="9" fillId="0" borderId="0" xfId="0" applyFont="1" applyAlignment="1">
      <alignment horizontal="center" vertical="center"/>
    </xf>
    <xf numFmtId="0" fontId="12" fillId="0" borderId="0" xfId="0" applyFont="1" applyAlignment="1">
      <alignment horizontal="center" vertical="center"/>
    </xf>
    <xf numFmtId="2" fontId="12" fillId="0" borderId="0" xfId="1" applyNumberFormat="1" applyFont="1" applyFill="1" applyAlignment="1">
      <alignment horizontal="center" vertical="center"/>
    </xf>
    <xf numFmtId="2" fontId="12" fillId="0" borderId="0" xfId="0" applyNumberFormat="1" applyFont="1" applyAlignment="1">
      <alignment horizontal="center" vertical="center" wrapText="1"/>
    </xf>
    <xf numFmtId="43" fontId="25" fillId="0" borderId="0" xfId="1" applyFont="1" applyAlignment="1">
      <alignment horizontal="right" vertical="center"/>
    </xf>
    <xf numFmtId="9" fontId="10" fillId="0" borderId="0" xfId="2" applyFont="1" applyFill="1" applyBorder="1"/>
    <xf numFmtId="166" fontId="10" fillId="0" borderId="0" xfId="1" applyNumberFormat="1" applyFont="1" applyFill="1" applyBorder="1" applyAlignment="1">
      <alignment horizontal="right" vertical="center"/>
    </xf>
    <xf numFmtId="0" fontId="9" fillId="0" borderId="0" xfId="0" applyFont="1" applyAlignment="1">
      <alignment horizontal="center" vertical="center" textRotation="90" wrapText="1"/>
    </xf>
    <xf numFmtId="170" fontId="10" fillId="0" borderId="6" xfId="0" applyNumberFormat="1" applyFont="1" applyBorder="1"/>
    <xf numFmtId="1" fontId="10" fillId="0" borderId="6" xfId="0" applyNumberFormat="1" applyFont="1" applyBorder="1"/>
    <xf numFmtId="1" fontId="10" fillId="9" borderId="6" xfId="0" applyNumberFormat="1" applyFont="1" applyFill="1" applyBorder="1"/>
    <xf numFmtId="1" fontId="10" fillId="8" borderId="6" xfId="0" applyNumberFormat="1" applyFont="1" applyFill="1" applyBorder="1"/>
    <xf numFmtId="15" fontId="10" fillId="0" borderId="8" xfId="0" applyNumberFormat="1" applyFont="1" applyBorder="1"/>
    <xf numFmtId="176" fontId="10" fillId="0" borderId="8" xfId="0" applyNumberFormat="1" applyFont="1" applyBorder="1"/>
    <xf numFmtId="173" fontId="10" fillId="0" borderId="8" xfId="2" applyNumberFormat="1" applyFont="1" applyBorder="1"/>
    <xf numFmtId="0" fontId="23" fillId="0" borderId="0" xfId="0" applyFont="1" applyAlignment="1">
      <alignment horizontal="center"/>
    </xf>
    <xf numFmtId="0" fontId="10" fillId="0" borderId="6" xfId="0" applyFont="1" applyBorder="1" applyAlignment="1">
      <alignment horizontal="left" vertical="center" wrapText="1"/>
    </xf>
    <xf numFmtId="0" fontId="9" fillId="7" borderId="6" xfId="0" applyFont="1" applyFill="1" applyBorder="1" applyAlignment="1">
      <alignment horizontal="center" vertical="center"/>
    </xf>
    <xf numFmtId="0" fontId="10" fillId="0" borderId="9" xfId="0" applyFont="1" applyBorder="1" applyAlignment="1">
      <alignment horizontal="left" vertical="center" wrapText="1"/>
    </xf>
    <xf numFmtId="0" fontId="10" fillId="0" borderId="2" xfId="0" applyFont="1" applyBorder="1" applyAlignment="1">
      <alignment horizontal="left" vertical="center" wrapText="1"/>
    </xf>
    <xf numFmtId="0" fontId="10" fillId="0" borderId="10" xfId="0" applyFont="1" applyBorder="1" applyAlignment="1">
      <alignment horizontal="left" vertical="center" wrapText="1"/>
    </xf>
    <xf numFmtId="0" fontId="10" fillId="0" borderId="6" xfId="0" applyFont="1" applyBorder="1" applyAlignment="1">
      <alignment vertical="center" wrapText="1"/>
    </xf>
    <xf numFmtId="0" fontId="10" fillId="0" borderId="14" xfId="0" applyFont="1" applyBorder="1" applyAlignment="1">
      <alignment horizontal="left" vertical="center"/>
    </xf>
    <xf numFmtId="0" fontId="10" fillId="0" borderId="5" xfId="0" applyFont="1" applyBorder="1" applyAlignment="1">
      <alignment horizontal="left" vertical="center"/>
    </xf>
    <xf numFmtId="0" fontId="10" fillId="0" borderId="6" xfId="0" applyFont="1" applyBorder="1" applyAlignment="1">
      <alignment horizontal="left" wrapText="1"/>
    </xf>
    <xf numFmtId="0" fontId="9" fillId="2" borderId="6" xfId="0" applyFont="1" applyFill="1" applyBorder="1" applyAlignment="1">
      <alignment horizontal="left" vertical="center"/>
    </xf>
    <xf numFmtId="0" fontId="9" fillId="2" borderId="8" xfId="0" applyFont="1" applyFill="1" applyBorder="1" applyAlignment="1">
      <alignment horizontal="center"/>
    </xf>
    <xf numFmtId="0" fontId="21" fillId="0" borderId="6" xfId="3" applyFont="1" applyBorder="1" applyAlignment="1">
      <alignment horizontal="left" vertical="center"/>
    </xf>
    <xf numFmtId="2" fontId="10" fillId="0" borderId="6" xfId="0" applyNumberFormat="1" applyFont="1" applyBorder="1" applyAlignment="1">
      <alignment horizontal="left" vertical="center"/>
    </xf>
    <xf numFmtId="0" fontId="10" fillId="0" borderId="6" xfId="0" applyFont="1" applyBorder="1" applyAlignment="1">
      <alignment horizontal="left" vertical="center"/>
    </xf>
    <xf numFmtId="0" fontId="11" fillId="0" borderId="6" xfId="0" applyFont="1" applyBorder="1" applyAlignment="1">
      <alignment horizontal="left" vertical="center"/>
    </xf>
    <xf numFmtId="0" fontId="10" fillId="0" borderId="11" xfId="0" applyFont="1" applyBorder="1" applyAlignment="1">
      <alignment horizontal="left" vertical="center"/>
    </xf>
    <xf numFmtId="0" fontId="10" fillId="0" borderId="3" xfId="0" applyFont="1" applyBorder="1" applyAlignment="1">
      <alignment horizontal="left" vertical="center"/>
    </xf>
    <xf numFmtId="0" fontId="10" fillId="0" borderId="1" xfId="0" applyFont="1" applyBorder="1" applyAlignment="1">
      <alignment horizontal="left" vertical="center"/>
    </xf>
    <xf numFmtId="0" fontId="10" fillId="0" borderId="0" xfId="0" applyFont="1" applyAlignment="1">
      <alignment horizontal="left" vertical="center"/>
    </xf>
    <xf numFmtId="0" fontId="10" fillId="0" borderId="9" xfId="0" applyFont="1" applyBorder="1" applyAlignment="1">
      <alignment horizontal="left" vertical="center"/>
    </xf>
    <xf numFmtId="0" fontId="10" fillId="0" borderId="2" xfId="0" applyFont="1" applyBorder="1" applyAlignment="1">
      <alignment horizontal="left" vertical="center"/>
    </xf>
    <xf numFmtId="0" fontId="10" fillId="0" borderId="10" xfId="0" applyFont="1" applyBorder="1" applyAlignment="1">
      <alignment horizontal="left" vertical="center"/>
    </xf>
    <xf numFmtId="0" fontId="11" fillId="0" borderId="8" xfId="0" applyFont="1" applyBorder="1" applyAlignment="1">
      <alignment horizontal="left" vertical="center"/>
    </xf>
    <xf numFmtId="0" fontId="11" fillId="0" borderId="16" xfId="0" applyFont="1" applyBorder="1" applyAlignment="1">
      <alignment horizontal="left" vertical="center"/>
    </xf>
    <xf numFmtId="0" fontId="11" fillId="0" borderId="7" xfId="0" applyFont="1" applyBorder="1" applyAlignment="1">
      <alignment horizontal="left" vertical="center"/>
    </xf>
    <xf numFmtId="0" fontId="12" fillId="2" borderId="0" xfId="0" applyFont="1" applyFill="1" applyAlignment="1">
      <alignment horizontal="center" vertical="center"/>
    </xf>
    <xf numFmtId="0" fontId="12" fillId="2" borderId="0" xfId="0" applyFont="1" applyFill="1" applyAlignment="1">
      <alignment horizontal="center" vertical="center" wrapText="1"/>
    </xf>
    <xf numFmtId="0" fontId="9" fillId="2" borderId="13" xfId="0" applyFont="1" applyFill="1" applyBorder="1" applyAlignment="1">
      <alignment horizontal="center" vertical="center" textRotation="90" wrapText="1"/>
    </xf>
    <xf numFmtId="0" fontId="9" fillId="2" borderId="0" xfId="0" applyFont="1" applyFill="1" applyAlignment="1">
      <alignment horizontal="center"/>
    </xf>
    <xf numFmtId="0" fontId="12" fillId="2" borderId="0" xfId="0" applyFont="1" applyFill="1" applyAlignment="1">
      <alignment horizontal="center"/>
    </xf>
    <xf numFmtId="0" fontId="10" fillId="0" borderId="0" xfId="0" applyFont="1" applyAlignment="1">
      <alignment horizontal="center" vertical="center"/>
    </xf>
    <xf numFmtId="0" fontId="10" fillId="0" borderId="5" xfId="0" applyFont="1" applyBorder="1" applyAlignment="1">
      <alignment horizontal="center" vertical="center"/>
    </xf>
    <xf numFmtId="164" fontId="20" fillId="5" borderId="0" xfId="0" applyNumberFormat="1" applyFont="1" applyFill="1" applyAlignment="1">
      <alignment horizontal="center" vertical="center"/>
    </xf>
    <xf numFmtId="164" fontId="20" fillId="5" borderId="5" xfId="0" applyNumberFormat="1" applyFont="1" applyFill="1" applyBorder="1" applyAlignment="1">
      <alignment horizontal="center" vertical="center"/>
    </xf>
    <xf numFmtId="165" fontId="20" fillId="5" borderId="0" xfId="0" applyNumberFormat="1" applyFont="1" applyFill="1" applyAlignment="1">
      <alignment horizontal="center" vertical="center"/>
    </xf>
    <xf numFmtId="165" fontId="20" fillId="5" borderId="5" xfId="0" applyNumberFormat="1" applyFont="1" applyFill="1" applyBorder="1" applyAlignment="1">
      <alignment horizontal="center" vertical="center"/>
    </xf>
    <xf numFmtId="0" fontId="11" fillId="0" borderId="0" xfId="0" applyFont="1" applyAlignment="1">
      <alignment horizontal="center" vertical="center"/>
    </xf>
    <xf numFmtId="0" fontId="9" fillId="2" borderId="0" xfId="0" applyFont="1" applyFill="1" applyAlignment="1">
      <alignment horizontal="center" vertical="center"/>
    </xf>
    <xf numFmtId="10" fontId="12" fillId="2" borderId="0" xfId="0" applyNumberFormat="1" applyFont="1" applyFill="1" applyAlignment="1">
      <alignment horizontal="center" vertical="center"/>
    </xf>
    <xf numFmtId="0" fontId="9" fillId="2" borderId="0" xfId="1" applyNumberFormat="1" applyFont="1" applyFill="1" applyAlignment="1">
      <alignment horizontal="center" vertical="center"/>
    </xf>
    <xf numFmtId="0" fontId="16" fillId="2" borderId="6" xfId="0" applyFont="1" applyFill="1" applyBorder="1" applyAlignment="1">
      <alignment horizontal="center" vertical="center"/>
    </xf>
    <xf numFmtId="0" fontId="16" fillId="2" borderId="0" xfId="0" applyFont="1" applyFill="1" applyAlignment="1">
      <alignment horizontal="center" vertical="center"/>
    </xf>
  </cellXfs>
  <cellStyles count="4">
    <cellStyle name="Comma" xfId="1" builtinId="3"/>
    <cellStyle name="Hyperlink" xfId="3" builtinId="8"/>
    <cellStyle name="Normal" xfId="0" builtinId="0"/>
    <cellStyle name="Percent" xfId="2" builtinId="5"/>
  </cellStyles>
  <dxfs count="13">
    <dxf>
      <font>
        <color auto="1"/>
      </font>
      <fill>
        <patternFill>
          <bgColor theme="9" tint="0.39994506668294322"/>
        </patternFill>
      </fill>
    </dxf>
    <dxf>
      <font>
        <color rgb="FF9C0006"/>
      </font>
    </dxf>
    <dxf>
      <font>
        <color rgb="FF9C0006"/>
      </font>
      <fill>
        <patternFill>
          <bgColor rgb="FFFFC7CE"/>
        </patternFill>
      </fill>
    </dxf>
    <dxf>
      <font>
        <color auto="1"/>
      </font>
      <fill>
        <patternFill>
          <bgColor theme="9" tint="0.39994506668294322"/>
        </patternFill>
      </fill>
    </dxf>
    <dxf>
      <fill>
        <patternFill>
          <bgColor rgb="FFFF0000"/>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Stock</a:t>
            </a:r>
            <a:r>
              <a:rPr lang="en-IN" baseline="0"/>
              <a:t> Valuation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tx>
            <c:strRef>
              <c:f>Summary!$B$24</c:f>
              <c:strCache>
                <c:ptCount val="1"/>
                <c:pt idx="0">
                  <c:v>Open</c:v>
                </c:pt>
              </c:strCache>
            </c:strRef>
          </c:tx>
          <c:spPr>
            <a:ln w="19050" cap="rnd">
              <a:noFill/>
              <a:round/>
            </a:ln>
            <a:effectLst/>
          </c:spPr>
          <c:marker>
            <c:symbol val="none"/>
          </c:marker>
          <c:dLbls>
            <c:numFmt formatCode="[$₹-43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Summary!$C$23:$F$23</c:f>
              <c:strCache>
                <c:ptCount val="4"/>
                <c:pt idx="0">
                  <c:v>Comps</c:v>
                </c:pt>
                <c:pt idx="1">
                  <c:v>DCF</c:v>
                </c:pt>
                <c:pt idx="2">
                  <c:v>52 Week High/Low</c:v>
                </c:pt>
                <c:pt idx="3">
                  <c:v>Market Consensus</c:v>
                </c:pt>
              </c:strCache>
            </c:strRef>
          </c:cat>
          <c:val>
            <c:numRef>
              <c:f>Summary!$C$24:$F$24</c:f>
              <c:numCache>
                <c:formatCode>0.00</c:formatCode>
                <c:ptCount val="4"/>
                <c:pt idx="0" formatCode="_(* #,##0.00_);_(* \(#,##0.00\);_(* &quot;-&quot;??_);_(@_)">
                  <c:v>862.01310203565527</c:v>
                </c:pt>
                <c:pt idx="1">
                  <c:v>752.26</c:v>
                </c:pt>
                <c:pt idx="2">
                  <c:v>634.20000000000005</c:v>
                </c:pt>
                <c:pt idx="3">
                  <c:v>671</c:v>
                </c:pt>
              </c:numCache>
            </c:numRef>
          </c:val>
          <c:smooth val="0"/>
          <c:extLst>
            <c:ext xmlns:c16="http://schemas.microsoft.com/office/drawing/2014/chart" uri="{C3380CC4-5D6E-409C-BE32-E72D297353CC}">
              <c16:uniqueId val="{00000000-B3B5-413F-A2C5-4ECF1D1F0C3C}"/>
            </c:ext>
          </c:extLst>
        </c:ser>
        <c:ser>
          <c:idx val="1"/>
          <c:order val="1"/>
          <c:tx>
            <c:strRef>
              <c:f>Summary!$B$25</c:f>
              <c:strCache>
                <c:ptCount val="1"/>
                <c:pt idx="0">
                  <c:v>High</c:v>
                </c:pt>
              </c:strCache>
            </c:strRef>
          </c:tx>
          <c:spPr>
            <a:ln w="19050" cap="rnd">
              <a:noFill/>
              <a:round/>
            </a:ln>
            <a:effectLst/>
          </c:spPr>
          <c:marker>
            <c:symbol val="none"/>
          </c:marker>
          <c:dLbls>
            <c:delete val="1"/>
          </c:dLbls>
          <c:cat>
            <c:strRef>
              <c:f>Summary!$C$23:$F$23</c:f>
              <c:strCache>
                <c:ptCount val="4"/>
                <c:pt idx="0">
                  <c:v>Comps</c:v>
                </c:pt>
                <c:pt idx="1">
                  <c:v>DCF</c:v>
                </c:pt>
                <c:pt idx="2">
                  <c:v>52 Week High/Low</c:v>
                </c:pt>
                <c:pt idx="3">
                  <c:v>Market Consensus</c:v>
                </c:pt>
              </c:strCache>
            </c:strRef>
          </c:cat>
          <c:val>
            <c:numRef>
              <c:f>Summary!$C$25:$F$25</c:f>
              <c:numCache>
                <c:formatCode>0.00</c:formatCode>
                <c:ptCount val="4"/>
                <c:pt idx="0" formatCode="_(* #,##0.00_);_(* \(#,##0.00\);_(* &quot;-&quot;??_);_(@_)">
                  <c:v>862.01310203565527</c:v>
                </c:pt>
                <c:pt idx="1">
                  <c:v>752.26</c:v>
                </c:pt>
                <c:pt idx="2">
                  <c:v>634.20000000000005</c:v>
                </c:pt>
                <c:pt idx="3">
                  <c:v>671</c:v>
                </c:pt>
              </c:numCache>
            </c:numRef>
          </c:val>
          <c:smooth val="0"/>
          <c:extLst>
            <c:ext xmlns:c16="http://schemas.microsoft.com/office/drawing/2014/chart" uri="{C3380CC4-5D6E-409C-BE32-E72D297353CC}">
              <c16:uniqueId val="{00000001-B3B5-413F-A2C5-4ECF1D1F0C3C}"/>
            </c:ext>
          </c:extLst>
        </c:ser>
        <c:ser>
          <c:idx val="2"/>
          <c:order val="2"/>
          <c:tx>
            <c:strRef>
              <c:f>Summary!$B$26</c:f>
              <c:strCache>
                <c:ptCount val="1"/>
                <c:pt idx="0">
                  <c:v>Low</c:v>
                </c:pt>
              </c:strCache>
            </c:strRef>
          </c:tx>
          <c:spPr>
            <a:ln w="19050" cap="rnd">
              <a:noFill/>
              <a:round/>
            </a:ln>
            <a:effectLst/>
          </c:spPr>
          <c:marker>
            <c:symbol val="none"/>
          </c:marker>
          <c:dLbls>
            <c:delete val="1"/>
          </c:dLbls>
          <c:cat>
            <c:strRef>
              <c:f>Summary!$C$23:$F$23</c:f>
              <c:strCache>
                <c:ptCount val="4"/>
                <c:pt idx="0">
                  <c:v>Comps</c:v>
                </c:pt>
                <c:pt idx="1">
                  <c:v>DCF</c:v>
                </c:pt>
                <c:pt idx="2">
                  <c:v>52 Week High/Low</c:v>
                </c:pt>
                <c:pt idx="3">
                  <c:v>Market Consensus</c:v>
                </c:pt>
              </c:strCache>
            </c:strRef>
          </c:cat>
          <c:val>
            <c:numRef>
              <c:f>Summary!$C$26:$F$26</c:f>
              <c:numCache>
                <c:formatCode>0.00</c:formatCode>
                <c:ptCount val="4"/>
                <c:pt idx="0" formatCode="_(* #,##0.00_);_(* \(#,##0.00\);_(* &quot;-&quot;??_);_(@_)">
                  <c:v>640.25525646676874</c:v>
                </c:pt>
                <c:pt idx="1">
                  <c:v>424.14</c:v>
                </c:pt>
                <c:pt idx="2">
                  <c:v>376.4</c:v>
                </c:pt>
                <c:pt idx="3">
                  <c:v>415</c:v>
                </c:pt>
              </c:numCache>
            </c:numRef>
          </c:val>
          <c:smooth val="0"/>
          <c:extLst>
            <c:ext xmlns:c16="http://schemas.microsoft.com/office/drawing/2014/chart" uri="{C3380CC4-5D6E-409C-BE32-E72D297353CC}">
              <c16:uniqueId val="{00000002-B3B5-413F-A2C5-4ECF1D1F0C3C}"/>
            </c:ext>
          </c:extLst>
        </c:ser>
        <c:ser>
          <c:idx val="3"/>
          <c:order val="3"/>
          <c:tx>
            <c:strRef>
              <c:f>Summary!$B$27</c:f>
              <c:strCache>
                <c:ptCount val="1"/>
                <c:pt idx="0">
                  <c:v>Close</c:v>
                </c:pt>
              </c:strCache>
            </c:strRef>
          </c:tx>
          <c:spPr>
            <a:ln w="19050" cap="rnd">
              <a:noFill/>
              <a:round/>
            </a:ln>
            <a:effectLst/>
          </c:spPr>
          <c:marker>
            <c:symbol val="none"/>
          </c:marker>
          <c:dLbls>
            <c:numFmt formatCode="[$₹-43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Summary!$C$23:$F$23</c:f>
              <c:strCache>
                <c:ptCount val="4"/>
                <c:pt idx="0">
                  <c:v>Comps</c:v>
                </c:pt>
                <c:pt idx="1">
                  <c:v>DCF</c:v>
                </c:pt>
                <c:pt idx="2">
                  <c:v>52 Week High/Low</c:v>
                </c:pt>
                <c:pt idx="3">
                  <c:v>Market Consensus</c:v>
                </c:pt>
              </c:strCache>
            </c:strRef>
          </c:cat>
          <c:val>
            <c:numRef>
              <c:f>Summary!$C$27:$F$27</c:f>
              <c:numCache>
                <c:formatCode>0.00</c:formatCode>
                <c:ptCount val="4"/>
                <c:pt idx="0" formatCode="_(* #,##0.00_);_(* \(#,##0.00\);_(* &quot;-&quot;??_);_(@_)">
                  <c:v>640.25525646676874</c:v>
                </c:pt>
                <c:pt idx="1">
                  <c:v>424.14</c:v>
                </c:pt>
                <c:pt idx="2">
                  <c:v>376.4</c:v>
                </c:pt>
                <c:pt idx="3">
                  <c:v>415</c:v>
                </c:pt>
              </c:numCache>
            </c:numRef>
          </c:val>
          <c:smooth val="0"/>
          <c:extLst>
            <c:ext xmlns:c16="http://schemas.microsoft.com/office/drawing/2014/chart" uri="{C3380CC4-5D6E-409C-BE32-E72D297353CC}">
              <c16:uniqueId val="{00000003-B3B5-413F-A2C5-4ECF1D1F0C3C}"/>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272563232"/>
        <c:axId val="1272553664"/>
      </c:stockChart>
      <c:catAx>
        <c:axId val="127256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553664"/>
        <c:crosses val="autoZero"/>
        <c:auto val="1"/>
        <c:lblAlgn val="ctr"/>
        <c:lblOffset val="100"/>
        <c:noMultiLvlLbl val="0"/>
      </c:catAx>
      <c:valAx>
        <c:axId val="127255366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56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519953</xdr:colOff>
      <xdr:row>32</xdr:row>
      <xdr:rowOff>0</xdr:rowOff>
    </xdr:from>
    <xdr:to>
      <xdr:col>23</xdr:col>
      <xdr:colOff>367553</xdr:colOff>
      <xdr:row>39</xdr:row>
      <xdr:rowOff>275716</xdr:rowOff>
    </xdr:to>
    <xdr:pic>
      <xdr:nvPicPr>
        <xdr:cNvPr id="3" name="Picture 2">
          <a:extLst>
            <a:ext uri="{FF2B5EF4-FFF2-40B4-BE49-F238E27FC236}">
              <a16:creationId xmlns:a16="http://schemas.microsoft.com/office/drawing/2014/main" id="{25B24918-8876-4E36-A7D0-8E1F6C911C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4612" y="7655859"/>
          <a:ext cx="7772400" cy="4516022"/>
        </a:xfrm>
        <a:prstGeom prst="rect">
          <a:avLst/>
        </a:prstGeom>
      </xdr:spPr>
    </xdr:pic>
    <xdr:clientData/>
  </xdr:twoCellAnchor>
  <xdr:twoCellAnchor editAs="oneCell">
    <xdr:from>
      <xdr:col>8</xdr:col>
      <xdr:colOff>573741</xdr:colOff>
      <xdr:row>2</xdr:row>
      <xdr:rowOff>62753</xdr:rowOff>
    </xdr:from>
    <xdr:to>
      <xdr:col>20</xdr:col>
      <xdr:colOff>143435</xdr:colOff>
      <xdr:row>15</xdr:row>
      <xdr:rowOff>89647</xdr:rowOff>
    </xdr:to>
    <xdr:pic>
      <xdr:nvPicPr>
        <xdr:cNvPr id="6" name="Picture 5">
          <a:extLst>
            <a:ext uri="{FF2B5EF4-FFF2-40B4-BE49-F238E27FC236}">
              <a16:creationId xmlns:a16="http://schemas.microsoft.com/office/drawing/2014/main" id="{82CC7E1A-CE14-48C3-B1B1-9D79AC9E4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839200" y="421341"/>
          <a:ext cx="6884894" cy="39892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779318</xdr:colOff>
      <xdr:row>29</xdr:row>
      <xdr:rowOff>100444</xdr:rowOff>
    </xdr:from>
    <xdr:to>
      <xdr:col>6</xdr:col>
      <xdr:colOff>60613</xdr:colOff>
      <xdr:row>49</xdr:row>
      <xdr:rowOff>51954</xdr:rowOff>
    </xdr:to>
    <xdr:graphicFrame macro="">
      <xdr:nvGraphicFramePr>
        <xdr:cNvPr id="2" name="Chart 1">
          <a:extLst>
            <a:ext uri="{FF2B5EF4-FFF2-40B4-BE49-F238E27FC236}">
              <a16:creationId xmlns:a16="http://schemas.microsoft.com/office/drawing/2014/main" id="{50DF4136-F5C7-460E-9AB3-C085CE137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554182</xdr:colOff>
      <xdr:row>42</xdr:row>
      <xdr:rowOff>138546</xdr:rowOff>
    </xdr:from>
    <xdr:to>
      <xdr:col>5</xdr:col>
      <xdr:colOff>1212273</xdr:colOff>
      <xdr:row>42</xdr:row>
      <xdr:rowOff>138546</xdr:rowOff>
    </xdr:to>
    <xdr:cxnSp macro="">
      <xdr:nvCxnSpPr>
        <xdr:cNvPr id="4" name="Straight Connector 3">
          <a:extLst>
            <a:ext uri="{FF2B5EF4-FFF2-40B4-BE49-F238E27FC236}">
              <a16:creationId xmlns:a16="http://schemas.microsoft.com/office/drawing/2014/main" id="{FCAADAAE-EB9E-4BC1-A25B-A5A59B5A6E9C}"/>
            </a:ext>
          </a:extLst>
        </xdr:cNvPr>
        <xdr:cNvCxnSpPr/>
      </xdr:nvCxnSpPr>
      <xdr:spPr>
        <a:xfrm>
          <a:off x="1342159" y="8356023"/>
          <a:ext cx="6961909" cy="0"/>
        </a:xfrm>
        <a:prstGeom prst="line">
          <a:avLst/>
        </a:prstGeom>
        <a:ln w="28575"/>
      </xdr:spPr>
      <xdr:style>
        <a:lnRef idx="3">
          <a:schemeClr val="accent2"/>
        </a:lnRef>
        <a:fillRef idx="0">
          <a:schemeClr val="accent2"/>
        </a:fillRef>
        <a:effectRef idx="2">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emamiltd.i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4B795-3F4F-42F2-B909-27D8EE8BE85E}">
  <dimension ref="B3:C17"/>
  <sheetViews>
    <sheetView workbookViewId="0">
      <selection activeCell="B15" sqref="B15"/>
    </sheetView>
  </sheetViews>
  <sheetFormatPr defaultRowHeight="14.4" x14ac:dyDescent="0.3"/>
  <cols>
    <col min="1" max="1" width="8.88671875" style="1"/>
    <col min="2" max="2" width="16.77734375" style="1" bestFit="1" customWidth="1"/>
    <col min="3" max="3" width="83" style="1" bestFit="1" customWidth="1"/>
    <col min="4" max="16384" width="8.88671875" style="1"/>
  </cols>
  <sheetData>
    <row r="3" spans="2:3" ht="18" x14ac:dyDescent="0.35">
      <c r="B3" s="277" t="s">
        <v>440</v>
      </c>
      <c r="C3" s="277"/>
    </row>
    <row r="5" spans="2:3" x14ac:dyDescent="0.3">
      <c r="B5" s="209" t="s">
        <v>441</v>
      </c>
      <c r="C5" s="209" t="s">
        <v>442</v>
      </c>
    </row>
    <row r="6" spans="2:3" x14ac:dyDescent="0.3">
      <c r="B6" s="212" t="s">
        <v>307</v>
      </c>
      <c r="C6" s="210" t="s">
        <v>443</v>
      </c>
    </row>
    <row r="7" spans="2:3" x14ac:dyDescent="0.3">
      <c r="B7" s="212" t="s">
        <v>400</v>
      </c>
      <c r="C7" s="210" t="s">
        <v>444</v>
      </c>
    </row>
    <row r="8" spans="2:3" x14ac:dyDescent="0.3">
      <c r="B8" s="212" t="s">
        <v>445</v>
      </c>
      <c r="C8" s="210" t="s">
        <v>450</v>
      </c>
    </row>
    <row r="9" spans="2:3" x14ac:dyDescent="0.3">
      <c r="B9" s="212" t="s">
        <v>259</v>
      </c>
      <c r="C9" s="210" t="s">
        <v>451</v>
      </c>
    </row>
    <row r="10" spans="2:3" x14ac:dyDescent="0.3">
      <c r="B10" s="212" t="s">
        <v>446</v>
      </c>
      <c r="C10" s="210" t="s">
        <v>452</v>
      </c>
    </row>
    <row r="11" spans="2:3" x14ac:dyDescent="0.3">
      <c r="B11" s="212" t="s">
        <v>344</v>
      </c>
      <c r="C11" s="210" t="s">
        <v>453</v>
      </c>
    </row>
    <row r="12" spans="2:3" x14ac:dyDescent="0.3">
      <c r="B12" s="212" t="s">
        <v>337</v>
      </c>
      <c r="C12" s="210" t="s">
        <v>454</v>
      </c>
    </row>
    <row r="13" spans="2:3" x14ac:dyDescent="0.3">
      <c r="B13" s="212" t="s">
        <v>447</v>
      </c>
      <c r="C13" s="210" t="s">
        <v>455</v>
      </c>
    </row>
    <row r="14" spans="2:3" x14ac:dyDescent="0.3">
      <c r="B14" s="212" t="s">
        <v>409</v>
      </c>
      <c r="C14" s="210" t="s">
        <v>456</v>
      </c>
    </row>
    <row r="15" spans="2:3" x14ac:dyDescent="0.3">
      <c r="B15" s="212" t="s">
        <v>518</v>
      </c>
      <c r="C15" s="210" t="s">
        <v>519</v>
      </c>
    </row>
    <row r="16" spans="2:3" x14ac:dyDescent="0.3">
      <c r="B16" s="212" t="s">
        <v>449</v>
      </c>
      <c r="C16" s="210" t="s">
        <v>457</v>
      </c>
    </row>
    <row r="17" spans="2:3" x14ac:dyDescent="0.3">
      <c r="B17" s="212" t="s">
        <v>448</v>
      </c>
      <c r="C17" s="211" t="s">
        <v>458</v>
      </c>
    </row>
  </sheetData>
  <mergeCells count="1">
    <mergeCell ref="B3:C3"/>
  </mergeCells>
  <hyperlinks>
    <hyperlink ref="B6" location="Index!A1" display="Index" xr:uid="{0BF2EE57-099E-4F5F-9A9F-06EA1C8CACD0}"/>
    <hyperlink ref="B7" location="Assumptions!A1" display="Assumptions" xr:uid="{6B84EDB6-A78F-471C-AAE4-1930C8AF5680}"/>
    <hyperlink ref="B8" location="Inputs!A1" display="Inputs" xr:uid="{6578DC62-F055-4A55-B610-37CDAECDBBE4}"/>
    <hyperlink ref="B9" location="Scenarios!A1" display="Scenarios" xr:uid="{A7197871-34B9-497C-9B15-6C14B1D77AF2}"/>
    <hyperlink ref="B10" location="Model!A1" display="Model" xr:uid="{D0BA91A0-1250-4512-9F36-8C2B93BAFBA6}"/>
    <hyperlink ref="B11" location="'Ratio Analysis'!A1" display="Ratio Analysis" xr:uid="{EDC5BC38-27F0-4289-9994-42BC90198715}"/>
    <hyperlink ref="B12" location="'Equity Beta'!A1" display="Equity Beta" xr:uid="{BA74D696-5386-4DAE-8E81-E02FB8101E9A}"/>
    <hyperlink ref="B13" location="'Market Returns'!A1" display="Market Returns" xr:uid="{F61B5E43-9768-4150-B2DF-8C09E2687C08}"/>
    <hyperlink ref="B14" location="'DCF Valuation'!A1" display="DCF Valuation" xr:uid="{64580411-4D8C-49CF-9A1B-004A05141A6C}"/>
    <hyperlink ref="B16" location="'Comps Valuation'!A1" display="Comps Valuation" xr:uid="{25D77F6B-8150-458E-B13F-0DF9C0A704EA}"/>
    <hyperlink ref="B17" location="Summary!A1" display="Summary" xr:uid="{239AA803-5C3E-4748-9D90-51F5F9E655E0}"/>
    <hyperlink ref="B15" location="'Comps Inputs'!A1" display="Comps Inputs" xr:uid="{38AF9A6C-3CF1-4484-87AB-B90FC7440103}"/>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5A1C5-1B48-4765-B017-336B1F4650FC}">
  <dimension ref="B4:J52"/>
  <sheetViews>
    <sheetView showGridLines="0" topLeftCell="A43" zoomScale="85" zoomScaleNormal="85" workbookViewId="0">
      <selection activeCell="C53" sqref="C53"/>
    </sheetView>
  </sheetViews>
  <sheetFormatPr defaultRowHeight="14.4" x14ac:dyDescent="0.3"/>
  <cols>
    <col min="1" max="1" width="8.88671875" style="1"/>
    <col min="2" max="2" width="26.77734375" style="1" customWidth="1"/>
    <col min="3" max="3" width="11.6640625" style="1" customWidth="1"/>
    <col min="4" max="4" width="15.88671875" style="1" bestFit="1" customWidth="1"/>
    <col min="5" max="5" width="13.88671875" style="1" customWidth="1"/>
    <col min="6" max="6" width="14" style="1" customWidth="1"/>
    <col min="7" max="7" width="13.88671875" style="1" customWidth="1"/>
    <col min="8" max="8" width="15.5546875" style="1" customWidth="1"/>
    <col min="9" max="16384" width="8.88671875" style="1"/>
  </cols>
  <sheetData>
    <row r="4" spans="2:8" ht="15.6" x14ac:dyDescent="0.3">
      <c r="B4" s="287" t="s">
        <v>267</v>
      </c>
      <c r="C4" s="287"/>
      <c r="D4" s="292" t="s">
        <v>0</v>
      </c>
      <c r="E4" s="292"/>
      <c r="F4" s="292"/>
      <c r="G4" s="292"/>
      <c r="H4" s="292"/>
    </row>
    <row r="5" spans="2:8" ht="15.6" x14ac:dyDescent="0.3">
      <c r="B5" s="287" t="s">
        <v>371</v>
      </c>
      <c r="C5" s="287"/>
      <c r="D5" s="278" t="s">
        <v>375</v>
      </c>
      <c r="E5" s="278"/>
      <c r="F5" s="278"/>
      <c r="G5" s="278"/>
      <c r="H5" s="278"/>
    </row>
    <row r="6" spans="2:8" ht="15.6" x14ac:dyDescent="0.3">
      <c r="B6" s="287" t="s">
        <v>372</v>
      </c>
      <c r="C6" s="287"/>
      <c r="D6" s="291" t="s">
        <v>376</v>
      </c>
      <c r="E6" s="291"/>
      <c r="F6" s="291"/>
      <c r="G6" s="291"/>
      <c r="H6" s="291"/>
    </row>
    <row r="7" spans="2:8" ht="15.6" x14ac:dyDescent="0.3">
      <c r="B7" s="287" t="s">
        <v>373</v>
      </c>
      <c r="C7" s="287"/>
      <c r="D7" s="291" t="s">
        <v>422</v>
      </c>
      <c r="E7" s="291"/>
      <c r="F7" s="291"/>
      <c r="G7" s="291"/>
      <c r="H7" s="291"/>
    </row>
    <row r="8" spans="2:8" ht="15.6" x14ac:dyDescent="0.3">
      <c r="B8" s="287" t="s">
        <v>417</v>
      </c>
      <c r="C8" s="287"/>
      <c r="D8" s="291" t="s">
        <v>285</v>
      </c>
      <c r="E8" s="291"/>
      <c r="F8" s="291"/>
      <c r="G8" s="291"/>
      <c r="H8" s="291"/>
    </row>
    <row r="9" spans="2:8" ht="15.6" x14ac:dyDescent="0.3">
      <c r="B9" s="287" t="s">
        <v>374</v>
      </c>
      <c r="C9" s="287"/>
      <c r="D9" s="289" t="s">
        <v>377</v>
      </c>
      <c r="E9" s="289"/>
      <c r="F9" s="289"/>
      <c r="G9" s="289"/>
      <c r="H9" s="289"/>
    </row>
    <row r="10" spans="2:8" ht="131.4" customHeight="1" x14ac:dyDescent="0.3">
      <c r="B10" s="287" t="s">
        <v>370</v>
      </c>
      <c r="C10" s="287"/>
      <c r="D10" s="278" t="s">
        <v>408</v>
      </c>
      <c r="E10" s="278"/>
      <c r="F10" s="278"/>
      <c r="G10" s="278"/>
      <c r="H10" s="278"/>
    </row>
    <row r="11" spans="2:8" ht="15.6" x14ac:dyDescent="0.3">
      <c r="B11" s="287" t="s">
        <v>323</v>
      </c>
      <c r="C11" s="287"/>
      <c r="D11" s="290">
        <v>420.05</v>
      </c>
      <c r="E11" s="291"/>
      <c r="F11" s="291"/>
      <c r="G11" s="291"/>
      <c r="H11" s="291"/>
    </row>
    <row r="15" spans="2:8" ht="15.6" x14ac:dyDescent="0.3">
      <c r="B15" s="288" t="s">
        <v>367</v>
      </c>
      <c r="C15" s="288"/>
      <c r="D15" s="288"/>
    </row>
    <row r="16" spans="2:8" ht="15.6" x14ac:dyDescent="0.3">
      <c r="B16" s="157" t="s">
        <v>345</v>
      </c>
      <c r="C16" s="105"/>
      <c r="D16" s="158"/>
    </row>
    <row r="17" spans="2:4" ht="15.6" x14ac:dyDescent="0.3">
      <c r="B17" s="159" t="s">
        <v>368</v>
      </c>
      <c r="C17" s="160" t="s">
        <v>381</v>
      </c>
      <c r="D17" s="161">
        <v>4365</v>
      </c>
    </row>
    <row r="18" spans="2:4" ht="15.6" x14ac:dyDescent="0.3">
      <c r="B18" s="162" t="s">
        <v>369</v>
      </c>
      <c r="C18" s="154" t="s">
        <v>378</v>
      </c>
      <c r="D18" s="163">
        <v>1</v>
      </c>
    </row>
    <row r="19" spans="2:4" ht="15.6" x14ac:dyDescent="0.3">
      <c r="B19" s="162" t="s">
        <v>323</v>
      </c>
      <c r="C19" s="154" t="s">
        <v>378</v>
      </c>
      <c r="D19" s="163">
        <f>D11</f>
        <v>420.05</v>
      </c>
    </row>
    <row r="20" spans="2:4" ht="15.6" x14ac:dyDescent="0.3">
      <c r="B20" s="162" t="s">
        <v>418</v>
      </c>
      <c r="C20" s="154" t="s">
        <v>165</v>
      </c>
      <c r="D20" s="163">
        <f>D17*D19</f>
        <v>1833518.25</v>
      </c>
    </row>
    <row r="21" spans="2:4" ht="15.6" x14ac:dyDescent="0.3">
      <c r="B21" s="164" t="s">
        <v>504</v>
      </c>
      <c r="C21" s="127" t="s">
        <v>378</v>
      </c>
      <c r="D21" s="165" t="s">
        <v>505</v>
      </c>
    </row>
    <row r="22" spans="2:4" ht="15.6" x14ac:dyDescent="0.3">
      <c r="B22" s="21"/>
      <c r="C22" s="21"/>
      <c r="D22" s="21"/>
    </row>
    <row r="23" spans="2:4" ht="15.6" x14ac:dyDescent="0.3">
      <c r="B23" s="21"/>
      <c r="C23" s="21"/>
      <c r="D23" s="21"/>
    </row>
    <row r="24" spans="2:4" ht="15.6" x14ac:dyDescent="0.3">
      <c r="B24" s="288" t="s">
        <v>400</v>
      </c>
      <c r="C24" s="288"/>
      <c r="D24" s="288"/>
    </row>
    <row r="25" spans="2:4" ht="15.6" x14ac:dyDescent="0.3">
      <c r="B25" s="293" t="s">
        <v>412</v>
      </c>
      <c r="C25" s="294"/>
      <c r="D25" s="166">
        <v>0.09</v>
      </c>
    </row>
    <row r="26" spans="2:4" ht="15.6" x14ac:dyDescent="0.3">
      <c r="B26" s="295" t="s">
        <v>413</v>
      </c>
      <c r="C26" s="296"/>
      <c r="D26" s="168">
        <v>0.04</v>
      </c>
    </row>
    <row r="27" spans="2:4" ht="15.6" x14ac:dyDescent="0.3">
      <c r="B27" s="295" t="s">
        <v>414</v>
      </c>
      <c r="C27" s="296"/>
      <c r="D27" s="168">
        <v>6.7070000000000005E-2</v>
      </c>
    </row>
    <row r="28" spans="2:4" ht="15.6" customHeight="1" x14ac:dyDescent="0.3">
      <c r="B28" s="295" t="s">
        <v>415</v>
      </c>
      <c r="C28" s="296"/>
      <c r="D28" s="168">
        <v>0.124</v>
      </c>
    </row>
    <row r="29" spans="2:4" ht="15.6" x14ac:dyDescent="0.3">
      <c r="B29" s="284" t="s">
        <v>416</v>
      </c>
      <c r="C29" s="285"/>
      <c r="D29" s="197">
        <v>5.0000000000000001E-3</v>
      </c>
    </row>
    <row r="30" spans="2:4" ht="15.6" x14ac:dyDescent="0.3">
      <c r="B30" s="167"/>
      <c r="C30" s="167"/>
      <c r="D30" s="196"/>
    </row>
    <row r="31" spans="2:4" ht="15.6" x14ac:dyDescent="0.3">
      <c r="B31" s="167"/>
      <c r="C31" s="167"/>
      <c r="D31" s="195"/>
    </row>
    <row r="33" spans="2:10" ht="18" customHeight="1" x14ac:dyDescent="0.3">
      <c r="B33" s="247" t="s">
        <v>345</v>
      </c>
      <c r="C33" s="279" t="s">
        <v>400</v>
      </c>
      <c r="D33" s="279"/>
      <c r="E33" s="279"/>
      <c r="F33" s="279"/>
      <c r="G33" s="279"/>
      <c r="H33" s="279"/>
      <c r="I33" s="279"/>
      <c r="J33" s="279"/>
    </row>
    <row r="34" spans="2:10" ht="100.2" customHeight="1" x14ac:dyDescent="0.3">
      <c r="B34" s="292" t="s">
        <v>164</v>
      </c>
      <c r="C34" s="283" t="s">
        <v>509</v>
      </c>
      <c r="D34" s="283"/>
      <c r="E34" s="283"/>
      <c r="F34" s="283"/>
      <c r="G34" s="283"/>
      <c r="H34" s="283"/>
      <c r="I34" s="283"/>
      <c r="J34" s="283"/>
    </row>
    <row r="35" spans="2:10" ht="46.8" customHeight="1" x14ac:dyDescent="0.3">
      <c r="B35" s="292"/>
      <c r="C35" s="278" t="s">
        <v>423</v>
      </c>
      <c r="D35" s="278"/>
      <c r="E35" s="278"/>
      <c r="F35" s="278"/>
      <c r="G35" s="278"/>
      <c r="H35" s="278"/>
      <c r="I35" s="278"/>
      <c r="J35" s="278"/>
    </row>
    <row r="36" spans="2:10" ht="36.6" customHeight="1" x14ac:dyDescent="0.3">
      <c r="B36" s="292"/>
      <c r="C36" s="278" t="s">
        <v>424</v>
      </c>
      <c r="D36" s="278"/>
      <c r="E36" s="278"/>
      <c r="F36" s="278"/>
      <c r="G36" s="278"/>
      <c r="H36" s="278"/>
      <c r="I36" s="278"/>
      <c r="J36" s="278"/>
    </row>
    <row r="37" spans="2:10" ht="35.4" customHeight="1" x14ac:dyDescent="0.3">
      <c r="B37" s="292" t="s">
        <v>401</v>
      </c>
      <c r="C37" s="286" t="s">
        <v>491</v>
      </c>
      <c r="D37" s="286"/>
      <c r="E37" s="286"/>
      <c r="F37" s="286"/>
      <c r="G37" s="286"/>
      <c r="H37" s="286"/>
      <c r="I37" s="286"/>
      <c r="J37" s="286"/>
    </row>
    <row r="38" spans="2:10" ht="64.8" customHeight="1" x14ac:dyDescent="0.3">
      <c r="B38" s="292"/>
      <c r="C38" s="286" t="s">
        <v>406</v>
      </c>
      <c r="D38" s="286"/>
      <c r="E38" s="286"/>
      <c r="F38" s="286"/>
      <c r="G38" s="286"/>
      <c r="H38" s="286"/>
      <c r="I38" s="286"/>
      <c r="J38" s="286"/>
    </row>
    <row r="39" spans="2:10" ht="31.8" customHeight="1" x14ac:dyDescent="0.3">
      <c r="B39" s="292"/>
      <c r="C39" s="278" t="s">
        <v>503</v>
      </c>
      <c r="D39" s="278"/>
      <c r="E39" s="278"/>
      <c r="F39" s="278"/>
      <c r="G39" s="278"/>
      <c r="H39" s="278"/>
      <c r="I39" s="278"/>
      <c r="J39" s="278"/>
    </row>
    <row r="40" spans="2:10" ht="35.4" customHeight="1" x14ac:dyDescent="0.3">
      <c r="B40" s="292"/>
      <c r="C40" s="278" t="s">
        <v>402</v>
      </c>
      <c r="D40" s="278"/>
      <c r="E40" s="278"/>
      <c r="F40" s="278"/>
      <c r="G40" s="278"/>
      <c r="H40" s="278"/>
      <c r="I40" s="278"/>
      <c r="J40" s="278"/>
    </row>
    <row r="41" spans="2:10" ht="35.4" customHeight="1" x14ac:dyDescent="0.3">
      <c r="B41" s="248" t="s">
        <v>430</v>
      </c>
      <c r="C41" s="280" t="s">
        <v>431</v>
      </c>
      <c r="D41" s="281"/>
      <c r="E41" s="281"/>
      <c r="F41" s="281"/>
      <c r="G41" s="281"/>
      <c r="H41" s="281"/>
      <c r="I41" s="281"/>
      <c r="J41" s="282"/>
    </row>
    <row r="42" spans="2:10" ht="22.2" customHeight="1" x14ac:dyDescent="0.3">
      <c r="B42" s="300" t="s">
        <v>225</v>
      </c>
      <c r="C42" s="280" t="s">
        <v>425</v>
      </c>
      <c r="D42" s="281"/>
      <c r="E42" s="281"/>
      <c r="F42" s="281"/>
      <c r="G42" s="281"/>
      <c r="H42" s="281"/>
      <c r="I42" s="281"/>
      <c r="J42" s="282"/>
    </row>
    <row r="43" spans="2:10" ht="61.2" customHeight="1" x14ac:dyDescent="0.3">
      <c r="B43" s="301"/>
      <c r="C43" s="278" t="s">
        <v>404</v>
      </c>
      <c r="D43" s="278"/>
      <c r="E43" s="278"/>
      <c r="F43" s="278"/>
      <c r="G43" s="278"/>
      <c r="H43" s="278"/>
      <c r="I43" s="278"/>
      <c r="J43" s="278"/>
    </row>
    <row r="44" spans="2:10" ht="22.8" customHeight="1" x14ac:dyDescent="0.3">
      <c r="B44" s="302"/>
      <c r="C44" s="278" t="s">
        <v>405</v>
      </c>
      <c r="D44" s="278"/>
      <c r="E44" s="278"/>
      <c r="F44" s="278"/>
      <c r="G44" s="278"/>
      <c r="H44" s="278"/>
      <c r="I44" s="278"/>
      <c r="J44" s="278"/>
    </row>
    <row r="45" spans="2:10" ht="81.599999999999994" customHeight="1" x14ac:dyDescent="0.3">
      <c r="B45" s="249" t="s">
        <v>426</v>
      </c>
      <c r="C45" s="278" t="s">
        <v>407</v>
      </c>
      <c r="D45" s="278"/>
      <c r="E45" s="278"/>
      <c r="F45" s="278"/>
      <c r="G45" s="278"/>
      <c r="H45" s="278"/>
      <c r="I45" s="278"/>
      <c r="J45" s="278"/>
    </row>
    <row r="46" spans="2:10" ht="61.8" customHeight="1" x14ac:dyDescent="0.3">
      <c r="B46" s="249" t="s">
        <v>265</v>
      </c>
      <c r="C46" s="278" t="s">
        <v>428</v>
      </c>
      <c r="D46" s="278"/>
      <c r="E46" s="278"/>
      <c r="F46" s="278"/>
      <c r="G46" s="278"/>
      <c r="H46" s="278"/>
      <c r="I46" s="278"/>
      <c r="J46" s="278"/>
    </row>
    <row r="47" spans="2:10" ht="63" customHeight="1" x14ac:dyDescent="0.3">
      <c r="B47" s="249" t="s">
        <v>58</v>
      </c>
      <c r="C47" s="278" t="s">
        <v>427</v>
      </c>
      <c r="D47" s="278"/>
      <c r="E47" s="278"/>
      <c r="F47" s="278"/>
      <c r="G47" s="278"/>
      <c r="H47" s="278"/>
      <c r="I47" s="278"/>
      <c r="J47" s="278"/>
    </row>
    <row r="48" spans="2:10" ht="49.2" customHeight="1" x14ac:dyDescent="0.3">
      <c r="B48" s="300" t="s">
        <v>33</v>
      </c>
      <c r="C48" s="278" t="s">
        <v>429</v>
      </c>
      <c r="D48" s="278"/>
      <c r="E48" s="278"/>
      <c r="F48" s="278"/>
      <c r="G48" s="278"/>
      <c r="H48" s="278"/>
      <c r="I48" s="278"/>
      <c r="J48" s="278"/>
    </row>
    <row r="49" spans="2:10" ht="19.2" customHeight="1" x14ac:dyDescent="0.3">
      <c r="B49" s="302"/>
      <c r="C49" s="280" t="s">
        <v>403</v>
      </c>
      <c r="D49" s="281"/>
      <c r="E49" s="281"/>
      <c r="F49" s="281"/>
      <c r="G49" s="281"/>
      <c r="H49" s="281"/>
      <c r="I49" s="281"/>
      <c r="J49" s="282"/>
    </row>
    <row r="50" spans="2:10" ht="19.2" customHeight="1" x14ac:dyDescent="0.3">
      <c r="B50" s="170"/>
      <c r="C50" s="253"/>
      <c r="D50" s="253"/>
      <c r="E50" s="253"/>
      <c r="F50" s="253"/>
      <c r="G50" s="253"/>
      <c r="H50" s="253"/>
      <c r="I50" s="253"/>
      <c r="J50" s="253"/>
    </row>
    <row r="51" spans="2:10" ht="15.6" x14ac:dyDescent="0.3">
      <c r="B51" s="22" t="s">
        <v>508</v>
      </c>
    </row>
    <row r="52" spans="2:10" ht="15.6" x14ac:dyDescent="0.3">
      <c r="B52" s="249" t="s">
        <v>492</v>
      </c>
      <c r="C52" s="297" t="s">
        <v>517</v>
      </c>
      <c r="D52" s="298"/>
      <c r="E52" s="298"/>
      <c r="F52" s="298"/>
      <c r="G52" s="298"/>
      <c r="H52" s="298"/>
      <c r="I52" s="298"/>
      <c r="J52" s="299"/>
    </row>
  </sheetData>
  <mergeCells count="45">
    <mergeCell ref="C52:J52"/>
    <mergeCell ref="D4:H4"/>
    <mergeCell ref="D5:H5"/>
    <mergeCell ref="C49:J49"/>
    <mergeCell ref="B42:B44"/>
    <mergeCell ref="B48:B49"/>
    <mergeCell ref="C41:J41"/>
    <mergeCell ref="B4:C4"/>
    <mergeCell ref="B5:C5"/>
    <mergeCell ref="B6:C6"/>
    <mergeCell ref="B7:C7"/>
    <mergeCell ref="B8:C8"/>
    <mergeCell ref="D6:H6"/>
    <mergeCell ref="D7:H7"/>
    <mergeCell ref="D8:H8"/>
    <mergeCell ref="C37:J37"/>
    <mergeCell ref="B29:C29"/>
    <mergeCell ref="C38:J38"/>
    <mergeCell ref="B9:C9"/>
    <mergeCell ref="B10:C10"/>
    <mergeCell ref="B11:C11"/>
    <mergeCell ref="B15:D15"/>
    <mergeCell ref="D10:H10"/>
    <mergeCell ref="D9:H9"/>
    <mergeCell ref="D11:H11"/>
    <mergeCell ref="B34:B36"/>
    <mergeCell ref="B37:B40"/>
    <mergeCell ref="B24:D24"/>
    <mergeCell ref="B25:C25"/>
    <mergeCell ref="B26:C26"/>
    <mergeCell ref="B27:C27"/>
    <mergeCell ref="B28:C28"/>
    <mergeCell ref="C45:J45"/>
    <mergeCell ref="C46:J46"/>
    <mergeCell ref="C47:J47"/>
    <mergeCell ref="C48:J48"/>
    <mergeCell ref="C33:J33"/>
    <mergeCell ref="C42:J42"/>
    <mergeCell ref="C43:J43"/>
    <mergeCell ref="C44:J44"/>
    <mergeCell ref="C39:J39"/>
    <mergeCell ref="C34:J34"/>
    <mergeCell ref="C36:J36"/>
    <mergeCell ref="C35:J35"/>
    <mergeCell ref="C40:J40"/>
  </mergeCells>
  <hyperlinks>
    <hyperlink ref="D9" r:id="rId1" xr:uid="{05692CE5-01FC-4594-992E-C2A6D7A79155}"/>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060E-7E2C-4EDC-8362-7B12181A2B38}">
  <dimension ref="A1:Q186"/>
  <sheetViews>
    <sheetView showGridLines="0" zoomScale="99" workbookViewId="0">
      <pane ySplit="4" topLeftCell="A128" activePane="bottomLeft" state="frozen"/>
      <selection pane="bottomLeft" activeCell="D176" sqref="D176"/>
    </sheetView>
  </sheetViews>
  <sheetFormatPr defaultColWidth="11.77734375" defaultRowHeight="14.4" x14ac:dyDescent="0.3"/>
  <cols>
    <col min="1" max="3" width="1.33203125" style="1" customWidth="1"/>
    <col min="4" max="4" width="52.21875" style="1" customWidth="1"/>
    <col min="5" max="6" width="12.77734375" style="1" customWidth="1"/>
    <col min="7" max="7" width="2.77734375" style="1" customWidth="1"/>
    <col min="8" max="11" width="12.21875" style="15" bestFit="1" customWidth="1"/>
    <col min="12" max="12" width="12.21875" style="1" bestFit="1" customWidth="1"/>
    <col min="13" max="16384" width="11.77734375" style="1"/>
  </cols>
  <sheetData>
    <row r="1" spans="1:16" ht="43.8" customHeight="1" x14ac:dyDescent="0.45">
      <c r="A1" s="2" t="s">
        <v>0</v>
      </c>
      <c r="B1" s="3"/>
      <c r="C1" s="3"/>
      <c r="D1" s="3"/>
      <c r="E1" s="3"/>
      <c r="F1" s="3"/>
      <c r="G1" s="3"/>
      <c r="H1" s="5"/>
      <c r="I1" s="5"/>
      <c r="J1" s="5"/>
      <c r="K1" s="5"/>
      <c r="L1" s="6"/>
      <c r="M1" s="3"/>
      <c r="N1" s="3"/>
      <c r="O1" s="3"/>
      <c r="P1" s="3"/>
    </row>
    <row r="2" spans="1:16" ht="17.399999999999999" customHeight="1" x14ac:dyDescent="0.35">
      <c r="A2" s="4" t="s">
        <v>1</v>
      </c>
      <c r="B2" s="3"/>
      <c r="C2" s="3"/>
      <c r="D2" s="3"/>
      <c r="E2" s="3"/>
      <c r="F2" s="3"/>
      <c r="G2" s="3"/>
      <c r="H2" s="6"/>
      <c r="I2" s="6"/>
      <c r="J2" s="6"/>
      <c r="K2" s="6"/>
      <c r="L2" s="6"/>
      <c r="M2" s="9"/>
      <c r="N2" s="9"/>
      <c r="O2" s="9"/>
      <c r="P2" s="9"/>
    </row>
    <row r="3" spans="1:16" s="11" customFormat="1" ht="17.399999999999999" customHeight="1" x14ac:dyDescent="0.35">
      <c r="A3" s="10"/>
      <c r="H3" s="12"/>
      <c r="I3" s="12"/>
      <c r="J3" s="12"/>
      <c r="K3" s="12"/>
      <c r="L3" s="13"/>
      <c r="M3" s="13"/>
      <c r="N3" s="13"/>
      <c r="O3" s="13"/>
      <c r="P3" s="13"/>
    </row>
    <row r="4" spans="1:16" s="11" customFormat="1" ht="17.399999999999999" customHeight="1" x14ac:dyDescent="0.35">
      <c r="A4" s="10"/>
      <c r="B4" s="10" t="s">
        <v>32</v>
      </c>
      <c r="H4" s="11">
        <v>2022</v>
      </c>
      <c r="I4" s="11">
        <f t="shared" ref="I4:K4" si="0">H4+1</f>
        <v>2023</v>
      </c>
      <c r="J4" s="11">
        <f t="shared" si="0"/>
        <v>2024</v>
      </c>
      <c r="K4" s="11">
        <f t="shared" si="0"/>
        <v>2025</v>
      </c>
      <c r="L4" s="107">
        <v>2026</v>
      </c>
      <c r="M4" s="13"/>
      <c r="N4" s="13"/>
      <c r="O4" s="13"/>
      <c r="P4" s="13"/>
    </row>
    <row r="5" spans="1:16" s="11" customFormat="1" ht="17.399999999999999" customHeight="1" x14ac:dyDescent="0.35">
      <c r="A5" s="10"/>
      <c r="B5" s="10" t="s">
        <v>27</v>
      </c>
      <c r="L5" s="13"/>
      <c r="M5" s="13"/>
      <c r="N5" s="13"/>
      <c r="O5" s="13"/>
      <c r="P5" s="13"/>
    </row>
    <row r="6" spans="1:16" x14ac:dyDescent="0.3">
      <c r="C6" s="14" t="s">
        <v>2</v>
      </c>
      <c r="J6" s="24"/>
      <c r="K6" s="24"/>
    </row>
    <row r="7" spans="1:16" ht="15.6" x14ac:dyDescent="0.3">
      <c r="D7" s="1" t="s">
        <v>3</v>
      </c>
      <c r="F7" s="21" t="s">
        <v>165</v>
      </c>
      <c r="H7" s="24">
        <v>318722.28000000003</v>
      </c>
      <c r="I7" s="24">
        <v>340573.01</v>
      </c>
      <c r="J7" s="24">
        <v>357809.46</v>
      </c>
      <c r="K7" s="24">
        <v>380918.86</v>
      </c>
      <c r="L7" s="24">
        <v>377951</v>
      </c>
      <c r="M7" s="24"/>
    </row>
    <row r="8" spans="1:16" ht="15.6" x14ac:dyDescent="0.3">
      <c r="D8" s="1" t="s">
        <v>4</v>
      </c>
      <c r="F8" s="21" t="s">
        <v>165</v>
      </c>
      <c r="H8" s="24">
        <v>9525</v>
      </c>
      <c r="I8" s="24">
        <v>6893.16</v>
      </c>
      <c r="J8" s="24">
        <v>4679.78</v>
      </c>
      <c r="K8" s="24">
        <v>6811.39</v>
      </c>
      <c r="L8" s="24">
        <v>8511</v>
      </c>
    </row>
    <row r="9" spans="1:16" ht="15.6" x14ac:dyDescent="0.3">
      <c r="D9" s="101" t="s">
        <v>5</v>
      </c>
      <c r="E9" s="102"/>
      <c r="F9" s="106" t="s">
        <v>165</v>
      </c>
      <c r="G9" s="102"/>
      <c r="H9" s="25">
        <f t="shared" ref="H9:L9" si="1">SUM(H7:H8)</f>
        <v>328247.28000000003</v>
      </c>
      <c r="I9" s="25">
        <f t="shared" si="1"/>
        <v>347466.17</v>
      </c>
      <c r="J9" s="25">
        <f t="shared" si="1"/>
        <v>362489.24000000005</v>
      </c>
      <c r="K9" s="25">
        <f t="shared" si="1"/>
        <v>387730.25</v>
      </c>
      <c r="L9" s="25">
        <f t="shared" si="1"/>
        <v>386462</v>
      </c>
    </row>
    <row r="10" spans="1:16" x14ac:dyDescent="0.3">
      <c r="C10" s="14" t="s">
        <v>6</v>
      </c>
      <c r="H10" s="24"/>
      <c r="I10" s="24"/>
      <c r="J10" s="24"/>
      <c r="K10" s="26"/>
      <c r="L10" s="24"/>
    </row>
    <row r="11" spans="1:16" ht="15.6" x14ac:dyDescent="0.3">
      <c r="D11" s="1" t="s">
        <v>7</v>
      </c>
      <c r="F11" s="21" t="s">
        <v>165</v>
      </c>
      <c r="H11" s="24">
        <v>89549.4</v>
      </c>
      <c r="I11" s="24">
        <v>82473.89</v>
      </c>
      <c r="J11" s="24">
        <v>76883.75</v>
      </c>
      <c r="K11" s="24">
        <v>72413.06</v>
      </c>
      <c r="L11" s="24">
        <v>75606</v>
      </c>
    </row>
    <row r="12" spans="1:16" ht="15.6" x14ac:dyDescent="0.3">
      <c r="D12" s="1" t="s">
        <v>8</v>
      </c>
      <c r="F12" s="21" t="s">
        <v>165</v>
      </c>
      <c r="H12" s="24">
        <v>22346.639999999999</v>
      </c>
      <c r="I12" s="24">
        <v>33968.83</v>
      </c>
      <c r="J12" s="24">
        <v>40722.79</v>
      </c>
      <c r="K12" s="24">
        <v>44832.34</v>
      </c>
      <c r="L12" s="24">
        <v>43841</v>
      </c>
    </row>
    <row r="13" spans="1:16" ht="15.6" x14ac:dyDescent="0.3">
      <c r="D13" s="1" t="s">
        <v>29</v>
      </c>
      <c r="F13" s="21" t="s">
        <v>165</v>
      </c>
      <c r="H13" s="24">
        <v>-4589.3999999999996</v>
      </c>
      <c r="I13" s="24">
        <v>3693.34</v>
      </c>
      <c r="J13" s="24">
        <v>-1553.16</v>
      </c>
      <c r="K13" s="24">
        <v>2177.9899999999998</v>
      </c>
      <c r="L13" s="24">
        <v>-5646</v>
      </c>
    </row>
    <row r="14" spans="1:16" ht="15.6" x14ac:dyDescent="0.3">
      <c r="D14" s="1" t="s">
        <v>9</v>
      </c>
      <c r="F14" s="21" t="s">
        <v>165</v>
      </c>
      <c r="H14" s="24">
        <v>31777.29</v>
      </c>
      <c r="I14" s="24">
        <v>36776.14</v>
      </c>
      <c r="J14" s="24">
        <v>39563.89</v>
      </c>
      <c r="K14" s="24">
        <v>44701.86</v>
      </c>
      <c r="L14" s="24">
        <v>47909</v>
      </c>
    </row>
    <row r="15" spans="1:16" ht="15.6" x14ac:dyDescent="0.3">
      <c r="D15" s="1" t="s">
        <v>10</v>
      </c>
      <c r="F15" s="21" t="s">
        <v>165</v>
      </c>
      <c r="H15" s="24">
        <v>84400.86</v>
      </c>
      <c r="I15" s="24">
        <v>97385.29</v>
      </c>
      <c r="J15" s="24">
        <v>107238.48</v>
      </c>
      <c r="K15" s="24">
        <v>114282.61</v>
      </c>
      <c r="L15" s="24">
        <v>119876</v>
      </c>
      <c r="M15" s="24"/>
      <c r="N15" s="24"/>
    </row>
    <row r="16" spans="1:16" ht="15.6" x14ac:dyDescent="0.3">
      <c r="D16" s="101" t="s">
        <v>30</v>
      </c>
      <c r="E16" s="102"/>
      <c r="F16" s="37" t="s">
        <v>165</v>
      </c>
      <c r="G16" s="102"/>
      <c r="H16" s="25">
        <f t="shared" ref="H16:K16" si="2">SUM(H11:H15)</f>
        <v>223484.78999999998</v>
      </c>
      <c r="I16" s="25">
        <f t="shared" si="2"/>
        <v>254297.49</v>
      </c>
      <c r="J16" s="25">
        <f t="shared" si="2"/>
        <v>262855.75</v>
      </c>
      <c r="K16" s="25">
        <f t="shared" si="2"/>
        <v>278407.86</v>
      </c>
      <c r="L16" s="25">
        <f t="shared" ref="L16" si="3">SUM(L11:L15)</f>
        <v>281586</v>
      </c>
    </row>
    <row r="17" spans="4:12" ht="15.6" x14ac:dyDescent="0.3">
      <c r="D17" s="101" t="s">
        <v>31</v>
      </c>
      <c r="E17" s="102"/>
      <c r="F17" s="37" t="s">
        <v>165</v>
      </c>
      <c r="G17" s="102"/>
      <c r="H17" s="96">
        <f t="shared" ref="H17:K17" si="4">H9-H16</f>
        <v>104762.49000000005</v>
      </c>
      <c r="I17" s="96">
        <f t="shared" si="4"/>
        <v>93168.68</v>
      </c>
      <c r="J17" s="96">
        <f t="shared" si="4"/>
        <v>99633.490000000049</v>
      </c>
      <c r="K17" s="96">
        <f t="shared" si="4"/>
        <v>109322.39000000001</v>
      </c>
      <c r="L17" s="96">
        <f t="shared" ref="L17" si="5">L9-L16</f>
        <v>104876</v>
      </c>
    </row>
    <row r="18" spans="4:12" ht="15.6" x14ac:dyDescent="0.3">
      <c r="D18" s="1" t="s">
        <v>11</v>
      </c>
      <c r="F18" s="38" t="s">
        <v>165</v>
      </c>
      <c r="H18" s="24">
        <v>507.29</v>
      </c>
      <c r="I18" s="24">
        <v>739.14</v>
      </c>
      <c r="J18" s="24">
        <v>997.72</v>
      </c>
      <c r="K18" s="24">
        <v>933.69</v>
      </c>
      <c r="L18" s="24">
        <v>1113</v>
      </c>
    </row>
    <row r="19" spans="4:12" x14ac:dyDescent="0.3">
      <c r="D19" s="1" t="s">
        <v>12</v>
      </c>
      <c r="H19" s="24"/>
      <c r="I19" s="24"/>
      <c r="J19" s="24"/>
      <c r="K19" s="26"/>
      <c r="L19" s="24"/>
    </row>
    <row r="20" spans="4:12" ht="15.6" x14ac:dyDescent="0.3">
      <c r="D20" s="1" t="s">
        <v>13</v>
      </c>
      <c r="F20" s="21" t="s">
        <v>165</v>
      </c>
      <c r="H20" s="24">
        <v>24056.67</v>
      </c>
      <c r="I20" s="24">
        <v>14989.2</v>
      </c>
      <c r="J20" s="24">
        <v>9318.4699999999993</v>
      </c>
      <c r="K20" s="24">
        <v>9255.35</v>
      </c>
      <c r="L20" s="24">
        <v>8845</v>
      </c>
    </row>
    <row r="21" spans="4:12" ht="15.6" x14ac:dyDescent="0.3">
      <c r="D21" s="1" t="s">
        <v>14</v>
      </c>
      <c r="F21" s="21" t="s">
        <v>165</v>
      </c>
      <c r="H21" s="24">
        <v>8682.3799999999992</v>
      </c>
      <c r="I21" s="24">
        <v>8768.92</v>
      </c>
      <c r="J21" s="24">
        <v>7863.19</v>
      </c>
      <c r="K21" s="24">
        <v>7045.96</v>
      </c>
      <c r="L21" s="24">
        <v>7065</v>
      </c>
    </row>
    <row r="22" spans="4:12" ht="15.6" x14ac:dyDescent="0.3">
      <c r="D22" s="1" t="s">
        <v>15</v>
      </c>
      <c r="F22" s="21" t="s">
        <v>165</v>
      </c>
      <c r="H22" s="24">
        <v>738.74</v>
      </c>
      <c r="I22" s="24">
        <v>966.78</v>
      </c>
      <c r="J22" s="24">
        <v>1408.93</v>
      </c>
      <c r="K22" s="24">
        <v>1520.09</v>
      </c>
      <c r="L22" s="24">
        <v>1824</v>
      </c>
    </row>
    <row r="23" spans="4:12" ht="15.6" x14ac:dyDescent="0.3">
      <c r="D23" s="101" t="s">
        <v>16</v>
      </c>
      <c r="E23" s="102"/>
      <c r="F23" s="37" t="s">
        <v>165</v>
      </c>
      <c r="G23" s="102"/>
      <c r="H23" s="97">
        <f t="shared" ref="H23:L23" si="6">H16+H18+(SUM(H20:H22))</f>
        <v>257469.87</v>
      </c>
      <c r="I23" s="97">
        <f t="shared" si="6"/>
        <v>279761.53000000003</v>
      </c>
      <c r="J23" s="97">
        <f t="shared" si="6"/>
        <v>282444.06</v>
      </c>
      <c r="K23" s="97">
        <f t="shared" si="6"/>
        <v>297162.95</v>
      </c>
      <c r="L23" s="25">
        <f t="shared" si="6"/>
        <v>300433</v>
      </c>
    </row>
    <row r="24" spans="4:12" ht="15.6" x14ac:dyDescent="0.3">
      <c r="D24" s="101" t="s">
        <v>17</v>
      </c>
      <c r="E24" s="102"/>
      <c r="F24" s="37" t="s">
        <v>165</v>
      </c>
      <c r="G24" s="102"/>
      <c r="H24" s="108">
        <v>-1458.42</v>
      </c>
      <c r="I24" s="108">
        <v>-749.7</v>
      </c>
      <c r="J24" s="108">
        <v>-372.36</v>
      </c>
      <c r="K24" s="108">
        <v>-1181.02</v>
      </c>
      <c r="L24" s="24">
        <v>-407</v>
      </c>
    </row>
    <row r="25" spans="4:12" ht="15.6" x14ac:dyDescent="0.3">
      <c r="D25" s="101" t="s">
        <v>18</v>
      </c>
      <c r="E25" s="102"/>
      <c r="F25" s="37" t="s">
        <v>165</v>
      </c>
      <c r="G25" s="102"/>
      <c r="H25" s="96">
        <f t="shared" ref="H25:L25" si="7">H9-H23+H24</f>
        <v>69318.990000000034</v>
      </c>
      <c r="I25" s="96">
        <f t="shared" si="7"/>
        <v>66954.939999999959</v>
      </c>
      <c r="J25" s="96">
        <f t="shared" si="7"/>
        <v>79672.820000000051</v>
      </c>
      <c r="K25" s="96">
        <f t="shared" si="7"/>
        <v>89386.279999999984</v>
      </c>
      <c r="L25" s="25">
        <f t="shared" si="7"/>
        <v>85622</v>
      </c>
    </row>
    <row r="26" spans="4:12" ht="15.6" x14ac:dyDescent="0.3">
      <c r="D26" s="1" t="s">
        <v>19</v>
      </c>
      <c r="F26" s="105" t="s">
        <v>165</v>
      </c>
      <c r="H26" s="24">
        <v>-518.49</v>
      </c>
      <c r="I26" s="24">
        <v>0</v>
      </c>
      <c r="J26" s="24">
        <v>-589.54</v>
      </c>
      <c r="K26" s="27" t="s">
        <v>28</v>
      </c>
      <c r="L26" s="24">
        <v>-1015</v>
      </c>
    </row>
    <row r="27" spans="4:12" ht="15.6" x14ac:dyDescent="0.3">
      <c r="D27" s="101" t="s">
        <v>20</v>
      </c>
      <c r="E27" s="102"/>
      <c r="F27" s="37" t="s">
        <v>165</v>
      </c>
      <c r="G27" s="102"/>
      <c r="H27" s="25">
        <f t="shared" ref="H27:L27" si="8">SUM(H25:H26)</f>
        <v>68800.500000000029</v>
      </c>
      <c r="I27" s="25">
        <f t="shared" si="8"/>
        <v>66954.939999999959</v>
      </c>
      <c r="J27" s="25">
        <f t="shared" si="8"/>
        <v>79083.280000000057</v>
      </c>
      <c r="K27" s="25">
        <f t="shared" si="8"/>
        <v>89386.279999999984</v>
      </c>
      <c r="L27" s="25">
        <f t="shared" si="8"/>
        <v>84607</v>
      </c>
    </row>
    <row r="28" spans="4:12" ht="15.6" x14ac:dyDescent="0.3">
      <c r="D28" s="14" t="s">
        <v>21</v>
      </c>
      <c r="F28" s="38" t="s">
        <v>165</v>
      </c>
      <c r="H28" s="24"/>
      <c r="I28" s="24"/>
      <c r="J28" s="24"/>
      <c r="K28" s="26"/>
      <c r="L28" s="24"/>
    </row>
    <row r="29" spans="4:12" ht="15.6" x14ac:dyDescent="0.3">
      <c r="D29" s="1" t="s">
        <v>22</v>
      </c>
      <c r="F29" s="21" t="s">
        <v>165</v>
      </c>
      <c r="H29" s="24">
        <v>13538.71</v>
      </c>
      <c r="I29" s="24">
        <v>12677.73</v>
      </c>
      <c r="J29" s="24">
        <v>14465.25</v>
      </c>
      <c r="K29" s="24">
        <v>17872.25</v>
      </c>
      <c r="L29" s="24">
        <v>17296</v>
      </c>
    </row>
    <row r="30" spans="4:12" ht="15.6" x14ac:dyDescent="0.3">
      <c r="D30" s="1" t="s">
        <v>23</v>
      </c>
      <c r="F30" s="21" t="s">
        <v>165</v>
      </c>
      <c r="H30" s="24">
        <v>-5775.55</v>
      </c>
      <c r="I30" s="24">
        <v>-8554</v>
      </c>
      <c r="J30" s="24">
        <v>-7667.66</v>
      </c>
      <c r="K30" s="24">
        <v>-8391</v>
      </c>
      <c r="L30" s="24">
        <v>-8416</v>
      </c>
    </row>
    <row r="31" spans="4:12" ht="15.6" x14ac:dyDescent="0.3">
      <c r="D31" s="1" t="s">
        <v>88</v>
      </c>
      <c r="F31" s="21" t="s">
        <v>165</v>
      </c>
      <c r="H31" s="24">
        <v>-23033</v>
      </c>
      <c r="I31" s="24" t="s">
        <v>28</v>
      </c>
      <c r="J31" s="24" t="s">
        <v>28</v>
      </c>
      <c r="K31" s="24" t="s">
        <v>28</v>
      </c>
      <c r="L31" s="24">
        <v>0</v>
      </c>
    </row>
    <row r="32" spans="4:12" ht="15.6" x14ac:dyDescent="0.3">
      <c r="D32" s="1" t="s">
        <v>24</v>
      </c>
      <c r="F32" s="21" t="s">
        <v>165</v>
      </c>
      <c r="H32" s="24">
        <v>403.84</v>
      </c>
      <c r="I32" s="24">
        <v>90.06</v>
      </c>
      <c r="J32" s="24">
        <v>-127.91</v>
      </c>
      <c r="K32" s="24">
        <v>-369.43</v>
      </c>
      <c r="L32" s="24">
        <v>-1799</v>
      </c>
    </row>
    <row r="33" spans="2:12" ht="15.6" x14ac:dyDescent="0.3">
      <c r="D33" s="101" t="s">
        <v>25</v>
      </c>
      <c r="E33" s="102"/>
      <c r="F33" s="37" t="s">
        <v>165</v>
      </c>
      <c r="G33" s="102"/>
      <c r="H33" s="97">
        <f t="shared" ref="H33:L33" si="9">SUM(H29:H32)</f>
        <v>-14866</v>
      </c>
      <c r="I33" s="97">
        <f t="shared" si="9"/>
        <v>4213.79</v>
      </c>
      <c r="J33" s="97">
        <f t="shared" si="9"/>
        <v>6669.68</v>
      </c>
      <c r="K33" s="97">
        <f t="shared" si="9"/>
        <v>9111.82</v>
      </c>
      <c r="L33" s="97">
        <f t="shared" si="9"/>
        <v>7081</v>
      </c>
    </row>
    <row r="34" spans="2:12" ht="16.2" thickBot="1" x14ac:dyDescent="0.35">
      <c r="D34" s="103" t="s">
        <v>26</v>
      </c>
      <c r="E34" s="104"/>
      <c r="F34" s="43" t="s">
        <v>165</v>
      </c>
      <c r="G34" s="104"/>
      <c r="H34" s="98">
        <f t="shared" ref="H34:L34" si="10">H27-H33</f>
        <v>83666.500000000029</v>
      </c>
      <c r="I34" s="98">
        <f t="shared" si="10"/>
        <v>62741.149999999958</v>
      </c>
      <c r="J34" s="98">
        <f t="shared" si="10"/>
        <v>72413.600000000064</v>
      </c>
      <c r="K34" s="98">
        <f t="shared" si="10"/>
        <v>80274.459999999992</v>
      </c>
      <c r="L34" s="98">
        <f t="shared" si="10"/>
        <v>77526</v>
      </c>
    </row>
    <row r="35" spans="2:12" ht="16.2" thickTop="1" x14ac:dyDescent="0.3">
      <c r="D35" s="14"/>
      <c r="F35" s="22"/>
      <c r="H35" s="112"/>
      <c r="I35" s="112"/>
      <c r="J35" s="112"/>
      <c r="K35" s="112"/>
      <c r="L35" s="112"/>
    </row>
    <row r="36" spans="2:12" ht="15.6" x14ac:dyDescent="0.3">
      <c r="D36" s="14"/>
      <c r="F36" s="22"/>
      <c r="H36" s="112"/>
      <c r="I36" s="112"/>
      <c r="J36" s="112"/>
      <c r="K36" s="112"/>
      <c r="L36" s="112"/>
    </row>
    <row r="38" spans="2:12" ht="18" x14ac:dyDescent="0.35">
      <c r="B38" s="10" t="s">
        <v>33</v>
      </c>
    </row>
    <row r="39" spans="2:12" x14ac:dyDescent="0.3">
      <c r="C39" s="14" t="s">
        <v>34</v>
      </c>
    </row>
    <row r="40" spans="2:12" x14ac:dyDescent="0.3">
      <c r="D40" s="14" t="s">
        <v>35</v>
      </c>
    </row>
    <row r="41" spans="2:12" ht="15.6" x14ac:dyDescent="0.3">
      <c r="D41" s="1" t="s">
        <v>36</v>
      </c>
      <c r="F41" s="21" t="s">
        <v>165</v>
      </c>
      <c r="H41" s="24">
        <v>68569.039999999994</v>
      </c>
      <c r="I41" s="24">
        <v>63005.53</v>
      </c>
      <c r="J41" s="24">
        <v>58114.73</v>
      </c>
      <c r="K41" s="24">
        <v>54454.75</v>
      </c>
      <c r="L41" s="24">
        <v>52924</v>
      </c>
    </row>
    <row r="42" spans="2:12" ht="15.6" x14ac:dyDescent="0.3">
      <c r="D42" s="1" t="s">
        <v>37</v>
      </c>
      <c r="F42" s="21" t="s">
        <v>165</v>
      </c>
      <c r="H42" s="24">
        <v>172.3</v>
      </c>
      <c r="I42" s="24">
        <v>575.29999999999995</v>
      </c>
      <c r="J42" s="24">
        <v>672.49</v>
      </c>
      <c r="K42" s="24">
        <v>1327.55</v>
      </c>
      <c r="L42" s="24">
        <v>79</v>
      </c>
    </row>
    <row r="43" spans="2:12" ht="15.6" x14ac:dyDescent="0.3">
      <c r="D43" s="1" t="s">
        <v>38</v>
      </c>
      <c r="F43" s="21" t="s">
        <v>165</v>
      </c>
      <c r="H43" s="24">
        <v>5412.69</v>
      </c>
      <c r="I43" s="24">
        <v>5338.9</v>
      </c>
      <c r="J43" s="24">
        <v>5198.57</v>
      </c>
      <c r="K43" s="24">
        <v>5108.09</v>
      </c>
      <c r="L43" s="24">
        <v>4007</v>
      </c>
    </row>
    <row r="44" spans="2:12" ht="15.6" x14ac:dyDescent="0.3">
      <c r="D44" s="1" t="s">
        <v>39</v>
      </c>
      <c r="F44" s="21" t="s">
        <v>165</v>
      </c>
      <c r="H44" s="24">
        <v>2415.35</v>
      </c>
      <c r="I44" s="24">
        <v>6819</v>
      </c>
      <c r="J44" s="24">
        <v>6819</v>
      </c>
      <c r="K44" s="24">
        <v>6819</v>
      </c>
      <c r="L44" s="24">
        <v>6819</v>
      </c>
    </row>
    <row r="45" spans="2:12" ht="15.6" x14ac:dyDescent="0.3">
      <c r="D45" s="1" t="s">
        <v>40</v>
      </c>
      <c r="F45" s="21" t="s">
        <v>165</v>
      </c>
      <c r="H45" s="24">
        <v>56011.26</v>
      </c>
      <c r="I45" s="24">
        <v>47524.47</v>
      </c>
      <c r="J45" s="24">
        <v>38322.97</v>
      </c>
      <c r="K45" s="24">
        <v>29221.5</v>
      </c>
      <c r="L45" s="24">
        <v>20681</v>
      </c>
    </row>
    <row r="46" spans="2:12" ht="15.6" x14ac:dyDescent="0.3">
      <c r="D46" s="1" t="s">
        <v>41</v>
      </c>
      <c r="F46" s="21" t="s">
        <v>165</v>
      </c>
      <c r="H46" s="24">
        <v>1983.7</v>
      </c>
      <c r="I46" s="24">
        <v>1847.04</v>
      </c>
      <c r="J46" s="24">
        <v>2908.07</v>
      </c>
      <c r="K46" s="24">
        <v>2834.14</v>
      </c>
      <c r="L46" s="24">
        <v>4215</v>
      </c>
    </row>
    <row r="47" spans="2:12" ht="15.6" x14ac:dyDescent="0.3">
      <c r="D47" s="1" t="s">
        <v>42</v>
      </c>
      <c r="F47" s="21" t="s">
        <v>165</v>
      </c>
      <c r="H47" s="24">
        <v>135.41</v>
      </c>
      <c r="I47" s="24">
        <v>57.32</v>
      </c>
      <c r="J47" s="24">
        <v>82.29</v>
      </c>
      <c r="K47" s="24">
        <v>168.83</v>
      </c>
      <c r="L47" s="24">
        <v>58</v>
      </c>
    </row>
    <row r="48" spans="2:12" ht="15.6" x14ac:dyDescent="0.3">
      <c r="D48" s="1" t="s">
        <v>43</v>
      </c>
      <c r="F48" s="21" t="s">
        <v>165</v>
      </c>
      <c r="H48" s="24">
        <v>5606.5</v>
      </c>
      <c r="I48" s="24">
        <v>1086.77</v>
      </c>
      <c r="J48" s="24">
        <v>11678.26</v>
      </c>
      <c r="K48" s="24">
        <v>11189.01</v>
      </c>
      <c r="L48" s="24">
        <v>8659</v>
      </c>
    </row>
    <row r="49" spans="4:12" ht="15.6" x14ac:dyDescent="0.3">
      <c r="D49" s="1" t="s">
        <v>85</v>
      </c>
      <c r="F49" s="21"/>
      <c r="H49" s="24"/>
      <c r="I49" s="24"/>
      <c r="J49" s="24"/>
      <c r="K49" s="24"/>
      <c r="L49" s="24"/>
    </row>
    <row r="50" spans="4:12" ht="15.6" x14ac:dyDescent="0.3">
      <c r="D50" s="1" t="s">
        <v>331</v>
      </c>
      <c r="F50" s="21" t="s">
        <v>165</v>
      </c>
      <c r="H50" s="24">
        <v>20710.810000000001</v>
      </c>
      <c r="I50" s="24">
        <v>16912.02</v>
      </c>
      <c r="J50" s="24">
        <v>16371.31</v>
      </c>
      <c r="K50" s="24">
        <v>13982.54</v>
      </c>
      <c r="L50" s="24">
        <v>27585</v>
      </c>
    </row>
    <row r="51" spans="4:12" ht="15.6" x14ac:dyDescent="0.3">
      <c r="D51" s="1" t="s">
        <v>329</v>
      </c>
      <c r="F51" s="21" t="s">
        <v>165</v>
      </c>
      <c r="H51" s="24">
        <v>475.31</v>
      </c>
      <c r="I51" s="24">
        <v>169.46</v>
      </c>
      <c r="J51" s="24">
        <v>186.85</v>
      </c>
      <c r="K51" s="24">
        <v>524.67999999999995</v>
      </c>
      <c r="L51" s="24">
        <v>475</v>
      </c>
    </row>
    <row r="52" spans="4:12" ht="15.6" x14ac:dyDescent="0.3">
      <c r="D52" s="1" t="s">
        <v>330</v>
      </c>
      <c r="F52" s="21" t="s">
        <v>165</v>
      </c>
      <c r="H52" s="24">
        <v>7673.07</v>
      </c>
      <c r="I52" s="24">
        <v>1991.81</v>
      </c>
      <c r="J52" s="24">
        <v>1273.49</v>
      </c>
      <c r="K52" s="24">
        <v>1019.93</v>
      </c>
      <c r="L52" s="24">
        <v>1140</v>
      </c>
    </row>
    <row r="53" spans="4:12" ht="15.6" x14ac:dyDescent="0.3">
      <c r="D53" s="1" t="s">
        <v>45</v>
      </c>
      <c r="F53" s="21" t="s">
        <v>165</v>
      </c>
      <c r="H53" s="24">
        <v>28380.81</v>
      </c>
      <c r="I53" s="24">
        <v>36367.67</v>
      </c>
      <c r="J53" s="24">
        <v>43792.52</v>
      </c>
      <c r="K53" s="24">
        <v>52393.25</v>
      </c>
      <c r="L53" s="24">
        <v>62617</v>
      </c>
    </row>
    <row r="54" spans="4:12" ht="15.6" x14ac:dyDescent="0.3">
      <c r="D54" s="1" t="s">
        <v>333</v>
      </c>
      <c r="F54" s="21" t="s">
        <v>165</v>
      </c>
      <c r="H54" s="24">
        <v>0</v>
      </c>
      <c r="I54" s="24">
        <v>0</v>
      </c>
      <c r="J54" s="24">
        <v>0</v>
      </c>
      <c r="K54" s="24">
        <v>0</v>
      </c>
      <c r="L54" s="24">
        <v>0</v>
      </c>
    </row>
    <row r="55" spans="4:12" ht="15.6" x14ac:dyDescent="0.3">
      <c r="D55" s="1" t="s">
        <v>332</v>
      </c>
      <c r="F55" s="21" t="s">
        <v>165</v>
      </c>
      <c r="H55" s="24">
        <v>927.24</v>
      </c>
      <c r="I55" s="24">
        <v>608.51</v>
      </c>
      <c r="J55" s="24">
        <v>727.96</v>
      </c>
      <c r="K55" s="24">
        <v>952.88</v>
      </c>
      <c r="L55" s="24">
        <v>899</v>
      </c>
    </row>
    <row r="56" spans="4:12" ht="15.6" x14ac:dyDescent="0.3">
      <c r="D56" s="101" t="s">
        <v>81</v>
      </c>
      <c r="E56" s="102"/>
      <c r="F56" s="37" t="s">
        <v>165</v>
      </c>
      <c r="G56" s="102"/>
      <c r="H56" s="25">
        <f t="shared" ref="H56:L56" si="11">SUM(H41:H55)</f>
        <v>198473.49000000002</v>
      </c>
      <c r="I56" s="25">
        <f t="shared" si="11"/>
        <v>182303.8</v>
      </c>
      <c r="J56" s="25">
        <f t="shared" si="11"/>
        <v>186148.50999999998</v>
      </c>
      <c r="K56" s="25">
        <f t="shared" si="11"/>
        <v>179996.15</v>
      </c>
      <c r="L56" s="25">
        <f t="shared" si="11"/>
        <v>190158</v>
      </c>
    </row>
    <row r="57" spans="4:12" x14ac:dyDescent="0.3">
      <c r="D57" s="14" t="s">
        <v>46</v>
      </c>
      <c r="F57" s="100"/>
    </row>
    <row r="58" spans="4:12" ht="15.6" x14ac:dyDescent="0.3">
      <c r="D58" s="1" t="s">
        <v>47</v>
      </c>
      <c r="F58" s="21" t="s">
        <v>165</v>
      </c>
      <c r="H58" s="24">
        <v>35761.43</v>
      </c>
      <c r="I58" s="24">
        <v>32803.93</v>
      </c>
      <c r="J58" s="24">
        <v>32340.13</v>
      </c>
      <c r="K58" s="24">
        <v>30810.26</v>
      </c>
      <c r="L58" s="24">
        <v>39957</v>
      </c>
    </row>
    <row r="59" spans="4:12" x14ac:dyDescent="0.3">
      <c r="D59" s="1" t="s">
        <v>48</v>
      </c>
      <c r="H59" s="24"/>
      <c r="I59" s="24"/>
      <c r="J59" s="24"/>
      <c r="K59" s="24"/>
      <c r="L59" s="24"/>
    </row>
    <row r="60" spans="4:12" ht="15.6" x14ac:dyDescent="0.3">
      <c r="D60" s="1" t="s">
        <v>44</v>
      </c>
      <c r="F60" s="21" t="s">
        <v>165</v>
      </c>
      <c r="H60" s="24">
        <v>3951.69</v>
      </c>
      <c r="I60" s="24">
        <v>11336.88</v>
      </c>
      <c r="J60" s="24">
        <v>16103.95</v>
      </c>
      <c r="K60" s="24">
        <v>42401.7</v>
      </c>
      <c r="L60" s="24">
        <v>47188</v>
      </c>
    </row>
    <row r="61" spans="4:12" ht="15.6" x14ac:dyDescent="0.3">
      <c r="D61" s="1" t="s">
        <v>49</v>
      </c>
      <c r="F61" s="21" t="s">
        <v>165</v>
      </c>
      <c r="H61" s="24">
        <v>32091.87</v>
      </c>
      <c r="I61" s="24">
        <v>41460.36</v>
      </c>
      <c r="J61" s="24">
        <v>49421.47</v>
      </c>
      <c r="K61" s="24">
        <v>45129.45</v>
      </c>
      <c r="L61" s="24">
        <v>34332</v>
      </c>
    </row>
    <row r="62" spans="4:12" ht="15.6" x14ac:dyDescent="0.3">
      <c r="D62" s="1" t="s">
        <v>50</v>
      </c>
      <c r="F62" s="21" t="s">
        <v>165</v>
      </c>
      <c r="H62" s="24">
        <v>2757.29</v>
      </c>
      <c r="I62" s="24">
        <v>4678.5</v>
      </c>
      <c r="J62" s="24">
        <v>5295.39</v>
      </c>
      <c r="K62" s="24">
        <v>10462.51</v>
      </c>
      <c r="L62" s="24">
        <v>17675</v>
      </c>
    </row>
    <row r="63" spans="4:12" ht="15.6" x14ac:dyDescent="0.3">
      <c r="D63" s="1" t="s">
        <v>51</v>
      </c>
      <c r="F63" s="21" t="s">
        <v>165</v>
      </c>
      <c r="H63" s="24">
        <v>8843.07</v>
      </c>
      <c r="I63" s="24">
        <v>13795.57</v>
      </c>
      <c r="J63" s="24">
        <v>14842.62</v>
      </c>
      <c r="K63" s="24">
        <v>16827.5</v>
      </c>
      <c r="L63" s="24">
        <v>23309</v>
      </c>
    </row>
    <row r="64" spans="4:12" ht="15.6" x14ac:dyDescent="0.3">
      <c r="D64" s="1" t="s">
        <v>52</v>
      </c>
      <c r="F64" s="21" t="s">
        <v>165</v>
      </c>
      <c r="H64" s="24">
        <v>376.01</v>
      </c>
      <c r="I64" s="24">
        <v>599.45000000000005</v>
      </c>
      <c r="J64" s="24">
        <v>417.33</v>
      </c>
      <c r="K64" s="24">
        <v>420.2</v>
      </c>
      <c r="L64" s="24">
        <v>2319</v>
      </c>
    </row>
    <row r="65" spans="3:17" ht="15.6" x14ac:dyDescent="0.3">
      <c r="D65" s="1" t="s">
        <v>53</v>
      </c>
      <c r="F65" s="21" t="s">
        <v>165</v>
      </c>
      <c r="H65" s="24">
        <v>4567.8999999999996</v>
      </c>
      <c r="I65" s="24">
        <v>7133.47</v>
      </c>
      <c r="J65" s="24">
        <v>7243.55</v>
      </c>
      <c r="K65" s="24">
        <v>12954.46</v>
      </c>
      <c r="L65" s="24">
        <v>7288</v>
      </c>
    </row>
    <row r="66" spans="3:17" ht="15.6" x14ac:dyDescent="0.3">
      <c r="D66" s="1" t="s">
        <v>54</v>
      </c>
      <c r="F66" s="21" t="s">
        <v>165</v>
      </c>
      <c r="H66" s="24">
        <v>84.71</v>
      </c>
      <c r="I66" s="24">
        <v>69.05</v>
      </c>
      <c r="J66" s="24">
        <v>92.61</v>
      </c>
      <c r="K66" s="24">
        <v>45.17</v>
      </c>
      <c r="L66" s="24">
        <v>72</v>
      </c>
    </row>
    <row r="67" spans="3:17" ht="15.6" x14ac:dyDescent="0.3">
      <c r="D67" s="1" t="s">
        <v>55</v>
      </c>
      <c r="F67" s="21" t="s">
        <v>165</v>
      </c>
      <c r="H67" s="24">
        <v>18841.03</v>
      </c>
      <c r="I67" s="24">
        <v>16804.189999999999</v>
      </c>
      <c r="J67" s="24">
        <v>16064.64</v>
      </c>
      <c r="K67" s="24">
        <v>14315.13</v>
      </c>
      <c r="L67" s="24">
        <v>21346</v>
      </c>
    </row>
    <row r="68" spans="3:17" ht="15.6" x14ac:dyDescent="0.3">
      <c r="D68" s="99" t="s">
        <v>82</v>
      </c>
      <c r="E68" s="100"/>
      <c r="F68" s="37" t="s">
        <v>165</v>
      </c>
      <c r="G68" s="100"/>
      <c r="H68" s="97">
        <f t="shared" ref="H68:K68" si="12">SUM(H58:H67)</f>
        <v>107275</v>
      </c>
      <c r="I68" s="97">
        <f t="shared" si="12"/>
        <v>128681.4</v>
      </c>
      <c r="J68" s="97">
        <f t="shared" si="12"/>
        <v>141821.69</v>
      </c>
      <c r="K68" s="97">
        <f t="shared" si="12"/>
        <v>173366.38</v>
      </c>
      <c r="L68" s="97">
        <f t="shared" ref="L68" si="13">SUM(L58:L67)</f>
        <v>193486</v>
      </c>
    </row>
    <row r="69" spans="3:17" ht="16.2" thickBot="1" x14ac:dyDescent="0.35">
      <c r="D69" s="103" t="s">
        <v>56</v>
      </c>
      <c r="E69" s="104"/>
      <c r="F69" s="43" t="s">
        <v>165</v>
      </c>
      <c r="G69" s="104"/>
      <c r="H69" s="98">
        <f t="shared" ref="H69:K69" si="14">H56+H68</f>
        <v>305748.49</v>
      </c>
      <c r="I69" s="98">
        <f t="shared" si="14"/>
        <v>310985.19999999995</v>
      </c>
      <c r="J69" s="98">
        <f t="shared" si="14"/>
        <v>327970.19999999995</v>
      </c>
      <c r="K69" s="98">
        <f t="shared" si="14"/>
        <v>353362.53</v>
      </c>
      <c r="L69" s="98">
        <f t="shared" ref="L69" si="15">L56+L68</f>
        <v>383644</v>
      </c>
    </row>
    <row r="70" spans="3:17" ht="15" thickTop="1" x14ac:dyDescent="0.3">
      <c r="C70" s="14" t="s">
        <v>57</v>
      </c>
    </row>
    <row r="71" spans="3:17" x14ac:dyDescent="0.3">
      <c r="D71" s="14" t="s">
        <v>58</v>
      </c>
    </row>
    <row r="72" spans="3:17" ht="15.6" x14ac:dyDescent="0.3">
      <c r="D72" s="1" t="s">
        <v>59</v>
      </c>
      <c r="F72" s="21" t="s">
        <v>165</v>
      </c>
      <c r="H72" s="24">
        <v>4411.5</v>
      </c>
      <c r="I72" s="24">
        <v>4411.5</v>
      </c>
      <c r="J72" s="24">
        <v>4365</v>
      </c>
      <c r="K72" s="24">
        <v>4365</v>
      </c>
      <c r="L72" s="24">
        <v>4365</v>
      </c>
    </row>
    <row r="73" spans="3:17" ht="15.6" x14ac:dyDescent="0.3">
      <c r="D73" s="1" t="s">
        <v>60</v>
      </c>
      <c r="F73" s="21" t="s">
        <v>165</v>
      </c>
      <c r="H73" s="24">
        <v>203247.87</v>
      </c>
      <c r="I73" s="24">
        <v>225868.49</v>
      </c>
      <c r="J73" s="24">
        <v>240293.49</v>
      </c>
      <c r="K73" s="24">
        <v>265114.28999999998</v>
      </c>
      <c r="L73" s="24">
        <v>288033</v>
      </c>
      <c r="M73" s="15"/>
      <c r="N73" s="15"/>
      <c r="O73" s="15"/>
      <c r="P73" s="15"/>
      <c r="Q73" s="15"/>
    </row>
    <row r="74" spans="3:17" ht="15.6" x14ac:dyDescent="0.3">
      <c r="D74" s="14" t="s">
        <v>61</v>
      </c>
      <c r="F74" s="22" t="s">
        <v>165</v>
      </c>
      <c r="H74" s="24">
        <f t="shared" ref="H74:L74" si="16">SUM(H72:H73)</f>
        <v>207659.37</v>
      </c>
      <c r="I74" s="24">
        <f t="shared" si="16"/>
        <v>230279.99</v>
      </c>
      <c r="J74" s="24">
        <f t="shared" si="16"/>
        <v>244658.49</v>
      </c>
      <c r="K74" s="24">
        <f t="shared" si="16"/>
        <v>269479.28999999998</v>
      </c>
      <c r="L74" s="24">
        <f t="shared" si="16"/>
        <v>292398</v>
      </c>
    </row>
    <row r="75" spans="3:17" ht="15.6" x14ac:dyDescent="0.3">
      <c r="D75" s="1" t="s">
        <v>62</v>
      </c>
      <c r="F75" s="21" t="s">
        <v>165</v>
      </c>
      <c r="H75" s="24">
        <v>-230.09</v>
      </c>
      <c r="I75" s="24">
        <v>996.48</v>
      </c>
      <c r="J75" s="24">
        <v>1112.22</v>
      </c>
      <c r="K75" s="24">
        <v>-143.43</v>
      </c>
      <c r="L75" s="24">
        <v>-154</v>
      </c>
    </row>
    <row r="76" spans="3:17" ht="15.6" x14ac:dyDescent="0.3">
      <c r="D76" s="101" t="s">
        <v>63</v>
      </c>
      <c r="E76" s="102"/>
      <c r="F76" s="37" t="s">
        <v>165</v>
      </c>
      <c r="G76" s="102"/>
      <c r="H76" s="25">
        <f>SUM(H74:H75)</f>
        <v>207429.28</v>
      </c>
      <c r="I76" s="25">
        <f t="shared" ref="I76:L76" si="17">SUM(I74:I75)</f>
        <v>231276.47</v>
      </c>
      <c r="J76" s="25">
        <f t="shared" si="17"/>
        <v>245770.71</v>
      </c>
      <c r="K76" s="25">
        <f t="shared" si="17"/>
        <v>269335.86</v>
      </c>
      <c r="L76" s="25">
        <f t="shared" si="17"/>
        <v>292244</v>
      </c>
    </row>
    <row r="77" spans="3:17" x14ac:dyDescent="0.3">
      <c r="D77" s="14" t="s">
        <v>64</v>
      </c>
      <c r="F77" s="100"/>
    </row>
    <row r="78" spans="3:17" x14ac:dyDescent="0.3">
      <c r="D78" s="14" t="s">
        <v>65</v>
      </c>
    </row>
    <row r="79" spans="3:17" x14ac:dyDescent="0.3">
      <c r="D79" s="1" t="s">
        <v>66</v>
      </c>
    </row>
    <row r="80" spans="3:17" ht="15.6" x14ac:dyDescent="0.3">
      <c r="D80" s="1" t="s">
        <v>67</v>
      </c>
      <c r="F80" s="21" t="s">
        <v>165</v>
      </c>
      <c r="H80" s="24">
        <v>988.36</v>
      </c>
      <c r="I80" s="24">
        <v>904.85</v>
      </c>
      <c r="J80" s="24">
        <v>1543.19</v>
      </c>
      <c r="K80" s="24">
        <v>1728.19</v>
      </c>
      <c r="L80" s="24">
        <v>2412</v>
      </c>
    </row>
    <row r="81" spans="4:12" ht="15.6" x14ac:dyDescent="0.3">
      <c r="D81" s="1" t="s">
        <v>68</v>
      </c>
      <c r="F81" s="21" t="s">
        <v>165</v>
      </c>
      <c r="H81" s="24">
        <v>690.74</v>
      </c>
      <c r="I81" s="24">
        <v>687.96</v>
      </c>
      <c r="J81" s="24">
        <v>686.55</v>
      </c>
      <c r="K81" s="24">
        <v>304.27</v>
      </c>
      <c r="L81" s="24">
        <v>321</v>
      </c>
    </row>
    <row r="82" spans="4:12" ht="15.6" x14ac:dyDescent="0.3">
      <c r="D82" s="1" t="s">
        <v>69</v>
      </c>
      <c r="F82" s="21" t="s">
        <v>165</v>
      </c>
      <c r="H82" s="24">
        <v>2523.13</v>
      </c>
      <c r="I82" s="24">
        <v>2769.92</v>
      </c>
      <c r="J82" s="24">
        <v>1532.08</v>
      </c>
      <c r="K82" s="24">
        <v>1929.19</v>
      </c>
      <c r="L82" s="24">
        <v>3135</v>
      </c>
    </row>
    <row r="83" spans="4:12" ht="15.6" x14ac:dyDescent="0.3">
      <c r="D83" s="1" t="s">
        <v>70</v>
      </c>
      <c r="F83" s="21" t="s">
        <v>165</v>
      </c>
      <c r="H83" s="24">
        <v>754.01</v>
      </c>
      <c r="I83" s="24">
        <v>1344.48</v>
      </c>
      <c r="J83" s="24">
        <v>1088.44</v>
      </c>
      <c r="K83" s="24">
        <v>840.68</v>
      </c>
      <c r="L83" s="24">
        <v>593</v>
      </c>
    </row>
    <row r="84" spans="4:12" ht="15.6" x14ac:dyDescent="0.3">
      <c r="D84" s="1" t="s">
        <v>71</v>
      </c>
      <c r="F84" s="21" t="s">
        <v>165</v>
      </c>
      <c r="H84" s="24">
        <v>1790.52</v>
      </c>
      <c r="I84" s="24">
        <v>1612.97</v>
      </c>
      <c r="J84" s="24">
        <v>1466.57</v>
      </c>
      <c r="K84" s="24">
        <v>1289.42</v>
      </c>
      <c r="L84" s="24">
        <v>1115</v>
      </c>
    </row>
    <row r="85" spans="4:12" ht="15.6" x14ac:dyDescent="0.3">
      <c r="D85" s="101" t="s">
        <v>83</v>
      </c>
      <c r="E85" s="102"/>
      <c r="F85" s="37" t="s">
        <v>165</v>
      </c>
      <c r="G85" s="102"/>
      <c r="H85" s="25">
        <f t="shared" ref="H85:L85" si="18">SUM(H80:H84)</f>
        <v>6746.76</v>
      </c>
      <c r="I85" s="25">
        <f t="shared" si="18"/>
        <v>7320.1799999999994</v>
      </c>
      <c r="J85" s="25">
        <f t="shared" si="18"/>
        <v>6316.83</v>
      </c>
      <c r="K85" s="25">
        <f t="shared" si="18"/>
        <v>6091.75</v>
      </c>
      <c r="L85" s="25">
        <f t="shared" si="18"/>
        <v>7576</v>
      </c>
    </row>
    <row r="86" spans="4:12" x14ac:dyDescent="0.3">
      <c r="D86" s="14" t="s">
        <v>72</v>
      </c>
      <c r="F86" s="100"/>
    </row>
    <row r="87" spans="4:12" x14ac:dyDescent="0.3">
      <c r="D87" s="1" t="s">
        <v>66</v>
      </c>
    </row>
    <row r="88" spans="4:12" ht="15.6" x14ac:dyDescent="0.3">
      <c r="D88" s="1" t="s">
        <v>73</v>
      </c>
      <c r="F88" s="21" t="s">
        <v>165</v>
      </c>
      <c r="H88" s="24">
        <v>26371.119999999999</v>
      </c>
      <c r="I88" s="24">
        <v>7360.85</v>
      </c>
      <c r="J88" s="24">
        <v>6568.92</v>
      </c>
      <c r="K88" s="24">
        <v>6208.47</v>
      </c>
      <c r="L88" s="24">
        <v>12238</v>
      </c>
    </row>
    <row r="89" spans="4:12" ht="15.6" x14ac:dyDescent="0.3">
      <c r="D89" s="1" t="s">
        <v>74</v>
      </c>
      <c r="F89" s="21" t="s">
        <v>165</v>
      </c>
      <c r="H89" s="24">
        <v>796.06</v>
      </c>
      <c r="I89" s="24">
        <v>785.1</v>
      </c>
      <c r="J89" s="24">
        <v>1283.48</v>
      </c>
      <c r="K89" s="24">
        <v>1042.43</v>
      </c>
      <c r="L89" s="24">
        <v>1542</v>
      </c>
    </row>
    <row r="90" spans="4:12" x14ac:dyDescent="0.3">
      <c r="D90" s="1" t="s">
        <v>75</v>
      </c>
      <c r="H90" s="24"/>
      <c r="I90" s="24"/>
      <c r="J90" s="24"/>
      <c r="K90" s="24"/>
      <c r="L90" s="24"/>
    </row>
    <row r="91" spans="4:12" ht="15.6" x14ac:dyDescent="0.3">
      <c r="D91" s="1" t="s">
        <v>86</v>
      </c>
      <c r="F91" s="21" t="s">
        <v>165</v>
      </c>
      <c r="H91" s="24">
        <v>3369.6</v>
      </c>
      <c r="I91" s="24">
        <v>3128.01</v>
      </c>
      <c r="J91" s="24">
        <v>3631.39</v>
      </c>
      <c r="K91" s="24">
        <v>5606.74</v>
      </c>
      <c r="L91" s="24">
        <v>5300</v>
      </c>
    </row>
    <row r="92" spans="4:12" ht="15.6" x14ac:dyDescent="0.3">
      <c r="D92" s="1" t="s">
        <v>87</v>
      </c>
      <c r="F92" s="21" t="s">
        <v>165</v>
      </c>
      <c r="H92" s="24">
        <v>37503.85</v>
      </c>
      <c r="I92" s="24">
        <v>38501.53</v>
      </c>
      <c r="J92" s="24">
        <v>41827.39</v>
      </c>
      <c r="K92" s="24">
        <v>37953.17</v>
      </c>
      <c r="L92" s="24">
        <v>42406</v>
      </c>
    </row>
    <row r="93" spans="4:12" ht="15.6" x14ac:dyDescent="0.3">
      <c r="D93" s="1" t="s">
        <v>76</v>
      </c>
      <c r="F93" s="21" t="s">
        <v>165</v>
      </c>
      <c r="H93" s="24">
        <v>4644.6400000000003</v>
      </c>
      <c r="I93" s="24">
        <v>5133.59</v>
      </c>
      <c r="J93" s="24">
        <v>5670.62</v>
      </c>
      <c r="K93" s="24">
        <v>12578.92</v>
      </c>
      <c r="L93" s="24">
        <v>6663</v>
      </c>
    </row>
    <row r="94" spans="4:12" ht="15.6" x14ac:dyDescent="0.3">
      <c r="D94" s="1" t="s">
        <v>77</v>
      </c>
      <c r="F94" s="21" t="s">
        <v>165</v>
      </c>
      <c r="H94" s="24">
        <v>2543.2199999999998</v>
      </c>
      <c r="I94" s="24">
        <v>3014.65</v>
      </c>
      <c r="J94" s="24">
        <v>3430.67</v>
      </c>
      <c r="K94" s="24">
        <v>4229.3999999999996</v>
      </c>
      <c r="L94" s="24">
        <v>3847</v>
      </c>
    </row>
    <row r="95" spans="4:12" ht="15.6" x14ac:dyDescent="0.3">
      <c r="D95" s="1" t="s">
        <v>78</v>
      </c>
      <c r="F95" s="21" t="s">
        <v>165</v>
      </c>
      <c r="H95" s="24">
        <v>14641.92</v>
      </c>
      <c r="I95" s="24">
        <v>11899.69</v>
      </c>
      <c r="J95" s="24">
        <v>11028.83</v>
      </c>
      <c r="K95" s="24">
        <v>8532.3799999999992</v>
      </c>
      <c r="L95" s="24">
        <v>9904</v>
      </c>
    </row>
    <row r="96" spans="4:12" ht="15.6" x14ac:dyDescent="0.3">
      <c r="D96" s="1" t="s">
        <v>79</v>
      </c>
      <c r="F96" s="21" t="s">
        <v>165</v>
      </c>
      <c r="H96" s="24">
        <v>1702.04</v>
      </c>
      <c r="I96" s="24">
        <v>2565.13</v>
      </c>
      <c r="J96" s="24">
        <v>2441.36</v>
      </c>
      <c r="K96" s="24">
        <v>1783.41</v>
      </c>
      <c r="L96" s="24">
        <v>1924</v>
      </c>
    </row>
    <row r="97" spans="2:12" ht="15.6" x14ac:dyDescent="0.3">
      <c r="D97" s="99" t="s">
        <v>84</v>
      </c>
      <c r="E97" s="100"/>
      <c r="F97" s="37" t="s">
        <v>165</v>
      </c>
      <c r="G97" s="100"/>
      <c r="H97" s="97">
        <f t="shared" ref="H97:K97" si="19">SUM(H88:H96)</f>
        <v>91572.45</v>
      </c>
      <c r="I97" s="97">
        <f t="shared" si="19"/>
        <v>72388.55</v>
      </c>
      <c r="J97" s="97">
        <f t="shared" si="19"/>
        <v>75882.66</v>
      </c>
      <c r="K97" s="97">
        <f t="shared" si="19"/>
        <v>77934.92</v>
      </c>
      <c r="L97" s="97">
        <f t="shared" ref="L97" si="20">SUM(L88:L96)</f>
        <v>83824</v>
      </c>
    </row>
    <row r="98" spans="2:12" ht="16.2" thickBot="1" x14ac:dyDescent="0.35">
      <c r="D98" s="103" t="s">
        <v>80</v>
      </c>
      <c r="E98" s="104"/>
      <c r="F98" s="43" t="s">
        <v>165</v>
      </c>
      <c r="G98" s="104"/>
      <c r="H98" s="98">
        <f t="shared" ref="H98:K98" si="21">H76+H85+H97</f>
        <v>305748.49</v>
      </c>
      <c r="I98" s="98">
        <f t="shared" si="21"/>
        <v>310985.2</v>
      </c>
      <c r="J98" s="98">
        <f t="shared" si="21"/>
        <v>327970.19999999995</v>
      </c>
      <c r="K98" s="98">
        <f t="shared" si="21"/>
        <v>353362.52999999997</v>
      </c>
      <c r="L98" s="98">
        <f t="shared" ref="L98" si="22">L76+L85+L97</f>
        <v>383644</v>
      </c>
    </row>
    <row r="99" spans="2:12" ht="15" thickTop="1" x14ac:dyDescent="0.3"/>
    <row r="102" spans="2:12" ht="18" x14ac:dyDescent="0.35">
      <c r="B102" s="10" t="s">
        <v>89</v>
      </c>
    </row>
    <row r="103" spans="2:12" x14ac:dyDescent="0.3">
      <c r="C103" s="14" t="s">
        <v>90</v>
      </c>
    </row>
    <row r="104" spans="2:12" ht="15.6" x14ac:dyDescent="0.3">
      <c r="D104" s="14" t="s">
        <v>91</v>
      </c>
      <c r="F104" s="21" t="s">
        <v>165</v>
      </c>
      <c r="H104" s="24">
        <v>68800.5</v>
      </c>
      <c r="I104" s="24">
        <v>66954.94</v>
      </c>
      <c r="J104" s="24">
        <v>79083.28</v>
      </c>
      <c r="K104" s="24">
        <v>89386.28</v>
      </c>
      <c r="L104" s="24">
        <v>84607</v>
      </c>
    </row>
    <row r="105" spans="2:12" x14ac:dyDescent="0.3">
      <c r="D105" s="1" t="s">
        <v>92</v>
      </c>
      <c r="H105" s="24"/>
      <c r="I105" s="24"/>
      <c r="J105" s="24"/>
      <c r="K105" s="24"/>
      <c r="L105" s="24"/>
    </row>
    <row r="106" spans="2:12" ht="15.6" x14ac:dyDescent="0.3">
      <c r="D106" s="1" t="s">
        <v>93</v>
      </c>
      <c r="F106" s="21" t="s">
        <v>165</v>
      </c>
      <c r="H106" s="24">
        <v>-5141.38</v>
      </c>
      <c r="I106" s="24">
        <v>-547.38</v>
      </c>
      <c r="J106" s="24">
        <v>-1686.78</v>
      </c>
      <c r="K106" s="24">
        <v>-3856.92</v>
      </c>
      <c r="L106" s="24">
        <v>-4237</v>
      </c>
    </row>
    <row r="107" spans="2:12" ht="15.6" x14ac:dyDescent="0.3">
      <c r="D107" s="1" t="s">
        <v>94</v>
      </c>
      <c r="F107" s="21" t="s">
        <v>165</v>
      </c>
      <c r="H107" s="24">
        <v>33477.79</v>
      </c>
      <c r="I107" s="24">
        <v>24724.9</v>
      </c>
      <c r="J107" s="24">
        <v>18590.59</v>
      </c>
      <c r="K107" s="24">
        <v>17821.400000000001</v>
      </c>
      <c r="L107" s="24">
        <v>17734</v>
      </c>
    </row>
    <row r="108" spans="2:12" ht="15.6" x14ac:dyDescent="0.3">
      <c r="D108" s="1" t="s">
        <v>11</v>
      </c>
      <c r="F108" s="21" t="s">
        <v>165</v>
      </c>
      <c r="H108" s="24">
        <v>507.29</v>
      </c>
      <c r="I108" s="24">
        <v>739.14</v>
      </c>
      <c r="J108" s="24">
        <v>997.72</v>
      </c>
      <c r="K108" s="24">
        <v>933.69</v>
      </c>
      <c r="L108" s="24">
        <v>1113</v>
      </c>
    </row>
    <row r="109" spans="2:12" ht="15.6" x14ac:dyDescent="0.3">
      <c r="D109" s="1" t="s">
        <v>95</v>
      </c>
      <c r="F109" s="21" t="s">
        <v>165</v>
      </c>
      <c r="H109" s="24">
        <v>-2777.99</v>
      </c>
      <c r="I109" s="24">
        <v>-1007.51</v>
      </c>
      <c r="J109" s="24">
        <v>-1253.22</v>
      </c>
      <c r="K109" s="24">
        <v>-1999.64</v>
      </c>
      <c r="L109" s="24">
        <v>-3085</v>
      </c>
    </row>
    <row r="110" spans="2:12" ht="15.6" x14ac:dyDescent="0.3">
      <c r="D110" s="1" t="s">
        <v>96</v>
      </c>
      <c r="F110" s="21" t="s">
        <v>165</v>
      </c>
      <c r="H110" s="24">
        <v>-81.62</v>
      </c>
      <c r="I110" s="24">
        <v>-474.19</v>
      </c>
      <c r="J110" s="24">
        <v>-411.22</v>
      </c>
      <c r="K110" s="24">
        <v>18.809999999999999</v>
      </c>
      <c r="L110" s="24">
        <v>-103</v>
      </c>
    </row>
    <row r="111" spans="2:12" ht="15.6" x14ac:dyDescent="0.3">
      <c r="D111" s="1" t="s">
        <v>107</v>
      </c>
      <c r="F111" s="21" t="s">
        <v>165</v>
      </c>
      <c r="H111" s="24">
        <v>0</v>
      </c>
      <c r="I111" s="24">
        <v>-127.14</v>
      </c>
      <c r="J111" s="24">
        <v>-127.14</v>
      </c>
      <c r="K111" s="24">
        <v>-127.14</v>
      </c>
      <c r="L111" s="24">
        <v>-127</v>
      </c>
    </row>
    <row r="112" spans="2:12" ht="15.6" x14ac:dyDescent="0.3">
      <c r="D112" s="1" t="s">
        <v>106</v>
      </c>
      <c r="F112" s="21" t="s">
        <v>165</v>
      </c>
      <c r="H112" s="24">
        <v>0</v>
      </c>
      <c r="I112" s="24">
        <v>-0.63</v>
      </c>
      <c r="J112" s="24">
        <v>-0.75</v>
      </c>
      <c r="K112" s="24">
        <v>-0.75</v>
      </c>
      <c r="L112" s="24">
        <v>0</v>
      </c>
    </row>
    <row r="113" spans="4:13" ht="15.6" x14ac:dyDescent="0.3">
      <c r="D113" s="1" t="s">
        <v>17</v>
      </c>
      <c r="F113" s="21" t="s">
        <v>165</v>
      </c>
      <c r="H113" s="24">
        <v>1458.42</v>
      </c>
      <c r="I113" s="24">
        <v>749.7</v>
      </c>
      <c r="J113" s="24">
        <v>372.36</v>
      </c>
      <c r="K113" s="24">
        <v>1181.02</v>
      </c>
      <c r="L113" s="24">
        <v>407</v>
      </c>
    </row>
    <row r="114" spans="4:13" ht="15.6" x14ac:dyDescent="0.3">
      <c r="D114" s="1" t="s">
        <v>97</v>
      </c>
      <c r="F114" s="21" t="s">
        <v>165</v>
      </c>
      <c r="H114" s="24">
        <v>0</v>
      </c>
      <c r="I114" s="24">
        <v>0</v>
      </c>
      <c r="J114" s="24">
        <v>0</v>
      </c>
      <c r="K114" s="24">
        <v>0</v>
      </c>
      <c r="L114" s="24">
        <v>0</v>
      </c>
    </row>
    <row r="115" spans="4:13" ht="15.6" x14ac:dyDescent="0.3">
      <c r="D115" s="1" t="s">
        <v>98</v>
      </c>
      <c r="F115" s="21" t="s">
        <v>165</v>
      </c>
      <c r="H115" s="24">
        <v>6.11</v>
      </c>
      <c r="I115" s="24">
        <v>-124.85</v>
      </c>
      <c r="J115" s="24">
        <v>-210.76</v>
      </c>
      <c r="K115" s="24">
        <v>-26.62</v>
      </c>
      <c r="L115" s="24">
        <v>-12</v>
      </c>
    </row>
    <row r="116" spans="4:13" ht="15.6" x14ac:dyDescent="0.3">
      <c r="D116" s="1" t="s">
        <v>108</v>
      </c>
      <c r="F116" s="21" t="s">
        <v>165</v>
      </c>
      <c r="H116" s="24">
        <v>0</v>
      </c>
      <c r="I116" s="24">
        <v>0</v>
      </c>
      <c r="J116" s="24">
        <v>63.73</v>
      </c>
      <c r="K116" s="24">
        <v>50.44</v>
      </c>
      <c r="L116" s="24">
        <v>0</v>
      </c>
    </row>
    <row r="117" spans="4:13" ht="15.6" x14ac:dyDescent="0.3">
      <c r="D117" s="1" t="s">
        <v>99</v>
      </c>
      <c r="F117" s="21" t="s">
        <v>165</v>
      </c>
      <c r="H117" s="24">
        <v>0</v>
      </c>
      <c r="I117" s="24">
        <v>0</v>
      </c>
      <c r="J117" s="24">
        <v>0</v>
      </c>
      <c r="K117" s="24">
        <v>0</v>
      </c>
      <c r="L117" s="24">
        <v>0</v>
      </c>
    </row>
    <row r="118" spans="4:13" ht="15.6" x14ac:dyDescent="0.3">
      <c r="D118" s="1" t="s">
        <v>100</v>
      </c>
      <c r="F118" s="21" t="s">
        <v>165</v>
      </c>
      <c r="H118" s="24">
        <v>-299.55</v>
      </c>
      <c r="I118" s="24">
        <v>-332.61</v>
      </c>
      <c r="J118" s="24">
        <v>0</v>
      </c>
      <c r="K118" s="24">
        <v>0</v>
      </c>
      <c r="L118" s="24">
        <v>0</v>
      </c>
    </row>
    <row r="119" spans="4:13" ht="15.6" x14ac:dyDescent="0.3">
      <c r="D119" s="1" t="s">
        <v>101</v>
      </c>
      <c r="F119" s="21" t="s">
        <v>165</v>
      </c>
      <c r="H119" s="24">
        <v>0</v>
      </c>
      <c r="I119" s="24">
        <v>546.80999999999995</v>
      </c>
      <c r="J119" s="24">
        <v>0</v>
      </c>
      <c r="K119" s="24">
        <v>0</v>
      </c>
      <c r="L119" s="24">
        <v>0</v>
      </c>
    </row>
    <row r="120" spans="4:13" ht="15.6" x14ac:dyDescent="0.3">
      <c r="D120" s="1" t="s">
        <v>102</v>
      </c>
      <c r="F120" s="21" t="s">
        <v>165</v>
      </c>
      <c r="H120" s="24">
        <v>0</v>
      </c>
      <c r="I120" s="24">
        <v>0</v>
      </c>
      <c r="J120" s="24">
        <v>529.03</v>
      </c>
      <c r="K120" s="24">
        <v>73.81</v>
      </c>
      <c r="L120" s="24">
        <v>14</v>
      </c>
    </row>
    <row r="121" spans="4:13" ht="15.6" x14ac:dyDescent="0.3">
      <c r="D121" s="1" t="s">
        <v>103</v>
      </c>
      <c r="F121" s="21" t="s">
        <v>165</v>
      </c>
      <c r="H121" s="24">
        <v>-53.39</v>
      </c>
      <c r="I121" s="24">
        <v>0</v>
      </c>
      <c r="J121" s="24">
        <v>0</v>
      </c>
      <c r="K121" s="24">
        <v>0</v>
      </c>
      <c r="L121" s="24">
        <v>0</v>
      </c>
    </row>
    <row r="122" spans="4:13" ht="15.6" x14ac:dyDescent="0.3">
      <c r="D122" s="1" t="s">
        <v>104</v>
      </c>
      <c r="F122" s="21" t="s">
        <v>165</v>
      </c>
      <c r="H122" s="24">
        <v>0</v>
      </c>
      <c r="I122" s="24">
        <v>-3385</v>
      </c>
      <c r="J122" s="24">
        <v>0</v>
      </c>
      <c r="K122" s="24">
        <v>0</v>
      </c>
      <c r="L122" s="24">
        <v>0</v>
      </c>
    </row>
    <row r="123" spans="4:13" ht="15.6" x14ac:dyDescent="0.3">
      <c r="D123" s="1" t="s">
        <v>105</v>
      </c>
      <c r="F123" s="21" t="s">
        <v>165</v>
      </c>
      <c r="H123" s="24">
        <v>-341.34</v>
      </c>
      <c r="I123" s="24">
        <v>0</v>
      </c>
      <c r="J123" s="24">
        <v>-42.29</v>
      </c>
      <c r="K123" s="24">
        <v>0</v>
      </c>
      <c r="L123" s="24">
        <v>0</v>
      </c>
    </row>
    <row r="124" spans="4:13" ht="15.6" x14ac:dyDescent="0.3">
      <c r="D124" s="1" t="s">
        <v>334</v>
      </c>
      <c r="F124" s="21"/>
      <c r="H124" s="24"/>
      <c r="I124" s="24"/>
      <c r="J124" s="24"/>
      <c r="K124" s="24"/>
      <c r="L124" s="24">
        <v>74</v>
      </c>
    </row>
    <row r="125" spans="4:13" ht="15.6" x14ac:dyDescent="0.3">
      <c r="D125" s="101" t="s">
        <v>109</v>
      </c>
      <c r="E125" s="102"/>
      <c r="F125" s="37" t="s">
        <v>165</v>
      </c>
      <c r="G125" s="102"/>
      <c r="H125" s="25">
        <f t="shared" ref="H125:L125" si="23">SUM(H104:H124)</f>
        <v>95554.84</v>
      </c>
      <c r="I125" s="25">
        <f t="shared" si="23"/>
        <v>87716.179999999978</v>
      </c>
      <c r="J125" s="25">
        <f t="shared" si="23"/>
        <v>95904.55</v>
      </c>
      <c r="K125" s="25">
        <f t="shared" si="23"/>
        <v>103454.38000000002</v>
      </c>
      <c r="L125" s="25">
        <f t="shared" si="23"/>
        <v>96385</v>
      </c>
    </row>
    <row r="126" spans="4:13" x14ac:dyDescent="0.3">
      <c r="F126" s="100"/>
    </row>
    <row r="127" spans="4:13" x14ac:dyDescent="0.3">
      <c r="D127" s="14" t="s">
        <v>110</v>
      </c>
    </row>
    <row r="128" spans="4:13" ht="15.6" x14ac:dyDescent="0.3">
      <c r="D128" s="1" t="s">
        <v>111</v>
      </c>
      <c r="F128" s="21" t="s">
        <v>165</v>
      </c>
      <c r="H128" s="24">
        <v>3228.81</v>
      </c>
      <c r="I128" s="24">
        <v>-1785.95</v>
      </c>
      <c r="J128" s="24">
        <v>5866.98</v>
      </c>
      <c r="K128" s="24">
        <v>-521.79999999999995</v>
      </c>
      <c r="L128" s="24">
        <v>3372</v>
      </c>
      <c r="M128" s="24"/>
    </row>
    <row r="129" spans="3:16" ht="15.6" x14ac:dyDescent="0.3">
      <c r="D129" s="1" t="s">
        <v>119</v>
      </c>
      <c r="F129" s="21" t="s">
        <v>165</v>
      </c>
      <c r="H129" s="24">
        <v>-5590.36</v>
      </c>
      <c r="I129" s="24">
        <v>3979.05</v>
      </c>
      <c r="J129" s="24">
        <v>463.8</v>
      </c>
      <c r="K129" s="24">
        <v>1529.87</v>
      </c>
      <c r="L129" s="24">
        <v>-9147</v>
      </c>
      <c r="M129" s="24"/>
    </row>
    <row r="130" spans="3:16" ht="15.6" x14ac:dyDescent="0.3">
      <c r="D130" s="1" t="s">
        <v>112</v>
      </c>
      <c r="F130" s="21" t="s">
        <v>165</v>
      </c>
      <c r="H130" s="24">
        <v>-8573.94</v>
      </c>
      <c r="I130" s="24">
        <v>-8812.2000000000007</v>
      </c>
      <c r="J130" s="24">
        <v>-8501.43</v>
      </c>
      <c r="K130" s="24">
        <v>4213.32</v>
      </c>
      <c r="L130" s="24">
        <v>10757</v>
      </c>
      <c r="M130" s="24"/>
    </row>
    <row r="131" spans="3:16" ht="15.6" x14ac:dyDescent="0.3">
      <c r="D131" s="1" t="s">
        <v>113</v>
      </c>
      <c r="F131" s="21" t="s">
        <v>165</v>
      </c>
      <c r="H131" s="24">
        <v>1726.85</v>
      </c>
      <c r="I131" s="24">
        <v>5673.21</v>
      </c>
      <c r="J131" s="24">
        <v>624.14</v>
      </c>
      <c r="K131" s="24">
        <v>180.2</v>
      </c>
      <c r="L131" s="24">
        <v>897</v>
      </c>
      <c r="M131" s="24"/>
    </row>
    <row r="132" spans="3:16" ht="15.6" x14ac:dyDescent="0.3">
      <c r="D132" s="1" t="s">
        <v>114</v>
      </c>
      <c r="F132" s="21" t="s">
        <v>165</v>
      </c>
      <c r="H132" s="24">
        <v>-8120.67</v>
      </c>
      <c r="I132" s="24">
        <v>2377.8200000000002</v>
      </c>
      <c r="J132" s="24">
        <v>729.94</v>
      </c>
      <c r="K132" s="24">
        <v>1561.32</v>
      </c>
      <c r="L132" s="24">
        <v>-7074</v>
      </c>
      <c r="M132" s="24"/>
    </row>
    <row r="133" spans="3:16" ht="15.6" x14ac:dyDescent="0.3">
      <c r="D133" s="1" t="s">
        <v>115</v>
      </c>
      <c r="F133" s="21" t="s">
        <v>165</v>
      </c>
      <c r="H133" s="24">
        <v>419.39</v>
      </c>
      <c r="I133" s="24">
        <v>-2556.15</v>
      </c>
      <c r="J133" s="24">
        <v>-2558.09</v>
      </c>
      <c r="K133" s="24">
        <v>-2351.19</v>
      </c>
      <c r="L133" s="24">
        <v>2053</v>
      </c>
      <c r="M133" s="24"/>
    </row>
    <row r="134" spans="3:16" ht="15.6" x14ac:dyDescent="0.3">
      <c r="F134" s="37" t="s">
        <v>165</v>
      </c>
      <c r="G134" s="100"/>
      <c r="H134" s="97">
        <f t="shared" ref="H134:K134" si="24">SUM(H128:H133)</f>
        <v>-16909.919999999998</v>
      </c>
      <c r="I134" s="97">
        <f t="shared" si="24"/>
        <v>-1124.2200000000003</v>
      </c>
      <c r="J134" s="97">
        <f t="shared" si="24"/>
        <v>-3374.6600000000008</v>
      </c>
      <c r="K134" s="97">
        <f t="shared" si="24"/>
        <v>4611.7199999999993</v>
      </c>
      <c r="L134" s="97">
        <f t="shared" ref="L134" si="25">SUM(L128:L133)</f>
        <v>858</v>
      </c>
      <c r="M134" s="24"/>
    </row>
    <row r="135" spans="3:16" ht="15.6" x14ac:dyDescent="0.3">
      <c r="D135" s="101" t="s">
        <v>116</v>
      </c>
      <c r="E135" s="102"/>
      <c r="F135" s="37" t="s">
        <v>165</v>
      </c>
      <c r="G135" s="102"/>
      <c r="H135" s="97">
        <f t="shared" ref="H135:K135" si="26">H125+H134</f>
        <v>78644.92</v>
      </c>
      <c r="I135" s="97">
        <f t="shared" si="26"/>
        <v>86591.959999999977</v>
      </c>
      <c r="J135" s="97">
        <f t="shared" si="26"/>
        <v>92529.89</v>
      </c>
      <c r="K135" s="97">
        <f t="shared" si="26"/>
        <v>108066.10000000002</v>
      </c>
      <c r="L135" s="97">
        <f t="shared" ref="L135" si="27">L125+L134</f>
        <v>97243</v>
      </c>
      <c r="M135" s="24"/>
    </row>
    <row r="136" spans="3:16" ht="15.6" x14ac:dyDescent="0.3">
      <c r="D136" s="1" t="s">
        <v>117</v>
      </c>
      <c r="F136" s="38" t="s">
        <v>165</v>
      </c>
      <c r="H136" s="109">
        <v>14259.57</v>
      </c>
      <c r="I136" s="109">
        <v>11704.37</v>
      </c>
      <c r="J136" s="109">
        <v>14629.31</v>
      </c>
      <c r="K136" s="109">
        <v>18479.759999999998</v>
      </c>
      <c r="L136" s="109">
        <v>17190</v>
      </c>
      <c r="M136" s="24"/>
    </row>
    <row r="137" spans="3:16" ht="16.2" thickBot="1" x14ac:dyDescent="0.35">
      <c r="D137" s="103" t="s">
        <v>118</v>
      </c>
      <c r="E137" s="104"/>
      <c r="F137" s="43" t="s">
        <v>165</v>
      </c>
      <c r="G137" s="104"/>
      <c r="H137" s="98">
        <f t="shared" ref="H137:L137" si="28">H135-H136</f>
        <v>64385.35</v>
      </c>
      <c r="I137" s="98">
        <f t="shared" si="28"/>
        <v>74887.589999999982</v>
      </c>
      <c r="J137" s="98">
        <f t="shared" si="28"/>
        <v>77900.58</v>
      </c>
      <c r="K137" s="98">
        <f t="shared" si="28"/>
        <v>89586.340000000026</v>
      </c>
      <c r="L137" s="98">
        <f t="shared" si="28"/>
        <v>80053</v>
      </c>
      <c r="M137" s="24"/>
    </row>
    <row r="138" spans="3:16" ht="15" thickTop="1" x14ac:dyDescent="0.3"/>
    <row r="139" spans="3:16" x14ac:dyDescent="0.3">
      <c r="C139" s="14" t="s">
        <v>120</v>
      </c>
    </row>
    <row r="140" spans="3:16" ht="15.6" x14ac:dyDescent="0.3">
      <c r="D140" s="1" t="s">
        <v>121</v>
      </c>
      <c r="F140" s="21" t="s">
        <v>165</v>
      </c>
      <c r="H140" s="24">
        <v>2269.7800000000002</v>
      </c>
      <c r="I140" s="24">
        <v>773.83</v>
      </c>
      <c r="J140" s="24">
        <v>1177.55</v>
      </c>
      <c r="K140" s="24">
        <v>1694.43</v>
      </c>
      <c r="L140" s="24">
        <v>1737</v>
      </c>
    </row>
    <row r="141" spans="3:16" ht="15.6" x14ac:dyDescent="0.3">
      <c r="D141" s="1" t="s">
        <v>122</v>
      </c>
      <c r="F141" s="21" t="s">
        <v>165</v>
      </c>
      <c r="H141" s="24">
        <v>0</v>
      </c>
      <c r="I141" s="24">
        <v>127.14</v>
      </c>
      <c r="J141" s="24">
        <v>127.89</v>
      </c>
      <c r="K141" s="24">
        <v>127.89</v>
      </c>
      <c r="L141" s="24">
        <v>127</v>
      </c>
    </row>
    <row r="142" spans="3:16" ht="15.6" x14ac:dyDescent="0.3">
      <c r="D142" s="1" t="s">
        <v>123</v>
      </c>
      <c r="F142" s="21" t="s">
        <v>165</v>
      </c>
      <c r="H142" s="24">
        <v>-142474.97</v>
      </c>
      <c r="I142" s="24">
        <v>-204307.21</v>
      </c>
      <c r="J142" s="24">
        <v>-195750</v>
      </c>
      <c r="K142" s="24">
        <v>-234919.98</v>
      </c>
      <c r="L142" s="24">
        <v>-294620</v>
      </c>
      <c r="M142" s="49"/>
    </row>
    <row r="143" spans="3:16" ht="15.6" x14ac:dyDescent="0.3">
      <c r="D143" s="1" t="s">
        <v>124</v>
      </c>
      <c r="F143" s="21" t="s">
        <v>165</v>
      </c>
      <c r="H143" s="24">
        <v>148680.09</v>
      </c>
      <c r="I143" s="24">
        <v>197479.23</v>
      </c>
      <c r="J143" s="24">
        <v>192427.6</v>
      </c>
      <c r="K143" s="24">
        <v>211648.08</v>
      </c>
      <c r="L143" s="24">
        <v>283873</v>
      </c>
      <c r="M143" s="15"/>
      <c r="N143" s="15"/>
      <c r="O143" s="15"/>
      <c r="P143" s="15"/>
    </row>
    <row r="144" spans="3:16" ht="15.6" x14ac:dyDescent="0.3">
      <c r="D144" s="1" t="s">
        <v>125</v>
      </c>
      <c r="F144" s="21" t="s">
        <v>165</v>
      </c>
      <c r="H144" s="24">
        <v>0</v>
      </c>
      <c r="I144" s="24">
        <v>0</v>
      </c>
      <c r="J144" s="24">
        <v>-1500</v>
      </c>
      <c r="K144" s="24">
        <v>0</v>
      </c>
      <c r="L144" s="24">
        <v>0</v>
      </c>
    </row>
    <row r="145" spans="3:12" ht="15.6" x14ac:dyDescent="0.3">
      <c r="D145" s="1" t="s">
        <v>126</v>
      </c>
      <c r="F145" s="21" t="s">
        <v>165</v>
      </c>
      <c r="H145" s="24">
        <v>0</v>
      </c>
      <c r="I145" s="24">
        <v>0</v>
      </c>
      <c r="J145" s="24">
        <v>0</v>
      </c>
      <c r="K145" s="24">
        <v>-700</v>
      </c>
      <c r="L145" s="24">
        <v>-2800</v>
      </c>
    </row>
    <row r="146" spans="3:12" ht="15.6" x14ac:dyDescent="0.3">
      <c r="D146" s="1" t="s">
        <v>159</v>
      </c>
      <c r="F146" s="21" t="s">
        <v>165</v>
      </c>
      <c r="H146" s="24">
        <v>0</v>
      </c>
      <c r="I146" s="24">
        <v>0</v>
      </c>
      <c r="J146" s="24">
        <v>0</v>
      </c>
      <c r="K146" s="24">
        <v>0</v>
      </c>
      <c r="L146" s="24">
        <v>0</v>
      </c>
    </row>
    <row r="147" spans="3:12" ht="15.6" x14ac:dyDescent="0.3">
      <c r="D147" s="1" t="s">
        <v>160</v>
      </c>
      <c r="F147" s="21" t="s">
        <v>165</v>
      </c>
      <c r="H147" s="24">
        <v>0</v>
      </c>
      <c r="I147" s="24">
        <v>0</v>
      </c>
      <c r="J147" s="24">
        <v>0</v>
      </c>
      <c r="K147" s="24">
        <v>0</v>
      </c>
      <c r="L147" s="24">
        <v>0</v>
      </c>
    </row>
    <row r="148" spans="3:12" ht="15.6" x14ac:dyDescent="0.3">
      <c r="D148" s="1" t="s">
        <v>135</v>
      </c>
      <c r="F148" s="21" t="s">
        <v>165</v>
      </c>
      <c r="H148" s="24">
        <v>-48356.160000000003</v>
      </c>
      <c r="I148" s="24">
        <v>-4045.88</v>
      </c>
      <c r="J148" s="24">
        <v>-4058.51</v>
      </c>
      <c r="K148" s="24">
        <v>-4457.43</v>
      </c>
      <c r="L148" s="24">
        <v>-4332</v>
      </c>
    </row>
    <row r="149" spans="3:12" ht="15.6" x14ac:dyDescent="0.3">
      <c r="D149" s="1" t="s">
        <v>127</v>
      </c>
      <c r="F149" s="21" t="s">
        <v>165</v>
      </c>
      <c r="H149" s="24">
        <v>332.72</v>
      </c>
      <c r="I149" s="24">
        <v>1036.53</v>
      </c>
      <c r="J149" s="24">
        <v>1176.3800000000001</v>
      </c>
      <c r="K149" s="24">
        <v>114.36</v>
      </c>
      <c r="L149" s="24">
        <v>1293</v>
      </c>
    </row>
    <row r="150" spans="3:12" ht="15.6" x14ac:dyDescent="0.3">
      <c r="D150" s="1" t="s">
        <v>128</v>
      </c>
      <c r="F150" s="21" t="s">
        <v>165</v>
      </c>
      <c r="H150" s="24">
        <v>-185</v>
      </c>
      <c r="I150" s="24">
        <v>-414.83</v>
      </c>
      <c r="J150" s="24">
        <v>-580</v>
      </c>
      <c r="K150" s="24">
        <v>-1002.54</v>
      </c>
      <c r="L150" s="24">
        <v>-2187</v>
      </c>
    </row>
    <row r="151" spans="3:12" ht="15.6" x14ac:dyDescent="0.3">
      <c r="D151" s="1" t="s">
        <v>129</v>
      </c>
      <c r="F151" s="21" t="s">
        <v>165</v>
      </c>
      <c r="H151" s="24">
        <v>134.5</v>
      </c>
      <c r="I151" s="24">
        <v>0</v>
      </c>
      <c r="J151" s="24">
        <v>2000.65</v>
      </c>
      <c r="K151" s="24">
        <v>1634.24</v>
      </c>
      <c r="L151" s="24">
        <v>1184</v>
      </c>
    </row>
    <row r="152" spans="3:12" ht="15.6" x14ac:dyDescent="0.3">
      <c r="D152" s="1" t="s">
        <v>335</v>
      </c>
      <c r="F152" s="21" t="s">
        <v>165</v>
      </c>
      <c r="H152" s="24">
        <v>0</v>
      </c>
      <c r="I152" s="24">
        <v>0</v>
      </c>
      <c r="J152" s="24">
        <v>0</v>
      </c>
      <c r="K152" s="24">
        <v>0</v>
      </c>
      <c r="L152" s="24">
        <v>-3981</v>
      </c>
    </row>
    <row r="153" spans="3:12" ht="15.6" x14ac:dyDescent="0.3">
      <c r="D153" s="1" t="s">
        <v>336</v>
      </c>
      <c r="F153" s="21" t="s">
        <v>165</v>
      </c>
      <c r="H153" s="24">
        <v>0</v>
      </c>
      <c r="I153" s="24">
        <v>0</v>
      </c>
      <c r="J153" s="24">
        <v>0</v>
      </c>
      <c r="K153" s="24">
        <v>0</v>
      </c>
      <c r="L153" s="24">
        <v>-400</v>
      </c>
    </row>
    <row r="154" spans="3:12" ht="15.6" x14ac:dyDescent="0.3">
      <c r="D154" s="1" t="s">
        <v>130</v>
      </c>
      <c r="F154" s="21" t="s">
        <v>165</v>
      </c>
      <c r="H154" s="24">
        <v>0</v>
      </c>
      <c r="I154" s="24">
        <v>0</v>
      </c>
      <c r="J154" s="24">
        <v>-644.98</v>
      </c>
      <c r="K154" s="24">
        <v>-199.93</v>
      </c>
      <c r="L154" s="24">
        <v>0</v>
      </c>
    </row>
    <row r="155" spans="3:12" ht="15.6" x14ac:dyDescent="0.3">
      <c r="D155" s="1" t="s">
        <v>131</v>
      </c>
      <c r="F155" s="21" t="s">
        <v>165</v>
      </c>
      <c r="H155" s="24">
        <v>-6055.22</v>
      </c>
      <c r="I155" s="24">
        <v>-280</v>
      </c>
      <c r="J155" s="24">
        <v>-9456.14</v>
      </c>
      <c r="K155" s="24">
        <v>0</v>
      </c>
      <c r="L155" s="24">
        <v>0</v>
      </c>
    </row>
    <row r="156" spans="3:12" ht="15.6" x14ac:dyDescent="0.3">
      <c r="D156" s="1" t="s">
        <v>132</v>
      </c>
      <c r="F156" s="21" t="s">
        <v>165</v>
      </c>
      <c r="H156" s="24">
        <v>-12065.55</v>
      </c>
      <c r="I156" s="24">
        <v>-8847.19</v>
      </c>
      <c r="J156" s="24">
        <v>-13837.54</v>
      </c>
      <c r="K156" s="24">
        <v>-32782.42</v>
      </c>
      <c r="L156" s="24">
        <v>-24249</v>
      </c>
    </row>
    <row r="157" spans="3:12" ht="15.6" x14ac:dyDescent="0.3">
      <c r="D157" s="1" t="s">
        <v>133</v>
      </c>
      <c r="F157" s="21" t="s">
        <v>165</v>
      </c>
      <c r="H157" s="24">
        <v>34229.49</v>
      </c>
      <c r="I157" s="24">
        <v>7195.41</v>
      </c>
      <c r="J157" s="24">
        <v>8377.49</v>
      </c>
      <c r="K157" s="24">
        <v>24828.91</v>
      </c>
      <c r="L157" s="24">
        <v>26241</v>
      </c>
    </row>
    <row r="158" spans="3:12" ht="16.2" thickBot="1" x14ac:dyDescent="0.35">
      <c r="D158" s="103" t="s">
        <v>134</v>
      </c>
      <c r="E158" s="104"/>
      <c r="F158" s="43" t="s">
        <v>165</v>
      </c>
      <c r="G158" s="104"/>
      <c r="H158" s="98">
        <f t="shared" ref="H158:L158" si="29">SUM(H140:H157)</f>
        <v>-23490.320000000014</v>
      </c>
      <c r="I158" s="98">
        <f t="shared" si="29"/>
        <v>-11282.969999999983</v>
      </c>
      <c r="J158" s="98">
        <f t="shared" si="29"/>
        <v>-20539.609999999993</v>
      </c>
      <c r="K158" s="98">
        <f t="shared" si="29"/>
        <v>-34014.390000000014</v>
      </c>
      <c r="L158" s="98">
        <f t="shared" si="29"/>
        <v>-18114</v>
      </c>
    </row>
    <row r="159" spans="3:12" ht="15" thickTop="1" x14ac:dyDescent="0.3"/>
    <row r="160" spans="3:12" x14ac:dyDescent="0.3">
      <c r="C160" s="14" t="s">
        <v>136</v>
      </c>
    </row>
    <row r="161" spans="3:13" ht="15.6" x14ac:dyDescent="0.3">
      <c r="D161" s="1" t="s">
        <v>137</v>
      </c>
      <c r="F161" s="21" t="s">
        <v>165</v>
      </c>
      <c r="H161" s="24">
        <v>-7996.59</v>
      </c>
      <c r="I161" s="24">
        <v>-23223.21</v>
      </c>
      <c r="J161" s="24">
        <v>-4126.51</v>
      </c>
      <c r="K161" s="24">
        <v>-11946.34</v>
      </c>
      <c r="L161" s="24">
        <v>0</v>
      </c>
      <c r="M161" s="24"/>
    </row>
    <row r="162" spans="3:13" ht="15.6" x14ac:dyDescent="0.3">
      <c r="D162" s="1" t="s">
        <v>138</v>
      </c>
      <c r="F162" s="21" t="s">
        <v>165</v>
      </c>
      <c r="H162" s="24">
        <v>5000</v>
      </c>
      <c r="I162" s="24">
        <v>24112.94</v>
      </c>
      <c r="J162" s="24">
        <v>2800.63</v>
      </c>
      <c r="K162" s="24">
        <v>11810.21</v>
      </c>
      <c r="L162" s="24">
        <v>7500</v>
      </c>
      <c r="M162" s="24"/>
    </row>
    <row r="163" spans="3:13" ht="15.6" x14ac:dyDescent="0.3">
      <c r="D163" s="1" t="s">
        <v>139</v>
      </c>
      <c r="F163" s="21" t="s">
        <v>165</v>
      </c>
      <c r="H163" s="24">
        <v>0</v>
      </c>
      <c r="I163" s="24">
        <v>0</v>
      </c>
      <c r="J163" s="24">
        <v>0</v>
      </c>
      <c r="K163" s="24">
        <v>-11994.82</v>
      </c>
      <c r="L163" s="24">
        <v>-5921</v>
      </c>
      <c r="M163" s="24"/>
    </row>
    <row r="164" spans="3:13" ht="15.6" x14ac:dyDescent="0.3">
      <c r="D164" s="1" t="s">
        <v>140</v>
      </c>
      <c r="F164" s="21" t="s">
        <v>165</v>
      </c>
      <c r="H164" s="24">
        <v>-20005.03</v>
      </c>
      <c r="I164" s="24">
        <v>-99.34</v>
      </c>
      <c r="J164" s="24">
        <v>-22909.7</v>
      </c>
      <c r="K164" s="24">
        <v>0</v>
      </c>
      <c r="L164" s="24">
        <v>0</v>
      </c>
      <c r="M164" s="24"/>
    </row>
    <row r="165" spans="3:13" ht="15.6" x14ac:dyDescent="0.3">
      <c r="D165" s="1" t="s">
        <v>141</v>
      </c>
      <c r="F165" s="21" t="s">
        <v>165</v>
      </c>
      <c r="H165" s="24">
        <v>0</v>
      </c>
      <c r="I165" s="24">
        <v>-4650</v>
      </c>
      <c r="J165" s="24">
        <v>4650</v>
      </c>
      <c r="K165" s="24">
        <v>-4.49</v>
      </c>
      <c r="L165" s="24">
        <v>-16</v>
      </c>
      <c r="M165" s="24"/>
    </row>
    <row r="166" spans="3:13" ht="15.6" x14ac:dyDescent="0.3">
      <c r="D166" s="1" t="s">
        <v>142</v>
      </c>
      <c r="F166" s="21" t="s">
        <v>165</v>
      </c>
      <c r="H166" s="24">
        <v>-446.53</v>
      </c>
      <c r="I166" s="24">
        <v>-600.30999999999995</v>
      </c>
      <c r="J166" s="24">
        <v>-992.08</v>
      </c>
      <c r="K166" s="24">
        <v>-924.94</v>
      </c>
      <c r="L166" s="24">
        <v>-1140</v>
      </c>
      <c r="M166" s="24"/>
    </row>
    <row r="167" spans="3:13" ht="15.6" x14ac:dyDescent="0.3">
      <c r="D167" s="1" t="s">
        <v>143</v>
      </c>
      <c r="F167" s="21" t="s">
        <v>165</v>
      </c>
      <c r="H167" s="24">
        <v>-35561.1</v>
      </c>
      <c r="I167" s="24">
        <v>-35292</v>
      </c>
      <c r="J167" s="24">
        <v>-34920</v>
      </c>
      <c r="K167" s="24">
        <v>-34920</v>
      </c>
      <c r="L167" s="24">
        <v>-52380</v>
      </c>
      <c r="M167" s="24"/>
    </row>
    <row r="168" spans="3:13" ht="15.6" x14ac:dyDescent="0.3">
      <c r="D168" s="1" t="s">
        <v>161</v>
      </c>
      <c r="F168" s="21" t="s">
        <v>165</v>
      </c>
      <c r="H168" s="24">
        <v>0</v>
      </c>
      <c r="I168" s="24">
        <v>0</v>
      </c>
      <c r="J168" s="24">
        <v>0</v>
      </c>
      <c r="K168" s="24">
        <v>0</v>
      </c>
      <c r="L168" s="24">
        <v>0</v>
      </c>
      <c r="M168" s="24"/>
    </row>
    <row r="169" spans="3:13" ht="15.6" x14ac:dyDescent="0.3">
      <c r="D169" s="1" t="s">
        <v>144</v>
      </c>
      <c r="F169" s="21" t="s">
        <v>165</v>
      </c>
      <c r="H169" s="24">
        <v>-712.46</v>
      </c>
      <c r="I169" s="24">
        <v>-1112.57</v>
      </c>
      <c r="J169" s="24">
        <v>-1333.24</v>
      </c>
      <c r="K169" s="24">
        <v>-1502.21</v>
      </c>
      <c r="L169" s="24">
        <v>-2022</v>
      </c>
      <c r="M169" s="24"/>
    </row>
    <row r="170" spans="3:13" ht="15.6" x14ac:dyDescent="0.3">
      <c r="D170" s="1" t="s">
        <v>146</v>
      </c>
      <c r="F170" s="21" t="s">
        <v>165</v>
      </c>
      <c r="H170" s="24">
        <v>0</v>
      </c>
      <c r="I170" s="24">
        <v>0</v>
      </c>
      <c r="J170" s="24">
        <v>0</v>
      </c>
      <c r="K170" s="24">
        <v>-253.79</v>
      </c>
      <c r="L170" s="24">
        <v>0</v>
      </c>
      <c r="M170" s="24"/>
    </row>
    <row r="171" spans="3:13" ht="15.6" x14ac:dyDescent="0.3">
      <c r="D171" s="1" t="s">
        <v>147</v>
      </c>
      <c r="F171" s="21" t="s">
        <v>165</v>
      </c>
      <c r="H171" s="24">
        <v>19507.919999999998</v>
      </c>
      <c r="I171" s="24">
        <v>-19900</v>
      </c>
      <c r="J171" s="24">
        <v>533.95000000000005</v>
      </c>
      <c r="K171" s="24">
        <v>-224.32</v>
      </c>
      <c r="L171" s="24">
        <v>-1470</v>
      </c>
      <c r="M171" s="24"/>
    </row>
    <row r="172" spans="3:13" ht="16.2" thickBot="1" x14ac:dyDescent="0.35">
      <c r="D172" s="103" t="s">
        <v>145</v>
      </c>
      <c r="E172" s="104"/>
      <c r="F172" s="43" t="s">
        <v>165</v>
      </c>
      <c r="G172" s="104"/>
      <c r="H172" s="98">
        <f t="shared" ref="H172:L172" si="30">SUM(H161:H171)</f>
        <v>-40213.79</v>
      </c>
      <c r="I172" s="98">
        <f t="shared" si="30"/>
        <v>-60764.49</v>
      </c>
      <c r="J172" s="98">
        <f t="shared" si="30"/>
        <v>-56296.950000000004</v>
      </c>
      <c r="K172" s="98">
        <f t="shared" si="30"/>
        <v>-49960.700000000004</v>
      </c>
      <c r="L172" s="98">
        <f t="shared" si="30"/>
        <v>-55449</v>
      </c>
      <c r="M172" s="24"/>
    </row>
    <row r="173" spans="3:13" ht="15" thickTop="1" x14ac:dyDescent="0.3"/>
    <row r="174" spans="3:13" ht="15.6" x14ac:dyDescent="0.3">
      <c r="C174" s="14" t="s">
        <v>148</v>
      </c>
      <c r="F174" s="21" t="s">
        <v>165</v>
      </c>
      <c r="H174" s="24">
        <v>88.25</v>
      </c>
      <c r="I174" s="24">
        <v>-1229.6099999999999</v>
      </c>
      <c r="J174" s="24">
        <v>-447.13</v>
      </c>
      <c r="K174" s="24">
        <v>-444.13</v>
      </c>
      <c r="L174" s="24">
        <v>722.49</v>
      </c>
    </row>
    <row r="175" spans="3:13" ht="15.6" x14ac:dyDescent="0.3">
      <c r="D175" s="101" t="s">
        <v>149</v>
      </c>
      <c r="E175" s="102"/>
      <c r="F175" s="105" t="s">
        <v>165</v>
      </c>
      <c r="G175" s="102"/>
      <c r="H175" s="25">
        <f t="shared" ref="H175:L175" si="31">H137+H158+H172+H174</f>
        <v>769.48999999998341</v>
      </c>
      <c r="I175" s="25">
        <f t="shared" si="31"/>
        <v>1610.5199999999975</v>
      </c>
      <c r="J175" s="25">
        <f t="shared" si="31"/>
        <v>616.89000000000408</v>
      </c>
      <c r="K175" s="25">
        <f t="shared" si="31"/>
        <v>5167.1200000000072</v>
      </c>
      <c r="L175" s="25">
        <f t="shared" si="31"/>
        <v>7212.49</v>
      </c>
    </row>
    <row r="176" spans="3:13" ht="15.6" x14ac:dyDescent="0.3">
      <c r="D176" s="1" t="s">
        <v>150</v>
      </c>
      <c r="F176" s="38" t="s">
        <v>165</v>
      </c>
      <c r="H176" s="24">
        <v>1981.15</v>
      </c>
      <c r="I176" s="24">
        <v>2757.29</v>
      </c>
      <c r="J176" s="24">
        <v>4678.5</v>
      </c>
      <c r="K176" s="24">
        <v>5295.39</v>
      </c>
      <c r="L176" s="24">
        <v>10463</v>
      </c>
    </row>
    <row r="177" spans="4:12" ht="15.6" x14ac:dyDescent="0.3">
      <c r="D177" s="1" t="s">
        <v>162</v>
      </c>
      <c r="F177" s="21" t="s">
        <v>165</v>
      </c>
      <c r="H177" s="24">
        <v>6.65</v>
      </c>
      <c r="I177" s="24">
        <v>310.69</v>
      </c>
      <c r="J177" s="24">
        <v>0</v>
      </c>
      <c r="K177" s="24">
        <v>0</v>
      </c>
      <c r="L177" s="24">
        <v>0</v>
      </c>
    </row>
    <row r="178" spans="4:12" ht="15.6" x14ac:dyDescent="0.3">
      <c r="D178" s="101" t="s">
        <v>151</v>
      </c>
      <c r="E178" s="102"/>
      <c r="F178" s="105" t="s">
        <v>165</v>
      </c>
      <c r="G178" s="102"/>
      <c r="H178" s="25">
        <f t="shared" ref="H178:L178" si="32">SUM(H175:H177)</f>
        <v>2757.2899999999836</v>
      </c>
      <c r="I178" s="25">
        <f t="shared" si="32"/>
        <v>4678.4999999999973</v>
      </c>
      <c r="J178" s="25">
        <f t="shared" si="32"/>
        <v>5295.390000000004</v>
      </c>
      <c r="K178" s="25">
        <f t="shared" si="32"/>
        <v>10462.510000000007</v>
      </c>
      <c r="L178" s="25">
        <f t="shared" si="32"/>
        <v>17675.489999999998</v>
      </c>
    </row>
    <row r="179" spans="4:12" x14ac:dyDescent="0.3">
      <c r="D179" s="14" t="s">
        <v>152</v>
      </c>
      <c r="F179" s="100"/>
      <c r="H179" s="24"/>
      <c r="I179" s="24"/>
      <c r="J179" s="24"/>
      <c r="K179" s="24"/>
      <c r="L179" s="24"/>
    </row>
    <row r="180" spans="4:12" ht="15.6" x14ac:dyDescent="0.3">
      <c r="D180" s="1" t="s">
        <v>153</v>
      </c>
      <c r="F180" s="21" t="s">
        <v>165</v>
      </c>
      <c r="H180" s="24">
        <v>2507.83</v>
      </c>
      <c r="I180" s="24">
        <v>2849.29</v>
      </c>
      <c r="J180" s="24">
        <v>4060.39</v>
      </c>
      <c r="K180" s="24">
        <v>8288.3700000000008</v>
      </c>
      <c r="L180" s="24"/>
    </row>
    <row r="181" spans="4:12" ht="15.6" x14ac:dyDescent="0.3">
      <c r="D181" s="1" t="s">
        <v>154</v>
      </c>
      <c r="F181" s="21" t="s">
        <v>165</v>
      </c>
      <c r="H181" s="24">
        <v>51.62</v>
      </c>
      <c r="I181" s="24">
        <v>1766.85</v>
      </c>
      <c r="J181" s="24">
        <v>1180.31</v>
      </c>
      <c r="K181" s="24">
        <v>2000</v>
      </c>
      <c r="L181" s="24"/>
    </row>
    <row r="182" spans="4:12" ht="15.6" x14ac:dyDescent="0.3">
      <c r="D182" s="1" t="s">
        <v>155</v>
      </c>
      <c r="F182" s="21" t="s">
        <v>165</v>
      </c>
      <c r="H182" s="24">
        <v>176.8</v>
      </c>
      <c r="I182" s="24">
        <v>0.17</v>
      </c>
      <c r="J182" s="24">
        <v>0</v>
      </c>
      <c r="K182" s="24">
        <v>21.46</v>
      </c>
      <c r="L182" s="24"/>
    </row>
    <row r="183" spans="4:12" ht="15.6" x14ac:dyDescent="0.3">
      <c r="D183" s="1" t="s">
        <v>156</v>
      </c>
      <c r="F183" s="21" t="s">
        <v>165</v>
      </c>
      <c r="H183" s="24">
        <v>0</v>
      </c>
      <c r="I183" s="24">
        <v>42.26</v>
      </c>
      <c r="J183" s="24">
        <v>29.56</v>
      </c>
      <c r="K183" s="24">
        <v>111.21</v>
      </c>
      <c r="L183" s="24"/>
    </row>
    <row r="184" spans="4:12" ht="15.6" x14ac:dyDescent="0.3">
      <c r="D184" s="1" t="s">
        <v>157</v>
      </c>
      <c r="F184" s="21" t="s">
        <v>165</v>
      </c>
      <c r="H184" s="24">
        <v>21.04</v>
      </c>
      <c r="I184" s="24">
        <v>19.93</v>
      </c>
      <c r="J184" s="24">
        <v>25.13</v>
      </c>
      <c r="K184" s="24">
        <v>41.47</v>
      </c>
      <c r="L184" s="24"/>
    </row>
    <row r="185" spans="4:12" ht="16.2" thickBot="1" x14ac:dyDescent="0.35">
      <c r="D185" s="103" t="s">
        <v>158</v>
      </c>
      <c r="E185" s="104"/>
      <c r="F185" s="43" t="s">
        <v>165</v>
      </c>
      <c r="G185" s="104"/>
      <c r="H185" s="98">
        <f t="shared" ref="H185:K185" si="33">SUM(H180:H184)</f>
        <v>2757.29</v>
      </c>
      <c r="I185" s="98">
        <f t="shared" si="33"/>
        <v>4678.5</v>
      </c>
      <c r="J185" s="98">
        <f t="shared" si="33"/>
        <v>5295.39</v>
      </c>
      <c r="K185" s="98">
        <f t="shared" si="33"/>
        <v>10462.509999999998</v>
      </c>
      <c r="L185" s="98">
        <f>L178</f>
        <v>17675.489999999998</v>
      </c>
    </row>
    <row r="186" spans="4:12" ht="15" thickTop="1"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8E2E3-61C8-48F4-9F81-7BF335BA83CD}">
  <dimension ref="A1:R203"/>
  <sheetViews>
    <sheetView showGridLines="0" zoomScale="88" workbookViewId="0">
      <pane ySplit="4" topLeftCell="A5" activePane="bottomLeft" state="frozen"/>
      <selection pane="bottomLeft" activeCell="F12" sqref="F12"/>
    </sheetView>
  </sheetViews>
  <sheetFormatPr defaultColWidth="11.77734375" defaultRowHeight="14.4" x14ac:dyDescent="0.3"/>
  <cols>
    <col min="1" max="3" width="1.33203125" style="1" customWidth="1"/>
    <col min="4" max="4" width="52.21875" style="1" customWidth="1"/>
    <col min="5" max="6" width="12.77734375" style="1" customWidth="1"/>
    <col min="7" max="7" width="2.77734375" style="1" customWidth="1"/>
    <col min="8" max="8" width="11.88671875" style="15" bestFit="1" customWidth="1"/>
    <col min="9" max="10" width="12.88671875" style="15" bestFit="1" customWidth="1"/>
    <col min="11" max="12" width="11.88671875" style="15" bestFit="1" customWidth="1"/>
    <col min="13" max="16384" width="11.77734375" style="1"/>
  </cols>
  <sheetData>
    <row r="1" spans="1:17" ht="43.8" customHeight="1" x14ac:dyDescent="0.45">
      <c r="A1" s="2" t="s">
        <v>0</v>
      </c>
      <c r="B1" s="3"/>
      <c r="C1" s="3"/>
      <c r="D1" s="3"/>
      <c r="E1" s="3"/>
      <c r="F1" s="3"/>
      <c r="G1" s="3"/>
      <c r="H1" s="3"/>
      <c r="I1" s="3"/>
      <c r="J1" s="3"/>
      <c r="K1" s="3"/>
      <c r="L1" s="3"/>
      <c r="M1" s="7"/>
      <c r="N1" s="3"/>
      <c r="O1" s="3"/>
      <c r="P1" s="3"/>
      <c r="Q1" s="3"/>
    </row>
    <row r="2" spans="1:17" ht="17.399999999999999" customHeight="1" x14ac:dyDescent="0.35">
      <c r="A2" s="4" t="s">
        <v>259</v>
      </c>
      <c r="B2" s="3"/>
      <c r="C2" s="3"/>
      <c r="D2" s="3"/>
      <c r="E2" s="3"/>
      <c r="F2" s="3"/>
      <c r="G2" s="3"/>
      <c r="H2" s="93"/>
      <c r="I2" s="93"/>
      <c r="J2" s="93"/>
      <c r="K2" s="93"/>
      <c r="L2" s="93"/>
      <c r="M2" s="8"/>
      <c r="N2" s="9"/>
      <c r="O2" s="9"/>
      <c r="P2" s="9"/>
      <c r="Q2" s="9"/>
    </row>
    <row r="3" spans="1:17" s="11" customFormat="1" ht="17.399999999999999" customHeight="1" x14ac:dyDescent="0.35">
      <c r="A3" s="10"/>
      <c r="H3" s="12"/>
      <c r="I3" s="12"/>
      <c r="J3" s="12"/>
      <c r="K3" s="12"/>
      <c r="L3" s="12"/>
      <c r="M3" s="13"/>
      <c r="N3" s="13"/>
      <c r="O3" s="13"/>
      <c r="P3" s="13"/>
      <c r="Q3" s="13"/>
    </row>
    <row r="4" spans="1:17" s="11" customFormat="1" ht="17.399999999999999" customHeight="1" x14ac:dyDescent="0.35">
      <c r="A4" s="10"/>
      <c r="B4" s="10"/>
      <c r="D4" s="54"/>
      <c r="E4" s="54"/>
      <c r="F4" s="54"/>
      <c r="G4" s="54"/>
      <c r="H4" s="54"/>
      <c r="I4" s="54"/>
      <c r="J4" s="54"/>
      <c r="K4" s="54"/>
      <c r="L4" s="54"/>
      <c r="M4" s="13"/>
      <c r="N4" s="13"/>
      <c r="O4" s="13"/>
      <c r="P4" s="13"/>
      <c r="Q4" s="13"/>
    </row>
    <row r="5" spans="1:17" s="11" customFormat="1" ht="17.399999999999999" customHeight="1" x14ac:dyDescent="0.35">
      <c r="A5" s="10"/>
      <c r="B5" s="10"/>
      <c r="D5" s="54"/>
      <c r="E5" s="54"/>
      <c r="F5" s="54"/>
      <c r="G5" s="54"/>
      <c r="H5" s="54"/>
      <c r="I5" s="54"/>
      <c r="J5" s="54"/>
      <c r="K5" s="54"/>
      <c r="L5" s="54"/>
      <c r="M5" s="13"/>
      <c r="N5" s="13"/>
      <c r="O5" s="13"/>
      <c r="P5" s="13"/>
      <c r="Q5" s="13"/>
    </row>
    <row r="6" spans="1:17" ht="15.6" x14ac:dyDescent="0.3">
      <c r="C6" s="14"/>
      <c r="D6" s="21"/>
      <c r="E6" s="21"/>
      <c r="F6" s="21"/>
      <c r="G6" s="21"/>
      <c r="H6" s="31"/>
      <c r="I6" s="32"/>
      <c r="J6" s="32"/>
      <c r="K6" s="31"/>
      <c r="L6" s="31"/>
    </row>
    <row r="7" spans="1:17" ht="15.6" x14ac:dyDescent="0.3">
      <c r="C7" s="20" t="s">
        <v>259</v>
      </c>
      <c r="D7" s="151"/>
      <c r="E7" s="20" t="s">
        <v>260</v>
      </c>
      <c r="F7" s="20"/>
      <c r="G7" s="20"/>
      <c r="H7" s="152">
        <v>2027</v>
      </c>
      <c r="I7" s="152">
        <f>H7+1</f>
        <v>2028</v>
      </c>
      <c r="J7" s="152">
        <f t="shared" ref="J7:L7" si="0">I7+1</f>
        <v>2029</v>
      </c>
      <c r="K7" s="152">
        <f t="shared" si="0"/>
        <v>2030</v>
      </c>
      <c r="L7" s="152">
        <f t="shared" si="0"/>
        <v>2031</v>
      </c>
      <c r="M7" s="152">
        <f t="shared" ref="M7" si="1">L7+1</f>
        <v>2032</v>
      </c>
      <c r="N7" s="152">
        <f t="shared" ref="N7" si="2">M7+1</f>
        <v>2033</v>
      </c>
      <c r="O7" s="152">
        <f t="shared" ref="O7" si="3">N7+1</f>
        <v>2034</v>
      </c>
      <c r="P7" s="152">
        <f t="shared" ref="P7:Q7" si="4">O7+1</f>
        <v>2035</v>
      </c>
      <c r="Q7" s="152">
        <f t="shared" si="4"/>
        <v>2036</v>
      </c>
    </row>
    <row r="8" spans="1:17" ht="15.6" x14ac:dyDescent="0.3">
      <c r="D8" s="21" t="s">
        <v>261</v>
      </c>
      <c r="E8" s="60">
        <v>0.09</v>
      </c>
      <c r="F8" s="21"/>
      <c r="G8" s="21"/>
      <c r="H8" s="62">
        <f>E8</f>
        <v>0.09</v>
      </c>
      <c r="I8" s="65">
        <f>H8*(1-$E$11)</f>
        <v>8.2350000000000007E-2</v>
      </c>
      <c r="J8" s="65">
        <f t="shared" ref="J8:Q8" si="5">I8*(1-$E$11)</f>
        <v>7.5350250000000007E-2</v>
      </c>
      <c r="K8" s="65">
        <f t="shared" si="5"/>
        <v>6.8945478750000011E-2</v>
      </c>
      <c r="L8" s="65">
        <f t="shared" si="5"/>
        <v>6.3085113056250017E-2</v>
      </c>
      <c r="M8" s="65">
        <f t="shared" si="5"/>
        <v>5.772287844646877E-2</v>
      </c>
      <c r="N8" s="65">
        <f t="shared" si="5"/>
        <v>5.2816433778518926E-2</v>
      </c>
      <c r="O8" s="65">
        <f t="shared" si="5"/>
        <v>4.8327036907344821E-2</v>
      </c>
      <c r="P8" s="65">
        <f t="shared" si="5"/>
        <v>4.4219238770220513E-2</v>
      </c>
      <c r="Q8" s="65">
        <f t="shared" si="5"/>
        <v>4.046060347475177E-2</v>
      </c>
    </row>
    <row r="9" spans="1:17" ht="15.6" x14ac:dyDescent="0.3">
      <c r="D9" s="21" t="s">
        <v>262</v>
      </c>
      <c r="E9" s="60">
        <f>E8+5%</f>
        <v>0.14000000000000001</v>
      </c>
      <c r="F9" s="21"/>
      <c r="G9" s="21"/>
      <c r="H9" s="63">
        <f>E9</f>
        <v>0.14000000000000001</v>
      </c>
      <c r="I9" s="57">
        <f>H9*(1-$E$11)</f>
        <v>0.12810000000000002</v>
      </c>
      <c r="J9" s="57">
        <f t="shared" ref="J9:Q9" si="6">I9*(1-$E$11)</f>
        <v>0.11721150000000002</v>
      </c>
      <c r="K9" s="57">
        <f t="shared" si="6"/>
        <v>0.10724852250000003</v>
      </c>
      <c r="L9" s="57">
        <f t="shared" si="6"/>
        <v>9.8132398087500031E-2</v>
      </c>
      <c r="M9" s="57">
        <f t="shared" si="6"/>
        <v>8.979114425006253E-2</v>
      </c>
      <c r="N9" s="57">
        <f t="shared" si="6"/>
        <v>8.2158896988807212E-2</v>
      </c>
      <c r="O9" s="57">
        <f t="shared" si="6"/>
        <v>7.5175390744758597E-2</v>
      </c>
      <c r="P9" s="57">
        <f t="shared" si="6"/>
        <v>6.8785482531454112E-2</v>
      </c>
      <c r="Q9" s="57">
        <f t="shared" si="6"/>
        <v>6.293871651628051E-2</v>
      </c>
    </row>
    <row r="10" spans="1:17" ht="15.6" x14ac:dyDescent="0.3">
      <c r="C10" s="14"/>
      <c r="D10" s="21" t="s">
        <v>263</v>
      </c>
      <c r="E10" s="60">
        <f>E8-5%</f>
        <v>3.9999999999999994E-2</v>
      </c>
      <c r="F10" s="21"/>
      <c r="G10" s="21"/>
      <c r="H10" s="62">
        <f>E10</f>
        <v>3.9999999999999994E-2</v>
      </c>
      <c r="I10" s="65">
        <f>H10*(1-$E$11)</f>
        <v>3.6599999999999994E-2</v>
      </c>
      <c r="J10" s="65">
        <f t="shared" ref="J10:Q10" si="7">I10*(1-$E$11)</f>
        <v>3.3488999999999998E-2</v>
      </c>
      <c r="K10" s="65">
        <f t="shared" si="7"/>
        <v>3.0642434999999999E-2</v>
      </c>
      <c r="L10" s="65">
        <f t="shared" si="7"/>
        <v>2.8037828024999999E-2</v>
      </c>
      <c r="M10" s="65">
        <f t="shared" si="7"/>
        <v>2.5654612642875E-2</v>
      </c>
      <c r="N10" s="65">
        <f t="shared" si="7"/>
        <v>2.3473970568230626E-2</v>
      </c>
      <c r="O10" s="65">
        <f t="shared" si="7"/>
        <v>2.1478683069931025E-2</v>
      </c>
      <c r="P10" s="65">
        <f t="shared" si="7"/>
        <v>1.9652995008986887E-2</v>
      </c>
      <c r="Q10" s="65">
        <f t="shared" si="7"/>
        <v>1.7982490433223003E-2</v>
      </c>
    </row>
    <row r="11" spans="1:17" ht="15.6" x14ac:dyDescent="0.3">
      <c r="D11" s="21" t="s">
        <v>264</v>
      </c>
      <c r="E11" s="64">
        <v>8.5000000000000006E-2</v>
      </c>
      <c r="F11" s="21"/>
      <c r="G11" s="21"/>
      <c r="H11" s="31"/>
      <c r="I11" s="31"/>
      <c r="J11" s="31"/>
      <c r="K11" s="31"/>
      <c r="L11" s="31"/>
    </row>
    <row r="12" spans="1:17" ht="15.6" x14ac:dyDescent="0.3">
      <c r="D12" s="21"/>
      <c r="E12" s="21"/>
      <c r="F12" s="21"/>
      <c r="G12" s="21"/>
      <c r="H12" s="31"/>
      <c r="I12" s="31"/>
      <c r="J12" s="31"/>
      <c r="K12" s="31"/>
      <c r="L12" s="31"/>
    </row>
    <row r="13" spans="1:17" ht="15.6" x14ac:dyDescent="0.3">
      <c r="D13" s="21"/>
      <c r="E13" s="21"/>
      <c r="F13" s="21"/>
      <c r="G13" s="21"/>
      <c r="H13" s="31"/>
      <c r="I13" s="31"/>
      <c r="J13" s="31"/>
      <c r="K13" s="31"/>
      <c r="L13" s="31"/>
    </row>
    <row r="14" spans="1:17" ht="15.6" x14ac:dyDescent="0.3">
      <c r="D14" s="21"/>
      <c r="E14" s="21"/>
      <c r="F14" s="21"/>
      <c r="G14" s="21"/>
      <c r="H14" s="31"/>
      <c r="I14" s="31"/>
      <c r="J14" s="31"/>
      <c r="K14" s="31"/>
      <c r="L14" s="31"/>
    </row>
    <row r="15" spans="1:17" ht="15.6" x14ac:dyDescent="0.3">
      <c r="D15" s="21"/>
      <c r="E15" s="21"/>
      <c r="F15" s="21"/>
      <c r="G15" s="21"/>
      <c r="H15" s="31"/>
      <c r="I15" s="31"/>
      <c r="J15" s="31"/>
      <c r="K15" s="31"/>
      <c r="L15" s="31"/>
      <c r="N15" s="24"/>
      <c r="O15" s="24"/>
    </row>
    <row r="16" spans="1:17" ht="15.6" x14ac:dyDescent="0.3">
      <c r="D16" s="22"/>
      <c r="E16" s="21"/>
      <c r="F16" s="21"/>
      <c r="G16" s="21"/>
      <c r="H16" s="59"/>
      <c r="I16" s="59"/>
      <c r="J16" s="59"/>
      <c r="K16" s="59"/>
      <c r="L16" s="59"/>
    </row>
    <row r="17" spans="4:12" x14ac:dyDescent="0.3">
      <c r="D17" s="14"/>
      <c r="H17" s="27"/>
      <c r="I17" s="27"/>
      <c r="J17" s="27"/>
      <c r="K17" s="27"/>
      <c r="L17" s="27"/>
    </row>
    <row r="18" spans="4:12" x14ac:dyDescent="0.3">
      <c r="H18" s="24"/>
      <c r="I18" s="24"/>
      <c r="J18" s="24"/>
      <c r="K18" s="24"/>
      <c r="L18" s="24"/>
    </row>
    <row r="19" spans="4:12" x14ac:dyDescent="0.3">
      <c r="H19" s="24"/>
      <c r="I19" s="24"/>
      <c r="J19" s="24"/>
      <c r="K19" s="24"/>
      <c r="L19" s="26"/>
    </row>
    <row r="20" spans="4:12" x14ac:dyDescent="0.3">
      <c r="H20" s="24"/>
      <c r="I20" s="24"/>
      <c r="J20" s="24"/>
      <c r="K20" s="24"/>
      <c r="L20" s="24"/>
    </row>
    <row r="21" spans="4:12" x14ac:dyDescent="0.3">
      <c r="H21" s="24"/>
      <c r="I21" s="24"/>
      <c r="J21" s="24"/>
      <c r="K21" s="24"/>
      <c r="L21" s="24"/>
    </row>
    <row r="22" spans="4:12" x14ac:dyDescent="0.3">
      <c r="H22" s="24"/>
      <c r="I22" s="24"/>
      <c r="J22" s="24"/>
      <c r="K22" s="24"/>
      <c r="L22" s="24"/>
    </row>
    <row r="23" spans="4:12" x14ac:dyDescent="0.3">
      <c r="D23" s="14"/>
      <c r="H23" s="27"/>
      <c r="I23" s="27"/>
      <c r="J23" s="27"/>
      <c r="K23" s="27"/>
      <c r="L23" s="27"/>
    </row>
    <row r="24" spans="4:12" x14ac:dyDescent="0.3">
      <c r="D24" s="14"/>
      <c r="H24" s="27"/>
      <c r="I24" s="27"/>
      <c r="J24" s="27"/>
      <c r="K24" s="27"/>
      <c r="L24" s="27"/>
    </row>
    <row r="25" spans="4:12" x14ac:dyDescent="0.3">
      <c r="D25" s="14"/>
      <c r="H25" s="27"/>
      <c r="I25" s="27"/>
      <c r="J25" s="27"/>
      <c r="K25" s="27"/>
      <c r="L25" s="27"/>
    </row>
    <row r="26" spans="4:12" x14ac:dyDescent="0.3">
      <c r="H26" s="24"/>
      <c r="I26" s="24"/>
      <c r="J26" s="24"/>
      <c r="K26" s="24"/>
      <c r="L26" s="27"/>
    </row>
    <row r="27" spans="4:12" x14ac:dyDescent="0.3">
      <c r="D27" s="14"/>
      <c r="H27" s="27"/>
      <c r="I27" s="27"/>
      <c r="J27" s="27"/>
      <c r="K27" s="27"/>
      <c r="L27" s="27"/>
    </row>
    <row r="28" spans="4:12" x14ac:dyDescent="0.3">
      <c r="D28" s="14"/>
      <c r="H28" s="24"/>
      <c r="I28" s="24"/>
      <c r="J28" s="24"/>
      <c r="K28" s="24"/>
      <c r="L28" s="26"/>
    </row>
    <row r="29" spans="4:12" x14ac:dyDescent="0.3">
      <c r="H29" s="24"/>
      <c r="I29" s="24"/>
      <c r="J29" s="24"/>
      <c r="K29" s="24"/>
      <c r="L29" s="24"/>
    </row>
    <row r="30" spans="4:12" x14ac:dyDescent="0.3">
      <c r="H30" s="27"/>
      <c r="I30" s="24"/>
      <c r="J30" s="24"/>
      <c r="K30" s="24"/>
      <c r="L30" s="24"/>
    </row>
    <row r="31" spans="4:12" x14ac:dyDescent="0.3">
      <c r="H31" s="24"/>
      <c r="I31" s="24"/>
      <c r="J31" s="24"/>
      <c r="K31" s="24"/>
      <c r="L31" s="24"/>
    </row>
    <row r="32" spans="4:12" x14ac:dyDescent="0.3">
      <c r="H32" s="24"/>
      <c r="I32" s="24"/>
      <c r="J32" s="24"/>
      <c r="K32" s="24"/>
      <c r="L32" s="24"/>
    </row>
    <row r="33" spans="4:12" x14ac:dyDescent="0.3">
      <c r="D33" s="14"/>
      <c r="H33" s="24"/>
      <c r="I33" s="27"/>
      <c r="J33" s="28"/>
      <c r="K33" s="27"/>
      <c r="L33" s="27"/>
    </row>
    <row r="34" spans="4:12" x14ac:dyDescent="0.3">
      <c r="D34" s="14"/>
      <c r="H34" s="27"/>
      <c r="I34" s="27"/>
      <c r="J34" s="27"/>
      <c r="K34" s="27"/>
      <c r="L34" s="27"/>
    </row>
    <row r="35" spans="4:12" x14ac:dyDescent="0.3">
      <c r="D35" s="14"/>
      <c r="H35" s="24"/>
      <c r="I35" s="24"/>
      <c r="J35" s="24"/>
      <c r="K35" s="24"/>
      <c r="L35" s="24"/>
    </row>
    <row r="36" spans="4:12" x14ac:dyDescent="0.3">
      <c r="H36" s="24"/>
      <c r="I36" s="24"/>
      <c r="J36" s="24"/>
      <c r="K36" s="24"/>
      <c r="L36" s="24"/>
    </row>
    <row r="37" spans="4:12" x14ac:dyDescent="0.3">
      <c r="H37" s="24"/>
      <c r="I37" s="24"/>
      <c r="J37" s="24"/>
      <c r="K37" s="24"/>
      <c r="L37" s="24"/>
    </row>
    <row r="40" spans="4:12" x14ac:dyDescent="0.3">
      <c r="J40" s="1"/>
    </row>
    <row r="41" spans="4:12" x14ac:dyDescent="0.3">
      <c r="J41" s="1"/>
      <c r="L41" s="1"/>
    </row>
    <row r="43" spans="4:12" x14ac:dyDescent="0.3">
      <c r="D43" s="14"/>
      <c r="H43" s="16"/>
      <c r="J43" s="16"/>
      <c r="K43" s="16"/>
      <c r="L43" s="16"/>
    </row>
    <row r="44" spans="4:12" x14ac:dyDescent="0.3">
      <c r="D44" s="14"/>
      <c r="H44" s="16"/>
      <c r="I44" s="16"/>
      <c r="J44" s="16"/>
      <c r="K44" s="16"/>
      <c r="L44" s="16"/>
    </row>
    <row r="45" spans="4:12" x14ac:dyDescent="0.3">
      <c r="J45" s="1"/>
      <c r="L45" s="1"/>
    </row>
    <row r="48" spans="4:12" x14ac:dyDescent="0.3">
      <c r="J48" s="1"/>
      <c r="L48" s="1"/>
    </row>
    <row r="51" spans="2:12" x14ac:dyDescent="0.3">
      <c r="J51" s="1"/>
      <c r="L51" s="1"/>
    </row>
    <row r="54" spans="2:12" x14ac:dyDescent="0.3">
      <c r="J54" s="1"/>
      <c r="L54" s="1"/>
    </row>
    <row r="60" spans="2:12" ht="18" x14ac:dyDescent="0.35">
      <c r="B60" s="10"/>
    </row>
    <row r="61" spans="2:12" x14ac:dyDescent="0.3">
      <c r="C61" s="14"/>
    </row>
    <row r="62" spans="2:12" x14ac:dyDescent="0.3">
      <c r="D62" s="14"/>
    </row>
    <row r="77" spans="4:12" x14ac:dyDescent="0.3">
      <c r="D77" s="14"/>
      <c r="H77" s="16"/>
      <c r="I77" s="16"/>
      <c r="J77" s="16"/>
      <c r="K77" s="16"/>
      <c r="L77" s="16"/>
    </row>
    <row r="78" spans="4:12" x14ac:dyDescent="0.3">
      <c r="D78" s="14"/>
    </row>
    <row r="80" spans="4:12" x14ac:dyDescent="0.3">
      <c r="L80" s="1"/>
    </row>
    <row r="89" spans="3:18" x14ac:dyDescent="0.3">
      <c r="D89" s="14"/>
      <c r="H89" s="16"/>
      <c r="I89" s="16"/>
      <c r="J89" s="16"/>
      <c r="K89" s="16"/>
      <c r="L89" s="16"/>
    </row>
    <row r="90" spans="3:18" x14ac:dyDescent="0.3">
      <c r="D90" s="14"/>
      <c r="H90" s="16"/>
      <c r="I90" s="16"/>
      <c r="J90" s="16"/>
      <c r="K90" s="16"/>
      <c r="L90" s="16"/>
    </row>
    <row r="91" spans="3:18" x14ac:dyDescent="0.3">
      <c r="C91" s="14"/>
    </row>
    <row r="92" spans="3:18" x14ac:dyDescent="0.3">
      <c r="D92" s="14"/>
    </row>
    <row r="94" spans="3:18" x14ac:dyDescent="0.3">
      <c r="N94" s="15"/>
      <c r="O94" s="15"/>
      <c r="P94" s="15"/>
      <c r="Q94" s="15"/>
      <c r="R94" s="15"/>
    </row>
    <row r="97" spans="4:12" x14ac:dyDescent="0.3">
      <c r="D97" s="14"/>
      <c r="H97" s="16"/>
      <c r="I97" s="16"/>
      <c r="J97" s="16"/>
      <c r="K97" s="16"/>
      <c r="L97" s="16"/>
    </row>
    <row r="98" spans="4:12" x14ac:dyDescent="0.3">
      <c r="D98" s="14"/>
    </row>
    <row r="99" spans="4:12" x14ac:dyDescent="0.3">
      <c r="D99" s="14"/>
    </row>
    <row r="106" spans="4:12" x14ac:dyDescent="0.3">
      <c r="D106" s="14"/>
      <c r="H106" s="16"/>
      <c r="I106" s="16"/>
      <c r="J106" s="16"/>
      <c r="K106" s="16"/>
      <c r="L106" s="16"/>
    </row>
    <row r="107" spans="4:12" x14ac:dyDescent="0.3">
      <c r="D107" s="14"/>
    </row>
    <row r="111" spans="4:12" x14ac:dyDescent="0.3">
      <c r="L111" s="1"/>
    </row>
    <row r="118" spans="2:12" x14ac:dyDescent="0.3">
      <c r="D118" s="14"/>
      <c r="H118" s="16"/>
      <c r="I118" s="16"/>
      <c r="J118" s="16"/>
      <c r="K118" s="16"/>
      <c r="L118" s="16"/>
    </row>
    <row r="119" spans="2:12" x14ac:dyDescent="0.3">
      <c r="D119" s="14"/>
      <c r="H119" s="16"/>
      <c r="I119" s="16"/>
      <c r="J119" s="16"/>
      <c r="K119" s="16"/>
      <c r="L119" s="16"/>
    </row>
    <row r="123" spans="2:12" ht="18" x14ac:dyDescent="0.35">
      <c r="B123" s="10"/>
    </row>
    <row r="124" spans="2:12" x14ac:dyDescent="0.3">
      <c r="C124" s="14"/>
    </row>
    <row r="125" spans="2:12" x14ac:dyDescent="0.3">
      <c r="D125" s="14"/>
    </row>
    <row r="135" spans="10:12" x14ac:dyDescent="0.3">
      <c r="J135" s="17"/>
      <c r="K135" s="17"/>
      <c r="L135" s="17"/>
    </row>
    <row r="137" spans="10:12" x14ac:dyDescent="0.3">
      <c r="J137" s="17"/>
    </row>
    <row r="138" spans="10:12" x14ac:dyDescent="0.3">
      <c r="J138" s="17"/>
      <c r="K138" s="17"/>
      <c r="L138" s="18"/>
    </row>
    <row r="139" spans="10:12" x14ac:dyDescent="0.3">
      <c r="K139" s="17"/>
      <c r="L139" s="18"/>
    </row>
    <row r="140" spans="10:12" x14ac:dyDescent="0.3">
      <c r="K140" s="17"/>
      <c r="L140" s="18"/>
    </row>
    <row r="141" spans="10:12" x14ac:dyDescent="0.3">
      <c r="J141" s="17"/>
    </row>
    <row r="142" spans="10:12" x14ac:dyDescent="0.3">
      <c r="J142" s="17"/>
      <c r="K142" s="18"/>
      <c r="L142" s="17"/>
    </row>
    <row r="143" spans="10:12" x14ac:dyDescent="0.3">
      <c r="K143" s="18"/>
      <c r="L143" s="18"/>
    </row>
    <row r="144" spans="10:12" x14ac:dyDescent="0.3">
      <c r="J144" s="17"/>
      <c r="L144" s="17"/>
    </row>
    <row r="145" spans="3:13" x14ac:dyDescent="0.3">
      <c r="D145" s="14"/>
      <c r="H145" s="16"/>
      <c r="I145" s="16"/>
      <c r="J145" s="16"/>
      <c r="K145" s="16"/>
      <c r="L145" s="16"/>
      <c r="M145" s="16"/>
    </row>
    <row r="147" spans="3:13" x14ac:dyDescent="0.3">
      <c r="D147" s="14"/>
    </row>
    <row r="154" spans="3:13" x14ac:dyDescent="0.3">
      <c r="H154" s="16"/>
      <c r="I154" s="16"/>
      <c r="J154" s="16"/>
      <c r="K154" s="16"/>
      <c r="L154" s="16"/>
    </row>
    <row r="155" spans="3:13" x14ac:dyDescent="0.3">
      <c r="D155" s="14"/>
      <c r="H155" s="16"/>
      <c r="I155" s="16"/>
      <c r="J155" s="16"/>
      <c r="K155" s="16"/>
      <c r="L155" s="16"/>
    </row>
    <row r="157" spans="3:13" x14ac:dyDescent="0.3">
      <c r="D157" s="14"/>
      <c r="H157" s="16"/>
      <c r="I157" s="16"/>
      <c r="J157" s="16"/>
      <c r="K157" s="16"/>
      <c r="L157" s="16"/>
    </row>
    <row r="159" spans="3:13" x14ac:dyDescent="0.3">
      <c r="C159" s="14"/>
    </row>
    <row r="162" spans="4:17" x14ac:dyDescent="0.3">
      <c r="N162" s="49"/>
    </row>
    <row r="163" spans="4:17" x14ac:dyDescent="0.3">
      <c r="M163" s="15"/>
      <c r="N163" s="15"/>
      <c r="O163" s="15"/>
      <c r="P163" s="15"/>
      <c r="Q163" s="15"/>
    </row>
    <row r="164" spans="4:17" x14ac:dyDescent="0.3">
      <c r="L164" s="17"/>
    </row>
    <row r="165" spans="4:17" x14ac:dyDescent="0.3">
      <c r="H165" s="1"/>
      <c r="K165" s="17"/>
    </row>
    <row r="166" spans="4:17" x14ac:dyDescent="0.3">
      <c r="K166" s="17"/>
    </row>
    <row r="167" spans="4:17" x14ac:dyDescent="0.3">
      <c r="K167" s="17"/>
    </row>
    <row r="173" spans="4:17" x14ac:dyDescent="0.3">
      <c r="L173" s="17"/>
    </row>
    <row r="176" spans="4:17" x14ac:dyDescent="0.3">
      <c r="D176" s="14"/>
      <c r="H176" s="16"/>
      <c r="I176" s="16"/>
      <c r="J176" s="16"/>
      <c r="K176" s="16"/>
      <c r="L176" s="16"/>
    </row>
    <row r="178" spans="3:12" x14ac:dyDescent="0.3">
      <c r="C178" s="14"/>
    </row>
    <row r="181" spans="3:12" x14ac:dyDescent="0.3">
      <c r="H181" s="1"/>
      <c r="K181" s="17"/>
    </row>
    <row r="182" spans="3:12" x14ac:dyDescent="0.3">
      <c r="L182" s="17"/>
    </row>
    <row r="188" spans="3:12" x14ac:dyDescent="0.3">
      <c r="H188" s="1"/>
      <c r="K188" s="17"/>
    </row>
    <row r="189" spans="3:12" x14ac:dyDescent="0.3">
      <c r="L189" s="1"/>
    </row>
    <row r="190" spans="3:12" x14ac:dyDescent="0.3">
      <c r="D190" s="14"/>
      <c r="H190" s="16"/>
      <c r="I190" s="16"/>
      <c r="J190" s="16"/>
      <c r="K190" s="16"/>
      <c r="L190" s="19"/>
    </row>
    <row r="192" spans="3:12" x14ac:dyDescent="0.3">
      <c r="C192" s="14"/>
    </row>
    <row r="193" spans="4:12" x14ac:dyDescent="0.3">
      <c r="D193" s="14"/>
      <c r="H193" s="16"/>
      <c r="I193" s="16"/>
      <c r="J193" s="16"/>
      <c r="K193" s="16"/>
      <c r="L193" s="16"/>
    </row>
    <row r="196" spans="4:12" x14ac:dyDescent="0.3">
      <c r="D196" s="14"/>
    </row>
    <row r="197" spans="4:12" x14ac:dyDescent="0.3">
      <c r="D197" s="14"/>
      <c r="I197" s="1"/>
      <c r="J197" s="1"/>
    </row>
    <row r="203" spans="4:12" x14ac:dyDescent="0.3">
      <c r="D203" s="14"/>
      <c r="H203" s="16"/>
      <c r="I203" s="16"/>
      <c r="J203" s="16"/>
      <c r="K203" s="16"/>
      <c r="L203"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EB759-F34F-4DAB-8001-E2FCAEEB122A}">
  <dimension ref="A1:V175"/>
  <sheetViews>
    <sheetView showGridLines="0" zoomScale="89" zoomScaleNormal="150" workbookViewId="0">
      <pane xSplit="6" ySplit="3" topLeftCell="L4" activePane="bottomRight" state="frozen"/>
      <selection pane="topRight" activeCell="G1" sqref="G1"/>
      <selection pane="bottomLeft" activeCell="A4" sqref="A4"/>
      <selection pane="bottomRight" activeCell="E8" sqref="E8"/>
    </sheetView>
  </sheetViews>
  <sheetFormatPr defaultColWidth="11.77734375" defaultRowHeight="15.6" x14ac:dyDescent="0.3"/>
  <cols>
    <col min="1" max="3" width="1.33203125" style="21" customWidth="1"/>
    <col min="4" max="4" width="52.21875" style="21" customWidth="1"/>
    <col min="5" max="6" width="12.77734375" style="21" customWidth="1"/>
    <col min="7" max="7" width="2.77734375" style="21" customWidth="1"/>
    <col min="8" max="8" width="13.5546875" style="32" bestFit="1" customWidth="1"/>
    <col min="9" max="9" width="11.6640625" style="32" bestFit="1" customWidth="1"/>
    <col min="10" max="11" width="13.5546875" style="32" bestFit="1" customWidth="1"/>
    <col min="12" max="16384" width="11.77734375" style="21"/>
  </cols>
  <sheetData>
    <row r="1" spans="1:22" s="1" customFormat="1" ht="43.8" customHeight="1" x14ac:dyDescent="0.45">
      <c r="A1" s="2" t="s">
        <v>0</v>
      </c>
      <c r="B1" s="3"/>
      <c r="C1" s="3"/>
      <c r="D1" s="3"/>
      <c r="E1" s="3"/>
      <c r="F1" s="3"/>
      <c r="G1" s="3"/>
      <c r="H1" s="5"/>
      <c r="I1" s="5"/>
      <c r="J1" s="5"/>
      <c r="K1" s="5"/>
      <c r="L1" s="5"/>
      <c r="M1" s="3"/>
      <c r="N1" s="3"/>
      <c r="O1" s="3"/>
      <c r="P1" s="3"/>
      <c r="Q1" s="3"/>
      <c r="R1" s="3"/>
      <c r="S1" s="3"/>
      <c r="T1" s="3"/>
      <c r="U1" s="3"/>
      <c r="V1" s="3"/>
    </row>
    <row r="2" spans="1:22" s="1" customFormat="1" ht="17.399999999999999" customHeight="1" x14ac:dyDescent="0.35">
      <c r="A2" s="4" t="s">
        <v>163</v>
      </c>
      <c r="B2" s="3"/>
      <c r="C2" s="3"/>
      <c r="D2" s="3"/>
      <c r="E2" s="3"/>
      <c r="F2" s="3"/>
      <c r="G2" s="3"/>
      <c r="H2" s="6">
        <v>2022</v>
      </c>
      <c r="I2" s="6">
        <f t="shared" ref="I2:P2" si="0">H2+1</f>
        <v>2023</v>
      </c>
      <c r="J2" s="6">
        <f t="shared" si="0"/>
        <v>2024</v>
      </c>
      <c r="K2" s="6">
        <f t="shared" si="0"/>
        <v>2025</v>
      </c>
      <c r="L2" s="110">
        <v>2026</v>
      </c>
      <c r="M2" s="9">
        <f t="shared" si="0"/>
        <v>2027</v>
      </c>
      <c r="N2" s="9">
        <f t="shared" si="0"/>
        <v>2028</v>
      </c>
      <c r="O2" s="9">
        <f t="shared" si="0"/>
        <v>2029</v>
      </c>
      <c r="P2" s="9">
        <f t="shared" si="0"/>
        <v>2030</v>
      </c>
      <c r="Q2" s="9">
        <f t="shared" ref="Q2" si="1">P2+1</f>
        <v>2031</v>
      </c>
      <c r="R2" s="9">
        <f t="shared" ref="R2" si="2">Q2+1</f>
        <v>2032</v>
      </c>
      <c r="S2" s="9">
        <f t="shared" ref="S2" si="3">R2+1</f>
        <v>2033</v>
      </c>
      <c r="T2" s="9">
        <f t="shared" ref="T2" si="4">S2+1</f>
        <v>2034</v>
      </c>
      <c r="U2" s="9">
        <f t="shared" ref="U2" si="5">T2+1</f>
        <v>2035</v>
      </c>
      <c r="V2" s="9">
        <f t="shared" ref="V2" si="6">U2+1</f>
        <v>2036</v>
      </c>
    </row>
    <row r="3" spans="1:22" s="11" customFormat="1" ht="17.399999999999999" customHeight="1" x14ac:dyDescent="0.35">
      <c r="A3" s="10"/>
      <c r="D3" s="54" t="s">
        <v>266</v>
      </c>
      <c r="E3" s="54"/>
      <c r="F3" s="54"/>
      <c r="G3" s="54"/>
      <c r="H3" s="69" t="str">
        <f>IF(ABS(H79)&gt;0,"Error","Ok")</f>
        <v>Ok</v>
      </c>
      <c r="I3" s="69" t="str">
        <f t="shared" ref="I3:V3" si="7">IF(ABS(I79)&gt;0,"Error","Ok")</f>
        <v>Ok</v>
      </c>
      <c r="J3" s="69" t="str">
        <f t="shared" si="7"/>
        <v>Ok</v>
      </c>
      <c r="K3" s="69" t="str">
        <f t="shared" si="7"/>
        <v>Ok</v>
      </c>
      <c r="L3" s="69" t="str">
        <f t="shared" si="7"/>
        <v>Ok</v>
      </c>
      <c r="M3" s="69" t="str">
        <f t="shared" si="7"/>
        <v>Ok</v>
      </c>
      <c r="N3" s="69" t="str">
        <f t="shared" si="7"/>
        <v>Ok</v>
      </c>
      <c r="O3" s="69" t="str">
        <f t="shared" si="7"/>
        <v>Ok</v>
      </c>
      <c r="P3" s="69" t="str">
        <f t="shared" si="7"/>
        <v>Ok</v>
      </c>
      <c r="Q3" s="69" t="str">
        <f t="shared" si="7"/>
        <v>Ok</v>
      </c>
      <c r="R3" s="69" t="str">
        <f t="shared" si="7"/>
        <v>Ok</v>
      </c>
      <c r="S3" s="69" t="str">
        <f t="shared" si="7"/>
        <v>Ok</v>
      </c>
      <c r="T3" s="69" t="str">
        <f t="shared" si="7"/>
        <v>Ok</v>
      </c>
      <c r="U3" s="69" t="str">
        <f t="shared" si="7"/>
        <v>Ok</v>
      </c>
      <c r="V3" s="69" t="str">
        <f t="shared" si="7"/>
        <v>Ok</v>
      </c>
    </row>
    <row r="4" spans="1:22" s="11" customFormat="1" ht="17.399999999999999" customHeight="1" x14ac:dyDescent="0.35">
      <c r="A4" s="10"/>
      <c r="B4" s="10"/>
      <c r="L4" s="13"/>
      <c r="M4" s="13"/>
      <c r="N4" s="13"/>
      <c r="O4" s="13"/>
      <c r="P4" s="13"/>
    </row>
    <row r="5" spans="1:22" x14ac:dyDescent="0.3">
      <c r="A5" s="20" t="s">
        <v>240</v>
      </c>
      <c r="B5" s="29"/>
      <c r="C5" s="29"/>
      <c r="D5" s="29"/>
      <c r="E5" s="29"/>
      <c r="F5" s="29"/>
      <c r="G5" s="29"/>
      <c r="H5" s="30"/>
      <c r="I5" s="30"/>
      <c r="J5" s="30"/>
      <c r="K5" s="30"/>
      <c r="L5" s="29"/>
      <c r="M5" s="29"/>
      <c r="N5" s="29"/>
      <c r="O5" s="29"/>
      <c r="P5" s="29"/>
      <c r="Q5" s="29"/>
      <c r="R5" s="29"/>
      <c r="S5" s="29"/>
      <c r="T5" s="29"/>
      <c r="U5" s="29"/>
      <c r="V5" s="29"/>
    </row>
    <row r="6" spans="1:22" s="11" customFormat="1" ht="17.399999999999999" customHeight="1" x14ac:dyDescent="0.35">
      <c r="A6" s="10"/>
      <c r="B6" s="10"/>
      <c r="L6" s="13"/>
      <c r="M6" s="13"/>
      <c r="N6" s="13"/>
      <c r="O6" s="13"/>
      <c r="P6" s="13"/>
    </row>
    <row r="7" spans="1:22" s="11" customFormat="1" ht="17.399999999999999" customHeight="1" x14ac:dyDescent="0.35">
      <c r="A7" s="10"/>
      <c r="B7" s="10"/>
      <c r="D7" s="33" t="s">
        <v>241</v>
      </c>
      <c r="E7" s="54" t="s">
        <v>261</v>
      </c>
      <c r="F7" s="54" t="s">
        <v>255</v>
      </c>
      <c r="G7" s="11">
        <f>IF(E7=Scenarios!D8,1,IF(Model!E7=Scenarios!D9,2,3))</f>
        <v>1</v>
      </c>
      <c r="L7" s="13"/>
      <c r="M7" s="13"/>
      <c r="N7" s="13"/>
      <c r="O7" s="13"/>
      <c r="P7" s="13"/>
    </row>
    <row r="8" spans="1:22" s="11" customFormat="1" ht="17.399999999999999" customHeight="1" x14ac:dyDescent="0.35">
      <c r="A8" s="10"/>
      <c r="B8" s="10"/>
      <c r="D8" s="54" t="s">
        <v>242</v>
      </c>
      <c r="E8" s="54"/>
      <c r="F8" s="54" t="s">
        <v>256</v>
      </c>
      <c r="G8" s="54"/>
      <c r="H8" s="66"/>
      <c r="I8" s="66">
        <f>I26/H26-1</f>
        <v>6.8557271866905412E-2</v>
      </c>
      <c r="J8" s="66">
        <f>J26/I26-1</f>
        <v>5.0610146705400982E-2</v>
      </c>
      <c r="K8" s="66">
        <f>K26/J26-1</f>
        <v>6.4585771432650096E-2</v>
      </c>
      <c r="L8" s="66">
        <f>L26/K26-1</f>
        <v>-7.7913180775559532E-3</v>
      </c>
      <c r="M8" s="56" cm="1">
        <f t="array" ref="M8:V8">CHOOSE(G7,Scenarios!H8:Q8,Scenarios!H9:Q9,Scenarios!H10:Q10)</f>
        <v>0.09</v>
      </c>
      <c r="N8" s="56">
        <v>8.2350000000000007E-2</v>
      </c>
      <c r="O8" s="56">
        <v>7.5350250000000007E-2</v>
      </c>
      <c r="P8" s="56">
        <v>6.8945478750000011E-2</v>
      </c>
      <c r="Q8" s="56">
        <v>6.3085113056250017E-2</v>
      </c>
      <c r="R8" s="56">
        <v>5.772287844646877E-2</v>
      </c>
      <c r="S8" s="56">
        <v>5.2816433778518926E-2</v>
      </c>
      <c r="T8" s="56">
        <v>4.8327036907344821E-2</v>
      </c>
      <c r="U8" s="56">
        <v>4.4219238770220513E-2</v>
      </c>
      <c r="V8" s="56">
        <v>4.046060347475177E-2</v>
      </c>
    </row>
    <row r="9" spans="1:22" s="11" customFormat="1" ht="17.399999999999999" customHeight="1" x14ac:dyDescent="0.35">
      <c r="A9" s="10"/>
      <c r="B9" s="10"/>
      <c r="D9" s="54" t="s">
        <v>243</v>
      </c>
      <c r="E9" s="54"/>
      <c r="F9" s="54" t="s">
        <v>256</v>
      </c>
      <c r="G9" s="54"/>
      <c r="H9" s="66">
        <f>-H27/H26</f>
        <v>0.33667756141804706</v>
      </c>
      <c r="I9" s="66">
        <f>-I27/I26</f>
        <v>0.35274686035748987</v>
      </c>
      <c r="J9" s="66">
        <f>-J27/J26</f>
        <v>0.32434407966742967</v>
      </c>
      <c r="K9" s="66">
        <f>-K27/K26</f>
        <v>0.31351398562938049</v>
      </c>
      <c r="L9" s="66">
        <f>-L27/L26</f>
        <v>0.30109987802651667</v>
      </c>
      <c r="M9" s="56">
        <f>AVERAGE(H9:L9)</f>
        <v>0.32567647301977276</v>
      </c>
      <c r="N9" s="56">
        <f>M9</f>
        <v>0.32567647301977276</v>
      </c>
      <c r="O9" s="56">
        <f t="shared" ref="O9" si="8">N9</f>
        <v>0.32567647301977276</v>
      </c>
      <c r="P9" s="56">
        <f t="shared" ref="P9:V9" si="9">O9</f>
        <v>0.32567647301977276</v>
      </c>
      <c r="Q9" s="56">
        <f t="shared" si="9"/>
        <v>0.32567647301977276</v>
      </c>
      <c r="R9" s="56">
        <f t="shared" si="9"/>
        <v>0.32567647301977276</v>
      </c>
      <c r="S9" s="56">
        <f t="shared" si="9"/>
        <v>0.32567647301977276</v>
      </c>
      <c r="T9" s="56">
        <f t="shared" si="9"/>
        <v>0.32567647301977276</v>
      </c>
      <c r="U9" s="56">
        <f t="shared" si="9"/>
        <v>0.32567647301977276</v>
      </c>
      <c r="V9" s="56">
        <f t="shared" si="9"/>
        <v>0.32567647301977276</v>
      </c>
    </row>
    <row r="10" spans="1:22" s="11" customFormat="1" ht="17.399999999999999" customHeight="1" x14ac:dyDescent="0.35">
      <c r="A10" s="10"/>
      <c r="B10" s="10"/>
      <c r="D10" s="54" t="s">
        <v>244</v>
      </c>
      <c r="E10" s="54"/>
      <c r="F10" s="54" t="s">
        <v>256</v>
      </c>
      <c r="G10" s="54"/>
      <c r="H10" s="66">
        <f>-H30/H26</f>
        <v>9.9702129389887637E-2</v>
      </c>
      <c r="I10" s="66">
        <f>-I30/I26</f>
        <v>0.10798313113537682</v>
      </c>
      <c r="J10" s="66">
        <f>-J30/J26</f>
        <v>0.11057250973744517</v>
      </c>
      <c r="K10" s="66">
        <f>-K30/K26</f>
        <v>0.11735270865821662</v>
      </c>
      <c r="L10" s="66">
        <f>-L30/L26</f>
        <v>0.12675981807165479</v>
      </c>
      <c r="M10" s="56">
        <f t="shared" ref="M10:M16" si="10">AVERAGE(H10:L10)</f>
        <v>0.11247405939851621</v>
      </c>
      <c r="N10" s="56">
        <f t="shared" ref="N10:O17" si="11">M10</f>
        <v>0.11247405939851621</v>
      </c>
      <c r="O10" s="56">
        <f t="shared" si="11"/>
        <v>0.11247405939851621</v>
      </c>
      <c r="P10" s="56">
        <f t="shared" ref="P10:V10" si="12">O10</f>
        <v>0.11247405939851621</v>
      </c>
      <c r="Q10" s="56">
        <f t="shared" si="12"/>
        <v>0.11247405939851621</v>
      </c>
      <c r="R10" s="56">
        <f t="shared" si="12"/>
        <v>0.11247405939851621</v>
      </c>
      <c r="S10" s="56">
        <f t="shared" si="12"/>
        <v>0.11247405939851621</v>
      </c>
      <c r="T10" s="56">
        <f t="shared" si="12"/>
        <v>0.11247405939851621</v>
      </c>
      <c r="U10" s="56">
        <f t="shared" si="12"/>
        <v>0.11247405939851621</v>
      </c>
      <c r="V10" s="56">
        <f t="shared" si="12"/>
        <v>0.11247405939851621</v>
      </c>
    </row>
    <row r="11" spans="1:22" s="11" customFormat="1" ht="17.399999999999999" customHeight="1" x14ac:dyDescent="0.35">
      <c r="A11" s="10"/>
      <c r="B11" s="10"/>
      <c r="D11" s="54" t="s">
        <v>245</v>
      </c>
      <c r="E11" s="54"/>
      <c r="F11" s="54" t="s">
        <v>256</v>
      </c>
      <c r="G11" s="54"/>
      <c r="H11" s="66">
        <f>-H31/H26</f>
        <v>0.26481004089202675</v>
      </c>
      <c r="I11" s="66">
        <f>-I31/I26</f>
        <v>0.28594541299676091</v>
      </c>
      <c r="J11" s="66">
        <f>-J31/J26</f>
        <v>0.2997083419762015</v>
      </c>
      <c r="K11" s="66">
        <f>-K31/K26</f>
        <v>0.30001825060591647</v>
      </c>
      <c r="L11" s="66">
        <f>-L31/L26</f>
        <v>0.3171733902013753</v>
      </c>
      <c r="M11" s="56">
        <f t="shared" si="10"/>
        <v>0.29353108733445621</v>
      </c>
      <c r="N11" s="56">
        <f t="shared" si="11"/>
        <v>0.29353108733445621</v>
      </c>
      <c r="O11" s="56">
        <f t="shared" si="11"/>
        <v>0.29353108733445621</v>
      </c>
      <c r="P11" s="56">
        <f t="shared" ref="P11:V12" si="13">O11</f>
        <v>0.29353108733445621</v>
      </c>
      <c r="Q11" s="56">
        <f t="shared" si="13"/>
        <v>0.29353108733445621</v>
      </c>
      <c r="R11" s="56">
        <f t="shared" si="13"/>
        <v>0.29353108733445621</v>
      </c>
      <c r="S11" s="56">
        <f t="shared" si="13"/>
        <v>0.29353108733445621</v>
      </c>
      <c r="T11" s="56">
        <f t="shared" si="13"/>
        <v>0.29353108733445621</v>
      </c>
      <c r="U11" s="56">
        <f t="shared" si="13"/>
        <v>0.29353108733445621</v>
      </c>
      <c r="V11" s="56">
        <f t="shared" si="13"/>
        <v>0.29353108733445621</v>
      </c>
    </row>
    <row r="12" spans="1:22" s="11" customFormat="1" ht="17.399999999999999" customHeight="1" x14ac:dyDescent="0.35">
      <c r="A12" s="10"/>
      <c r="B12" s="10"/>
      <c r="D12" s="54" t="s">
        <v>246</v>
      </c>
      <c r="E12" s="54"/>
      <c r="F12" s="54" t="s">
        <v>256</v>
      </c>
      <c r="G12" s="54"/>
      <c r="H12" s="66"/>
      <c r="I12" s="66">
        <f>-I33/I128</f>
        <v>0.3495918842887894</v>
      </c>
      <c r="J12" s="66">
        <f>-J33/J128</f>
        <v>0.28413870113760387</v>
      </c>
      <c r="K12" s="66">
        <f>-K33/K128</f>
        <v>0.28886159705222231</v>
      </c>
      <c r="L12" s="66">
        <f>-L33/L128</f>
        <v>0.3025431090663302</v>
      </c>
      <c r="M12" s="56">
        <f>AVERAGE(I12:L12)</f>
        <v>0.30628382288623646</v>
      </c>
      <c r="N12" s="56">
        <f>M12</f>
        <v>0.30628382288623646</v>
      </c>
      <c r="O12" s="56">
        <f t="shared" si="11"/>
        <v>0.30628382288623646</v>
      </c>
      <c r="P12" s="56">
        <f t="shared" si="13"/>
        <v>0.30628382288623646</v>
      </c>
      <c r="Q12" s="56">
        <f t="shared" si="13"/>
        <v>0.30628382288623646</v>
      </c>
      <c r="R12" s="56">
        <f t="shared" si="13"/>
        <v>0.30628382288623646</v>
      </c>
      <c r="S12" s="56">
        <f t="shared" si="13"/>
        <v>0.30628382288623646</v>
      </c>
      <c r="T12" s="56">
        <f t="shared" si="13"/>
        <v>0.30628382288623646</v>
      </c>
      <c r="U12" s="56">
        <f t="shared" si="13"/>
        <v>0.30628382288623646</v>
      </c>
      <c r="V12" s="56">
        <f t="shared" si="13"/>
        <v>0.30628382288623646</v>
      </c>
    </row>
    <row r="13" spans="1:22" s="11" customFormat="1" ht="17.399999999999999" customHeight="1" x14ac:dyDescent="0.35">
      <c r="A13" s="10"/>
      <c r="B13" s="10"/>
      <c r="D13" s="54" t="s">
        <v>247</v>
      </c>
      <c r="E13" s="54"/>
      <c r="F13" s="54" t="s">
        <v>256</v>
      </c>
      <c r="G13" s="54"/>
      <c r="H13" s="66"/>
      <c r="I13" s="66">
        <f>-I35/I135</f>
        <v>2.6252027132138114E-2</v>
      </c>
      <c r="J13" s="66">
        <f>-J35/J135</f>
        <v>0.11023555928757678</v>
      </c>
      <c r="K13" s="66">
        <f>-K35/K135</f>
        <v>9.9375345241757035E-2</v>
      </c>
      <c r="L13" s="66">
        <f>-L35/L135</f>
        <v>0.12395465464763133</v>
      </c>
      <c r="M13" s="56">
        <f>L13</f>
        <v>0.12395465464763133</v>
      </c>
      <c r="N13" s="56">
        <f t="shared" si="11"/>
        <v>0.12395465464763133</v>
      </c>
      <c r="O13" s="56">
        <f t="shared" si="11"/>
        <v>0.12395465464763133</v>
      </c>
      <c r="P13" s="56">
        <f t="shared" ref="P13:V13" si="14">O13</f>
        <v>0.12395465464763133</v>
      </c>
      <c r="Q13" s="56">
        <f t="shared" si="14"/>
        <v>0.12395465464763133</v>
      </c>
      <c r="R13" s="56">
        <f t="shared" si="14"/>
        <v>0.12395465464763133</v>
      </c>
      <c r="S13" s="56">
        <f t="shared" si="14"/>
        <v>0.12395465464763133</v>
      </c>
      <c r="T13" s="56">
        <f t="shared" si="14"/>
        <v>0.12395465464763133</v>
      </c>
      <c r="U13" s="56">
        <f t="shared" si="14"/>
        <v>0.12395465464763133</v>
      </c>
      <c r="V13" s="56">
        <f t="shared" si="14"/>
        <v>0.12395465464763133</v>
      </c>
    </row>
    <row r="14" spans="1:22" s="11" customFormat="1" ht="17.399999999999999" customHeight="1" x14ac:dyDescent="0.35">
      <c r="A14" s="10"/>
      <c r="B14" s="10"/>
      <c r="D14" s="54" t="s">
        <v>248</v>
      </c>
      <c r="E14" s="54"/>
      <c r="F14" s="54" t="s">
        <v>256</v>
      </c>
      <c r="G14" s="54"/>
      <c r="H14" s="66">
        <f>H36/H26</f>
        <v>2.3682341880837447E-2</v>
      </c>
      <c r="I14" s="66">
        <f>I36/I26</f>
        <v>1.8038599124457926E-2</v>
      </c>
      <c r="J14" s="66">
        <f>J36/J26</f>
        <v>1.0390669939246434E-2</v>
      </c>
      <c r="K14" s="66">
        <f>K36/K26</f>
        <v>1.4781021869066817E-2</v>
      </c>
      <c r="L14" s="66">
        <f>L36/L26</f>
        <v>1.8756399639106656E-2</v>
      </c>
      <c r="M14" s="56">
        <f t="shared" si="10"/>
        <v>1.7129806490543058E-2</v>
      </c>
      <c r="N14" s="56">
        <f t="shared" si="11"/>
        <v>1.7129806490543058E-2</v>
      </c>
      <c r="O14" s="56">
        <f t="shared" si="11"/>
        <v>1.7129806490543058E-2</v>
      </c>
      <c r="P14" s="56">
        <f t="shared" ref="P14:V14" si="15">O14</f>
        <v>1.7129806490543058E-2</v>
      </c>
      <c r="Q14" s="56">
        <f t="shared" si="15"/>
        <v>1.7129806490543058E-2</v>
      </c>
      <c r="R14" s="56">
        <f t="shared" si="15"/>
        <v>1.7129806490543058E-2</v>
      </c>
      <c r="S14" s="56">
        <f t="shared" si="15"/>
        <v>1.7129806490543058E-2</v>
      </c>
      <c r="T14" s="56">
        <f t="shared" si="15"/>
        <v>1.7129806490543058E-2</v>
      </c>
      <c r="U14" s="56">
        <f t="shared" si="15"/>
        <v>1.7129806490543058E-2</v>
      </c>
      <c r="V14" s="56">
        <f t="shared" si="15"/>
        <v>1.7129806490543058E-2</v>
      </c>
    </row>
    <row r="15" spans="1:22" s="11" customFormat="1" ht="17.399999999999999" customHeight="1" x14ac:dyDescent="0.35">
      <c r="A15" s="10"/>
      <c r="B15" s="10"/>
      <c r="D15" s="54" t="s">
        <v>249</v>
      </c>
      <c r="E15" s="54"/>
      <c r="F15" s="54" t="s">
        <v>256</v>
      </c>
      <c r="G15" s="54"/>
      <c r="H15" s="66">
        <f>H38/H37</f>
        <v>0.21607401109003563</v>
      </c>
      <c r="I15" s="66">
        <f>-I38/I37</f>
        <v>6.2934714003178849E-2</v>
      </c>
      <c r="J15" s="66">
        <f>-J38/J37</f>
        <v>8.4337422524710645E-2</v>
      </c>
      <c r="K15" s="66">
        <f>-K38/K37</f>
        <v>0.10193756804735585</v>
      </c>
      <c r="L15" s="66">
        <f>-L38/L37</f>
        <v>8.3692838654012086E-2</v>
      </c>
      <c r="M15" s="56">
        <f>L15+0.5%</f>
        <v>8.8692838654012091E-2</v>
      </c>
      <c r="N15" s="56">
        <f t="shared" si="11"/>
        <v>8.8692838654012091E-2</v>
      </c>
      <c r="O15" s="56">
        <f>N15+0.5%</f>
        <v>9.3692838654012095E-2</v>
      </c>
      <c r="P15" s="56">
        <f t="shared" ref="P15:V15" si="16">O15</f>
        <v>9.3692838654012095E-2</v>
      </c>
      <c r="Q15" s="56">
        <f>P15+0.5%</f>
        <v>9.8692838654012099E-2</v>
      </c>
      <c r="R15" s="56">
        <f t="shared" si="16"/>
        <v>9.8692838654012099E-2</v>
      </c>
      <c r="S15" s="56">
        <f>R15+0.5%</f>
        <v>0.1036928386540121</v>
      </c>
      <c r="T15" s="56">
        <f t="shared" si="16"/>
        <v>0.1036928386540121</v>
      </c>
      <c r="U15" s="56">
        <f>T15+0.5%</f>
        <v>0.10869283865401211</v>
      </c>
      <c r="V15" s="56">
        <f t="shared" si="16"/>
        <v>0.10869283865401211</v>
      </c>
    </row>
    <row r="16" spans="1:22" s="11" customFormat="1" ht="17.399999999999999" customHeight="1" x14ac:dyDescent="0.35">
      <c r="A16" s="10"/>
      <c r="B16" s="10"/>
      <c r="D16" s="54" t="s">
        <v>250</v>
      </c>
      <c r="E16" s="54"/>
      <c r="F16" s="54" t="s">
        <v>256</v>
      </c>
      <c r="G16" s="54"/>
      <c r="H16" s="66">
        <f>-H104/H39</f>
        <v>0.42503391441018795</v>
      </c>
      <c r="I16" s="66">
        <f>-I104/I39</f>
        <v>0.56250164365810951</v>
      </c>
      <c r="J16" s="66">
        <f>-J104/J39</f>
        <v>0.48222985737485774</v>
      </c>
      <c r="K16" s="66">
        <f>-K104/K39</f>
        <v>0.43500759768424496</v>
      </c>
      <c r="L16" s="66">
        <f>-L104/L39</f>
        <v>0.67564429997678199</v>
      </c>
      <c r="M16" s="56">
        <f t="shared" si="10"/>
        <v>0.51608346262083649</v>
      </c>
      <c r="N16" s="56">
        <f t="shared" si="11"/>
        <v>0.51608346262083649</v>
      </c>
      <c r="O16" s="56">
        <f t="shared" si="11"/>
        <v>0.51608346262083649</v>
      </c>
      <c r="P16" s="56">
        <f t="shared" ref="P16:V17" si="17">O16</f>
        <v>0.51608346262083649</v>
      </c>
      <c r="Q16" s="56">
        <f t="shared" si="17"/>
        <v>0.51608346262083649</v>
      </c>
      <c r="R16" s="56">
        <f t="shared" si="17"/>
        <v>0.51608346262083649</v>
      </c>
      <c r="S16" s="56">
        <f t="shared" si="17"/>
        <v>0.51608346262083649</v>
      </c>
      <c r="T16" s="56">
        <f t="shared" si="17"/>
        <v>0.51608346262083649</v>
      </c>
      <c r="U16" s="56">
        <f t="shared" si="17"/>
        <v>0.51608346262083649</v>
      </c>
      <c r="V16" s="56">
        <f t="shared" si="17"/>
        <v>0.51608346262083649</v>
      </c>
    </row>
    <row r="17" spans="1:22" s="11" customFormat="1" ht="17.399999999999999" customHeight="1" x14ac:dyDescent="0.35">
      <c r="A17" s="10"/>
      <c r="B17" s="10"/>
      <c r="D17" s="54" t="s">
        <v>251</v>
      </c>
      <c r="E17" s="54"/>
      <c r="F17" s="54" t="s">
        <v>257</v>
      </c>
      <c r="G17" s="54"/>
      <c r="H17" s="47">
        <f>H49/H26*365</f>
        <v>36.751533498066088</v>
      </c>
      <c r="I17" s="47">
        <f t="shared" ref="I17:L17" si="18">I49/I26*365</f>
        <v>44.434030165807911</v>
      </c>
      <c r="J17" s="47">
        <f t="shared" si="18"/>
        <v>50.414644011927457</v>
      </c>
      <c r="K17" s="47">
        <f t="shared" si="18"/>
        <v>43.243459381349609</v>
      </c>
      <c r="L17" s="47">
        <f t="shared" si="18"/>
        <v>33.155567785241999</v>
      </c>
      <c r="M17" s="58">
        <f>AVERAGE(H17:L17)</f>
        <v>41.599846968478616</v>
      </c>
      <c r="N17" s="58">
        <f>M17</f>
        <v>41.599846968478616</v>
      </c>
      <c r="O17" s="58">
        <f t="shared" si="11"/>
        <v>41.599846968478616</v>
      </c>
      <c r="P17" s="58">
        <f t="shared" si="17"/>
        <v>41.599846968478616</v>
      </c>
      <c r="Q17" s="58">
        <f t="shared" si="17"/>
        <v>41.599846968478616</v>
      </c>
      <c r="R17" s="58">
        <f t="shared" si="17"/>
        <v>41.599846968478616</v>
      </c>
      <c r="S17" s="58">
        <f t="shared" si="17"/>
        <v>41.599846968478616</v>
      </c>
      <c r="T17" s="58">
        <f t="shared" si="17"/>
        <v>41.599846968478616</v>
      </c>
      <c r="U17" s="58">
        <f t="shared" si="17"/>
        <v>41.599846968478616</v>
      </c>
      <c r="V17" s="58">
        <f t="shared" si="17"/>
        <v>41.599846968478616</v>
      </c>
    </row>
    <row r="18" spans="1:22" s="11" customFormat="1" ht="17.399999999999999" customHeight="1" x14ac:dyDescent="0.35">
      <c r="A18" s="10"/>
      <c r="B18" s="10"/>
      <c r="D18" s="54" t="s">
        <v>252</v>
      </c>
      <c r="E18" s="54"/>
      <c r="F18" s="54" t="s">
        <v>257</v>
      </c>
      <c r="G18" s="54"/>
      <c r="H18" s="47">
        <f>H50/-H27*365</f>
        <v>121.64132573715848</v>
      </c>
      <c r="I18" s="47">
        <f t="shared" ref="I18:L18" si="19">I50/-I27*365</f>
        <v>99.66561621881057</v>
      </c>
      <c r="J18" s="47">
        <f t="shared" si="19"/>
        <v>101.71308625392901</v>
      </c>
      <c r="K18" s="47">
        <f t="shared" si="19"/>
        <v>94.167021217535364</v>
      </c>
      <c r="L18" s="47">
        <f t="shared" si="19"/>
        <v>128.15621128109595</v>
      </c>
      <c r="M18" s="58">
        <f t="shared" ref="M18:M19" si="20">AVERAGE(H18:L18)</f>
        <v>109.06865214170587</v>
      </c>
      <c r="N18" s="58">
        <f t="shared" ref="N18:V19" si="21">M18</f>
        <v>109.06865214170587</v>
      </c>
      <c r="O18" s="58">
        <f t="shared" si="21"/>
        <v>109.06865214170587</v>
      </c>
      <c r="P18" s="58">
        <f t="shared" si="21"/>
        <v>109.06865214170587</v>
      </c>
      <c r="Q18" s="58">
        <f t="shared" si="21"/>
        <v>109.06865214170587</v>
      </c>
      <c r="R18" s="58">
        <f t="shared" si="21"/>
        <v>109.06865214170587</v>
      </c>
      <c r="S18" s="58">
        <f t="shared" si="21"/>
        <v>109.06865214170587</v>
      </c>
      <c r="T18" s="58">
        <f t="shared" si="21"/>
        <v>109.06865214170587</v>
      </c>
      <c r="U18" s="58">
        <f t="shared" si="21"/>
        <v>109.06865214170587</v>
      </c>
      <c r="V18" s="58">
        <f t="shared" si="21"/>
        <v>109.06865214170587</v>
      </c>
    </row>
    <row r="19" spans="1:22" s="11" customFormat="1" ht="17.399999999999999" customHeight="1" x14ac:dyDescent="0.35">
      <c r="A19" s="10"/>
      <c r="B19" s="10"/>
      <c r="D19" s="54" t="s">
        <v>253</v>
      </c>
      <c r="E19" s="54"/>
      <c r="F19" s="54" t="s">
        <v>257</v>
      </c>
      <c r="G19" s="54"/>
      <c r="H19" s="47">
        <f>H65/-H27*365</f>
        <v>139.02969331627565</v>
      </c>
      <c r="I19" s="47">
        <f t="shared" ref="I19:L19" si="22">I65/-I27*365</f>
        <v>126.4797771793082</v>
      </c>
      <c r="J19" s="47">
        <f t="shared" si="22"/>
        <v>142.97261053491076</v>
      </c>
      <c r="K19" s="47">
        <f t="shared" si="22"/>
        <v>133.13444836895016</v>
      </c>
      <c r="L19" s="47">
        <f t="shared" si="22"/>
        <v>153.00999112485829</v>
      </c>
      <c r="M19" s="58">
        <f t="shared" si="20"/>
        <v>138.9253041048606</v>
      </c>
      <c r="N19" s="58">
        <f t="shared" si="21"/>
        <v>138.9253041048606</v>
      </c>
      <c r="O19" s="58">
        <f t="shared" si="21"/>
        <v>138.9253041048606</v>
      </c>
      <c r="P19" s="58">
        <f t="shared" si="21"/>
        <v>138.9253041048606</v>
      </c>
      <c r="Q19" s="58">
        <f t="shared" si="21"/>
        <v>138.9253041048606</v>
      </c>
      <c r="R19" s="58">
        <f t="shared" si="21"/>
        <v>138.9253041048606</v>
      </c>
      <c r="S19" s="58">
        <f t="shared" si="21"/>
        <v>138.9253041048606</v>
      </c>
      <c r="T19" s="58">
        <f t="shared" si="21"/>
        <v>138.9253041048606</v>
      </c>
      <c r="U19" s="58">
        <f t="shared" si="21"/>
        <v>138.9253041048606</v>
      </c>
      <c r="V19" s="58">
        <f t="shared" si="21"/>
        <v>138.9253041048606</v>
      </c>
    </row>
    <row r="20" spans="1:22" s="11" customFormat="1" ht="17.399999999999999" customHeight="1" x14ac:dyDescent="0.35">
      <c r="A20" s="10"/>
      <c r="B20" s="10"/>
      <c r="D20" s="54" t="s">
        <v>254</v>
      </c>
      <c r="E20" s="54"/>
      <c r="F20" s="54" t="s">
        <v>258</v>
      </c>
      <c r="G20" s="54"/>
      <c r="H20" s="67">
        <f>H26/H55</f>
        <v>4.5064984056566111</v>
      </c>
      <c r="I20" s="67">
        <f>I26/I55</f>
        <v>5.2053201487378393</v>
      </c>
      <c r="J20" s="67">
        <f>J26/J55</f>
        <v>5.799623601736859</v>
      </c>
      <c r="K20" s="67">
        <f>K26/K55</f>
        <v>6.4984987146950575</v>
      </c>
      <c r="L20" s="67">
        <f>L26/L55</f>
        <v>6.6054563249327138</v>
      </c>
      <c r="M20" s="68">
        <f>L20+0.05</f>
        <v>6.6554563249327137</v>
      </c>
      <c r="N20" s="68">
        <f t="shared" ref="N20:P20" si="23">M20+0.05</f>
        <v>6.7054563249327135</v>
      </c>
      <c r="O20" s="68">
        <f t="shared" si="23"/>
        <v>6.7554563249327133</v>
      </c>
      <c r="P20" s="68">
        <f t="shared" si="23"/>
        <v>6.8054563249327131</v>
      </c>
      <c r="Q20" s="68">
        <f t="shared" ref="Q20" si="24">P20+0.05</f>
        <v>6.855456324932713</v>
      </c>
      <c r="R20" s="68">
        <f t="shared" ref="R20" si="25">Q20+0.05</f>
        <v>6.9054563249327128</v>
      </c>
      <c r="S20" s="68">
        <f t="shared" ref="S20" si="26">R20+0.05</f>
        <v>6.9554563249327126</v>
      </c>
      <c r="T20" s="68">
        <f t="shared" ref="T20" si="27">S20+0.05</f>
        <v>7.0054563249327124</v>
      </c>
      <c r="U20" s="68">
        <f t="shared" ref="U20" si="28">T20+0.05</f>
        <v>7.0554563249327122</v>
      </c>
      <c r="V20" s="68">
        <f t="shared" ref="V20" si="29">U20+0.05</f>
        <v>7.1054563249327121</v>
      </c>
    </row>
    <row r="21" spans="1:22" s="11" customFormat="1" ht="17.399999999999999" customHeight="1" x14ac:dyDescent="0.35">
      <c r="A21" s="10"/>
      <c r="B21" s="10"/>
      <c r="D21" s="54"/>
      <c r="E21" s="54"/>
      <c r="F21" s="54"/>
      <c r="G21" s="54"/>
      <c r="H21" s="54"/>
      <c r="I21" s="54"/>
      <c r="J21" s="54"/>
      <c r="K21" s="54"/>
      <c r="L21" s="55"/>
      <c r="M21" s="55"/>
      <c r="N21" s="55"/>
      <c r="O21" s="55"/>
      <c r="P21" s="55"/>
    </row>
    <row r="22" spans="1:22" s="11" customFormat="1" ht="17.399999999999999" customHeight="1" x14ac:dyDescent="0.35">
      <c r="A22" s="10"/>
      <c r="B22" s="10"/>
      <c r="D22" s="54"/>
      <c r="E22" s="54"/>
      <c r="F22" s="54"/>
      <c r="G22" s="54"/>
      <c r="H22" s="54"/>
      <c r="I22" s="54"/>
      <c r="J22" s="54"/>
      <c r="K22" s="54"/>
      <c r="L22" s="54"/>
      <c r="M22" s="55"/>
      <c r="N22" s="55"/>
      <c r="O22" s="55"/>
      <c r="P22" s="55"/>
    </row>
    <row r="23" spans="1:22" s="11" customFormat="1" ht="17.399999999999999" customHeight="1" x14ac:dyDescent="0.35">
      <c r="A23" s="10"/>
      <c r="B23" s="10"/>
      <c r="D23" s="54"/>
      <c r="E23" s="54"/>
      <c r="F23" s="54"/>
      <c r="G23" s="54"/>
      <c r="H23" s="54"/>
      <c r="I23" s="54"/>
      <c r="J23" s="54"/>
      <c r="K23" s="54"/>
      <c r="L23" s="55"/>
      <c r="M23" s="55"/>
      <c r="N23" s="55"/>
      <c r="O23" s="55"/>
      <c r="P23" s="55"/>
    </row>
    <row r="24" spans="1:22" x14ac:dyDescent="0.3">
      <c r="A24" s="20" t="s">
        <v>27</v>
      </c>
      <c r="B24" s="29"/>
      <c r="C24" s="29"/>
      <c r="D24" s="29"/>
      <c r="E24" s="29"/>
      <c r="F24" s="29"/>
      <c r="G24" s="29"/>
      <c r="H24" s="30"/>
      <c r="I24" s="30"/>
      <c r="J24" s="30"/>
      <c r="K24" s="30"/>
      <c r="L24" s="29"/>
      <c r="M24" s="29"/>
      <c r="N24" s="29"/>
      <c r="O24" s="29"/>
      <c r="P24" s="29"/>
      <c r="Q24" s="29"/>
      <c r="R24" s="29"/>
      <c r="S24" s="29"/>
      <c r="T24" s="29"/>
      <c r="U24" s="29"/>
      <c r="V24" s="29"/>
    </row>
    <row r="25" spans="1:22" x14ac:dyDescent="0.3">
      <c r="C25" s="22" t="s">
        <v>2</v>
      </c>
      <c r="H25" s="31"/>
      <c r="I25" s="31"/>
      <c r="J25" s="31"/>
      <c r="K25" s="31"/>
    </row>
    <row r="26" spans="1:22" x14ac:dyDescent="0.3">
      <c r="D26" s="22" t="s">
        <v>164</v>
      </c>
      <c r="F26" s="21" t="s">
        <v>165</v>
      </c>
      <c r="H26" s="39">
        <f>Inputs!H7</f>
        <v>318722.28000000003</v>
      </c>
      <c r="I26" s="39">
        <f>Inputs!I7</f>
        <v>340573.01</v>
      </c>
      <c r="J26" s="39">
        <f>Inputs!J7</f>
        <v>357809.46</v>
      </c>
      <c r="K26" s="39">
        <f>Inputs!K7</f>
        <v>380918.86</v>
      </c>
      <c r="L26" s="39">
        <f>Inputs!L7</f>
        <v>377951</v>
      </c>
      <c r="M26" s="42">
        <f>L26*(1+M8)</f>
        <v>411966.59</v>
      </c>
      <c r="N26" s="42">
        <f>M26*(1+N8)</f>
        <v>445892.03868649999</v>
      </c>
      <c r="O26" s="42">
        <f>N26*(1+O8)</f>
        <v>479490.11527453747</v>
      </c>
      <c r="P26" s="42">
        <f>O26*(1+P8)</f>
        <v>512548.79082803312</v>
      </c>
      <c r="Q26" s="42">
        <f t="shared" ref="Q26:V26" si="30">P26*(1+Q8)</f>
        <v>544882.98924426385</v>
      </c>
      <c r="R26" s="42">
        <f t="shared" si="30"/>
        <v>576335.20379995904</v>
      </c>
      <c r="S26" s="42">
        <f t="shared" si="30"/>
        <v>606775.17392568872</v>
      </c>
      <c r="T26" s="42">
        <f t="shared" si="30"/>
        <v>636098.82015045604</v>
      </c>
      <c r="U26" s="42">
        <f t="shared" si="30"/>
        <v>664226.62576014455</v>
      </c>
      <c r="V26" s="42">
        <f t="shared" si="30"/>
        <v>691101.635882398</v>
      </c>
    </row>
    <row r="27" spans="1:22" x14ac:dyDescent="0.3">
      <c r="C27" s="22"/>
      <c r="D27" s="21" t="s">
        <v>166</v>
      </c>
      <c r="F27" s="21" t="s">
        <v>165</v>
      </c>
      <c r="H27" s="40">
        <f>-SUM(Inputs!H11:H13)</f>
        <v>-107306.64</v>
      </c>
      <c r="I27" s="40">
        <f>-SUM(Inputs!I11:I13)</f>
        <v>-120136.06</v>
      </c>
      <c r="J27" s="40">
        <f>-SUM(Inputs!J11:J13)</f>
        <v>-116053.38</v>
      </c>
      <c r="K27" s="40">
        <f>-SUM(Inputs!K11:K13)</f>
        <v>-119423.39</v>
      </c>
      <c r="L27" s="40">
        <f>-SUM(Inputs!L11:L13)</f>
        <v>-113801</v>
      </c>
      <c r="M27" s="42">
        <f>-M26*M9</f>
        <v>-134167.82603318279</v>
      </c>
      <c r="N27" s="42">
        <f>-N26*N9</f>
        <v>-145216.54650701539</v>
      </c>
      <c r="O27" s="42">
        <f>-O26*O9</f>
        <v>-156158.64959045564</v>
      </c>
      <c r="P27" s="42">
        <f>-P26*P9</f>
        <v>-166925.08244742308</v>
      </c>
      <c r="Q27" s="42">
        <f t="shared" ref="Q27:V27" si="31">-Q26*Q9</f>
        <v>-177455.57014554262</v>
      </c>
      <c r="R27" s="42">
        <f t="shared" si="31"/>
        <v>-187698.81645070261</v>
      </c>
      <c r="S27" s="42">
        <f t="shared" si="31"/>
        <v>-197612.39856007748</v>
      </c>
      <c r="T27" s="42">
        <f t="shared" si="31"/>
        <v>-207162.42023863929</v>
      </c>
      <c r="U27" s="42">
        <f t="shared" si="31"/>
        <v>-216322.98476338841</v>
      </c>
      <c r="V27" s="42">
        <f t="shared" si="31"/>
        <v>-225075.54327237461</v>
      </c>
    </row>
    <row r="28" spans="1:22" x14ac:dyDescent="0.3">
      <c r="D28" s="37" t="s">
        <v>167</v>
      </c>
      <c r="E28" s="38"/>
      <c r="F28" s="38" t="s">
        <v>165</v>
      </c>
      <c r="G28" s="38"/>
      <c r="H28" s="41">
        <f>SUM(H26:H27)</f>
        <v>211415.64</v>
      </c>
      <c r="I28" s="41">
        <f>SUM(I26:I27)</f>
        <v>220436.95</v>
      </c>
      <c r="J28" s="41">
        <f>SUM(J26:J27)</f>
        <v>241756.08000000002</v>
      </c>
      <c r="K28" s="41">
        <f>SUM(K26:K27)</f>
        <v>261495.46999999997</v>
      </c>
      <c r="L28" s="41">
        <f>SUM(L26:L27)</f>
        <v>264150</v>
      </c>
      <c r="M28" s="41">
        <f t="shared" ref="M28:P28" si="32">SUM(M26:M27)</f>
        <v>277798.76396681723</v>
      </c>
      <c r="N28" s="41">
        <f t="shared" si="32"/>
        <v>300675.49217948457</v>
      </c>
      <c r="O28" s="41">
        <f t="shared" si="32"/>
        <v>323331.46568408184</v>
      </c>
      <c r="P28" s="41">
        <f t="shared" si="32"/>
        <v>345623.70838061004</v>
      </c>
      <c r="Q28" s="41">
        <f t="shared" ref="Q28:V28" si="33">SUM(Q26:Q27)</f>
        <v>367427.41909872124</v>
      </c>
      <c r="R28" s="41">
        <f t="shared" si="33"/>
        <v>388636.38734925643</v>
      </c>
      <c r="S28" s="41">
        <f t="shared" si="33"/>
        <v>409162.77536561125</v>
      </c>
      <c r="T28" s="41">
        <f t="shared" si="33"/>
        <v>428936.39991181676</v>
      </c>
      <c r="U28" s="41">
        <f t="shared" si="33"/>
        <v>447903.64099675615</v>
      </c>
      <c r="V28" s="41">
        <f t="shared" si="33"/>
        <v>466026.09261002339</v>
      </c>
    </row>
    <row r="29" spans="1:22" x14ac:dyDescent="0.3">
      <c r="C29" s="22" t="s">
        <v>6</v>
      </c>
      <c r="H29" s="42"/>
      <c r="I29" s="42"/>
      <c r="J29" s="42"/>
      <c r="K29" s="42"/>
      <c r="L29" s="42"/>
      <c r="M29" s="42"/>
      <c r="N29" s="42"/>
      <c r="O29" s="42"/>
      <c r="P29" s="42"/>
    </row>
    <row r="30" spans="1:22" x14ac:dyDescent="0.3">
      <c r="D30" s="21" t="s">
        <v>168</v>
      </c>
      <c r="F30" s="21" t="s">
        <v>165</v>
      </c>
      <c r="H30" s="40">
        <f>-Inputs!H14</f>
        <v>-31777.29</v>
      </c>
      <c r="I30" s="40">
        <f>-Inputs!I14</f>
        <v>-36776.14</v>
      </c>
      <c r="J30" s="40">
        <f>-Inputs!J14</f>
        <v>-39563.89</v>
      </c>
      <c r="K30" s="40">
        <f>-Inputs!K14</f>
        <v>-44701.86</v>
      </c>
      <c r="L30" s="40">
        <f>-Inputs!L14</f>
        <v>-47909</v>
      </c>
      <c r="M30" s="42">
        <f>-M26*M10</f>
        <v>-46335.554713864178</v>
      </c>
      <c r="N30" s="42">
        <f>-N26*N10</f>
        <v>-50151.287644550888</v>
      </c>
      <c r="O30" s="42">
        <f>-O26*O10</f>
        <v>-53930.199706389714</v>
      </c>
      <c r="P30" s="42">
        <f>-P26*P10</f>
        <v>-57648.443144229859</v>
      </c>
      <c r="Q30" s="42">
        <f t="shared" ref="Q30:V30" si="34">-Q26*Q10</f>
        <v>-61285.201697500401</v>
      </c>
      <c r="R30" s="42">
        <f t="shared" si="34"/>
        <v>-64822.759945652535</v>
      </c>
      <c r="S30" s="42">
        <f t="shared" si="34"/>
        <v>-68246.466953662923</v>
      </c>
      <c r="T30" s="42">
        <f t="shared" si="34"/>
        <v>-71544.616480928467</v>
      </c>
      <c r="U30" s="42">
        <f t="shared" si="34"/>
        <v>-74708.264959822496</v>
      </c>
      <c r="V30" s="42">
        <f t="shared" si="34"/>
        <v>-77731.006444648548</v>
      </c>
    </row>
    <row r="31" spans="1:22" x14ac:dyDescent="0.3">
      <c r="D31" s="21" t="s">
        <v>169</v>
      </c>
      <c r="F31" s="21" t="s">
        <v>165</v>
      </c>
      <c r="H31" s="40">
        <f>-Inputs!H15</f>
        <v>-84400.86</v>
      </c>
      <c r="I31" s="40">
        <f>-Inputs!I15</f>
        <v>-97385.29</v>
      </c>
      <c r="J31" s="40">
        <f>-Inputs!J15</f>
        <v>-107238.48</v>
      </c>
      <c r="K31" s="40">
        <f>-Inputs!K15</f>
        <v>-114282.61</v>
      </c>
      <c r="L31" s="40">
        <f>-Inputs!L15</f>
        <v>-119876</v>
      </c>
      <c r="M31" s="42">
        <f>-M26*M11</f>
        <v>-120925.00110816812</v>
      </c>
      <c r="N31" s="42">
        <f>-N26*N11</f>
        <v>-130883.17494942575</v>
      </c>
      <c r="O31" s="42">
        <f>-O26*O11</f>
        <v>-140745.25490265872</v>
      </c>
      <c r="P31" s="42">
        <f>-P26*P11</f>
        <v>-150449.0038837133</v>
      </c>
      <c r="Q31" s="42">
        <f t="shared" ref="Q31:V31" si="35">-Q26*Q11</f>
        <v>-159940.09630291758</v>
      </c>
      <c r="R31" s="42">
        <f t="shared" si="35"/>
        <v>-169172.2990405274</v>
      </c>
      <c r="S31" s="42">
        <f t="shared" si="35"/>
        <v>-178107.3765699612</v>
      </c>
      <c r="T31" s="42">
        <f t="shared" si="35"/>
        <v>-186714.77833092806</v>
      </c>
      <c r="U31" s="42">
        <f t="shared" si="35"/>
        <v>-194971.16369587215</v>
      </c>
      <c r="V31" s="42">
        <f t="shared" si="35"/>
        <v>-202859.81463918171</v>
      </c>
    </row>
    <row r="32" spans="1:22" x14ac:dyDescent="0.3">
      <c r="D32" s="37" t="s">
        <v>170</v>
      </c>
      <c r="E32" s="38"/>
      <c r="F32" s="38" t="s">
        <v>165</v>
      </c>
      <c r="G32" s="38"/>
      <c r="H32" s="41">
        <f>SUM(H28:H31)</f>
        <v>95237.49</v>
      </c>
      <c r="I32" s="41">
        <f>SUM(I28:I31)</f>
        <v>86275.520000000004</v>
      </c>
      <c r="J32" s="41">
        <f>SUM(J28:J31)</f>
        <v>94953.71</v>
      </c>
      <c r="K32" s="41">
        <f>SUM(K28:K31)</f>
        <v>102510.99999999999</v>
      </c>
      <c r="L32" s="41">
        <f>SUM(L28:L31)</f>
        <v>96365</v>
      </c>
      <c r="M32" s="41">
        <f t="shared" ref="M32:P32" si="36">SUM(M28:M31)</f>
        <v>110538.20814478495</v>
      </c>
      <c r="N32" s="41">
        <f t="shared" si="36"/>
        <v>119641.02958550792</v>
      </c>
      <c r="O32" s="41">
        <f t="shared" si="36"/>
        <v>128656.01107503337</v>
      </c>
      <c r="P32" s="41">
        <f t="shared" si="36"/>
        <v>137526.26135266686</v>
      </c>
      <c r="Q32" s="41">
        <f t="shared" ref="Q32:V32" si="37">SUM(Q28:Q31)</f>
        <v>146202.12109830324</v>
      </c>
      <c r="R32" s="41">
        <f t="shared" si="37"/>
        <v>154641.32836307646</v>
      </c>
      <c r="S32" s="41">
        <f t="shared" si="37"/>
        <v>162808.93184198713</v>
      </c>
      <c r="T32" s="41">
        <f t="shared" si="37"/>
        <v>170677.00509996025</v>
      </c>
      <c r="U32" s="41">
        <f t="shared" si="37"/>
        <v>178224.21234106147</v>
      </c>
      <c r="V32" s="41">
        <f t="shared" si="37"/>
        <v>185435.27152619313</v>
      </c>
    </row>
    <row r="33" spans="1:22" x14ac:dyDescent="0.3">
      <c r="D33" s="21" t="s">
        <v>171</v>
      </c>
      <c r="F33" s="21" t="s">
        <v>165</v>
      </c>
      <c r="H33" s="40">
        <f>-SUM(Inputs!H20:H22)</f>
        <v>-33477.789999999994</v>
      </c>
      <c r="I33" s="40">
        <f>-SUM(Inputs!I20:I22)</f>
        <v>-24724.9</v>
      </c>
      <c r="J33" s="40">
        <f>-SUM(Inputs!J20:J22)</f>
        <v>-18590.59</v>
      </c>
      <c r="K33" s="40">
        <f>-SUM(Inputs!K20:K22)</f>
        <v>-17821.400000000001</v>
      </c>
      <c r="L33" s="40">
        <f>-SUM(Inputs!L20:L22)</f>
        <v>-17734</v>
      </c>
      <c r="M33" s="42">
        <f t="shared" ref="M33:O33" si="38">M130</f>
        <v>-17524.947777904679</v>
      </c>
      <c r="N33" s="42">
        <f t="shared" si="38"/>
        <v>-17162.312240747007</v>
      </c>
      <c r="O33" s="42">
        <f t="shared" si="38"/>
        <v>-16935.7709645451</v>
      </c>
      <c r="P33" s="42">
        <f t="shared" ref="P33:V33" si="39">P130</f>
        <v>-16803.765603092143</v>
      </c>
      <c r="Q33" s="42">
        <f t="shared" si="39"/>
        <v>-16737.467084951943</v>
      </c>
      <c r="R33" s="42">
        <f t="shared" si="39"/>
        <v>-16716.876845647712</v>
      </c>
      <c r="S33" s="42">
        <f t="shared" si="39"/>
        <v>-16728.122189376259</v>
      </c>
      <c r="T33" s="42">
        <f t="shared" si="39"/>
        <v>-16761.58003769162</v>
      </c>
      <c r="U33" s="42">
        <f t="shared" si="39"/>
        <v>-16810.575343630328</v>
      </c>
      <c r="V33" s="42">
        <f t="shared" si="39"/>
        <v>-16870.47816055013</v>
      </c>
    </row>
    <row r="34" spans="1:22" x14ac:dyDescent="0.3">
      <c r="D34" s="37" t="s">
        <v>172</v>
      </c>
      <c r="E34" s="37"/>
      <c r="F34" s="38" t="s">
        <v>165</v>
      </c>
      <c r="G34" s="37"/>
      <c r="H34" s="41">
        <f>SUM(H32:H33)</f>
        <v>61759.700000000012</v>
      </c>
      <c r="I34" s="41">
        <f>SUM(I32:I33)</f>
        <v>61550.62</v>
      </c>
      <c r="J34" s="41">
        <f>SUM(J32:J33)</f>
        <v>76363.12000000001</v>
      </c>
      <c r="K34" s="41">
        <f>SUM(K32:K33)</f>
        <v>84689.599999999977</v>
      </c>
      <c r="L34" s="41">
        <f>SUM(L32:L33)</f>
        <v>78631</v>
      </c>
      <c r="M34" s="41">
        <f t="shared" ref="M34:O34" si="40">SUM(M32:M33)</f>
        <v>93013.260366880277</v>
      </c>
      <c r="N34" s="41">
        <f t="shared" si="40"/>
        <v>102478.71734476091</v>
      </c>
      <c r="O34" s="41">
        <f t="shared" si="40"/>
        <v>111720.24011048827</v>
      </c>
      <c r="P34" s="41">
        <f t="shared" ref="P34:V34" si="41">SUM(P32:P33)</f>
        <v>120722.49574957471</v>
      </c>
      <c r="Q34" s="41">
        <f t="shared" si="41"/>
        <v>129464.65401335129</v>
      </c>
      <c r="R34" s="41">
        <f t="shared" si="41"/>
        <v>137924.45151742874</v>
      </c>
      <c r="S34" s="41">
        <f t="shared" si="41"/>
        <v>146080.80965261086</v>
      </c>
      <c r="T34" s="41">
        <f t="shared" si="41"/>
        <v>153915.42506226862</v>
      </c>
      <c r="U34" s="41">
        <f t="shared" si="41"/>
        <v>161413.63699743114</v>
      </c>
      <c r="V34" s="41">
        <f t="shared" si="41"/>
        <v>168564.79336564301</v>
      </c>
    </row>
    <row r="35" spans="1:22" x14ac:dyDescent="0.3">
      <c r="D35" s="21" t="s">
        <v>173</v>
      </c>
      <c r="F35" s="21" t="s">
        <v>165</v>
      </c>
      <c r="H35" s="40">
        <f>-Inputs!H18</f>
        <v>-507.29</v>
      </c>
      <c r="I35" s="40">
        <f>-Inputs!I18</f>
        <v>-739.14</v>
      </c>
      <c r="J35" s="40">
        <f>-Inputs!J18</f>
        <v>-997.72</v>
      </c>
      <c r="K35" s="40">
        <f>-Inputs!K18</f>
        <v>-933.69</v>
      </c>
      <c r="L35" s="40">
        <f>-Inputs!L18</f>
        <v>-1113</v>
      </c>
      <c r="M35" s="42">
        <f t="shared" ref="M35:O35" si="42">M138</f>
        <v>-2007.0737680544466</v>
      </c>
      <c r="N35" s="42">
        <f t="shared" si="42"/>
        <v>-2007.0737680544466</v>
      </c>
      <c r="O35" s="42">
        <f t="shared" si="42"/>
        <v>-2007.0737680544466</v>
      </c>
      <c r="P35" s="42">
        <f t="shared" ref="P35:V35" si="43">P138</f>
        <v>-2007.0737680544466</v>
      </c>
      <c r="Q35" s="42">
        <f t="shared" si="43"/>
        <v>-2007.0737680544466</v>
      </c>
      <c r="R35" s="42">
        <f t="shared" si="43"/>
        <v>-2007.0737680544466</v>
      </c>
      <c r="S35" s="42">
        <f t="shared" si="43"/>
        <v>-2007.0737680544466</v>
      </c>
      <c r="T35" s="42">
        <f t="shared" si="43"/>
        <v>-2007.0737680544466</v>
      </c>
      <c r="U35" s="42">
        <f t="shared" si="43"/>
        <v>-2007.0737680544466</v>
      </c>
      <c r="V35" s="42">
        <f t="shared" si="43"/>
        <v>-2007.0737680544466</v>
      </c>
    </row>
    <row r="36" spans="1:22" x14ac:dyDescent="0.3">
      <c r="D36" s="21" t="s">
        <v>174</v>
      </c>
      <c r="F36" s="21" t="s">
        <v>165</v>
      </c>
      <c r="H36" s="40">
        <f>SUM(Inputs!H8,Inputs!H26,Inputs!H24)</f>
        <v>7548.09</v>
      </c>
      <c r="I36" s="40">
        <f>SUM(Inputs!I8,Inputs!I26,Inputs!I24)</f>
        <v>6143.46</v>
      </c>
      <c r="J36" s="40">
        <f>SUM(Inputs!J8,Inputs!J26,Inputs!J24)</f>
        <v>3717.8799999999997</v>
      </c>
      <c r="K36" s="40">
        <f>SUM(Inputs!K8,Inputs!K26,Inputs!K24)</f>
        <v>5630.3700000000008</v>
      </c>
      <c r="L36" s="40">
        <f>SUM(Inputs!L8,Inputs!L26,Inputs!L24)</f>
        <v>7089</v>
      </c>
      <c r="M36" s="42">
        <f>M26*M14</f>
        <v>7056.9079672688913</v>
      </c>
      <c r="N36" s="42">
        <f>N26*N14</f>
        <v>7638.0443383734837</v>
      </c>
      <c r="O36" s="42">
        <f>O26*O14</f>
        <v>8213.572888781011</v>
      </c>
      <c r="P36" s="42">
        <f t="shared" ref="P36:V36" si="44">P26*P14</f>
        <v>8779.8616038460386</v>
      </c>
      <c r="Q36" s="42">
        <f t="shared" si="44"/>
        <v>9333.7401657428945</v>
      </c>
      <c r="R36" s="42">
        <f t="shared" si="44"/>
        <v>9872.5105147809954</v>
      </c>
      <c r="S36" s="42">
        <f t="shared" si="44"/>
        <v>10393.941312612656</v>
      </c>
      <c r="T36" s="42">
        <f t="shared" si="44"/>
        <v>10896.249698040063</v>
      </c>
      <c r="U36" s="42">
        <f t="shared" si="44"/>
        <v>11378.07356513764</v>
      </c>
      <c r="V36" s="42">
        <f t="shared" si="44"/>
        <v>11838.437287963226</v>
      </c>
    </row>
    <row r="37" spans="1:22" x14ac:dyDescent="0.3">
      <c r="D37" s="37" t="s">
        <v>175</v>
      </c>
      <c r="E37" s="38"/>
      <c r="F37" s="38" t="s">
        <v>165</v>
      </c>
      <c r="G37" s="38"/>
      <c r="H37" s="41">
        <f>SUM(H34:H36)</f>
        <v>68800.500000000015</v>
      </c>
      <c r="I37" s="41">
        <f>SUM(I34:I36)</f>
        <v>66954.94</v>
      </c>
      <c r="J37" s="41">
        <f>SUM(J34:J36)</f>
        <v>79083.280000000013</v>
      </c>
      <c r="K37" s="41">
        <f>SUM(K34:K36)</f>
        <v>89386.27999999997</v>
      </c>
      <c r="L37" s="41">
        <f>SUM(L34:L36)</f>
        <v>84607</v>
      </c>
      <c r="M37" s="41">
        <f t="shared" ref="M37:O37" si="45">SUM(M34:M36)</f>
        <v>98063.094566094733</v>
      </c>
      <c r="N37" s="41">
        <f t="shared" si="45"/>
        <v>108109.68791507995</v>
      </c>
      <c r="O37" s="41">
        <f t="shared" si="45"/>
        <v>117926.73923121484</v>
      </c>
      <c r="P37" s="41">
        <f t="shared" ref="P37:V37" si="46">SUM(P34:P36)</f>
        <v>127495.2835853663</v>
      </c>
      <c r="Q37" s="41">
        <f t="shared" si="46"/>
        <v>136791.32041103975</v>
      </c>
      <c r="R37" s="41">
        <f t="shared" si="46"/>
        <v>145789.88826415528</v>
      </c>
      <c r="S37" s="41">
        <f t="shared" si="46"/>
        <v>154467.67719716905</v>
      </c>
      <c r="T37" s="41">
        <f t="shared" si="46"/>
        <v>162804.60099225424</v>
      </c>
      <c r="U37" s="41">
        <f t="shared" si="46"/>
        <v>170784.63679451431</v>
      </c>
      <c r="V37" s="41">
        <f t="shared" si="46"/>
        <v>178396.15688555178</v>
      </c>
    </row>
    <row r="38" spans="1:22" x14ac:dyDescent="0.3">
      <c r="D38" s="21" t="s">
        <v>176</v>
      </c>
      <c r="F38" s="21" t="s">
        <v>165</v>
      </c>
      <c r="H38" s="40">
        <f>-Inputs!H33</f>
        <v>14866</v>
      </c>
      <c r="I38" s="40">
        <f>-Inputs!I33</f>
        <v>-4213.79</v>
      </c>
      <c r="J38" s="40">
        <f>-Inputs!J33</f>
        <v>-6669.68</v>
      </c>
      <c r="K38" s="40">
        <f>-Inputs!K33</f>
        <v>-9111.82</v>
      </c>
      <c r="L38" s="40">
        <f>-Inputs!L33</f>
        <v>-7081</v>
      </c>
      <c r="M38" s="42">
        <f t="shared" ref="M38:O38" si="47">-M37*M15</f>
        <v>-8697.4942242637699</v>
      </c>
      <c r="N38" s="42">
        <f t="shared" si="47"/>
        <v>-9588.5551071877871</v>
      </c>
      <c r="O38" s="42">
        <f t="shared" si="47"/>
        <v>-11048.890951783971</v>
      </c>
      <c r="P38" s="42">
        <f t="shared" ref="P38:V38" si="48">-P37*P15</f>
        <v>-11945.395034111241</v>
      </c>
      <c r="Q38" s="42">
        <f t="shared" si="48"/>
        <v>-13500.323714596017</v>
      </c>
      <c r="R38" s="42">
        <f t="shared" si="48"/>
        <v>-14388.417919840729</v>
      </c>
      <c r="S38" s="42">
        <f t="shared" si="48"/>
        <v>-16017.191928866074</v>
      </c>
      <c r="T38" s="42">
        <f t="shared" si="48"/>
        <v>-16881.671222820638</v>
      </c>
      <c r="U38" s="42">
        <f t="shared" si="48"/>
        <v>-18563.066971690205</v>
      </c>
      <c r="V38" s="42">
        <f t="shared" si="48"/>
        <v>-19390.384696857112</v>
      </c>
    </row>
    <row r="39" spans="1:22" ht="16.2" thickBot="1" x14ac:dyDescent="0.35">
      <c r="D39" s="43" t="s">
        <v>177</v>
      </c>
      <c r="E39" s="44"/>
      <c r="F39" s="44" t="s">
        <v>165</v>
      </c>
      <c r="G39" s="44"/>
      <c r="H39" s="45">
        <f>SUM(H37:H38)</f>
        <v>83666.500000000015</v>
      </c>
      <c r="I39" s="45">
        <f>SUM(I37:I38)</f>
        <v>62741.15</v>
      </c>
      <c r="J39" s="45">
        <f>SUM(J37:J38)</f>
        <v>72413.600000000006</v>
      </c>
      <c r="K39" s="45">
        <f>SUM(K37:K38)</f>
        <v>80274.459999999963</v>
      </c>
      <c r="L39" s="45">
        <f>SUM(L37:L38)</f>
        <v>77526</v>
      </c>
      <c r="M39" s="45">
        <f t="shared" ref="M39:O39" si="49">SUM(M37:M38)</f>
        <v>89365.600341830956</v>
      </c>
      <c r="N39" s="45">
        <f t="shared" si="49"/>
        <v>98521.132807892165</v>
      </c>
      <c r="O39" s="45">
        <f t="shared" si="49"/>
        <v>106877.84827943088</v>
      </c>
      <c r="P39" s="45">
        <f t="shared" ref="P39:V39" si="50">SUM(P37:P38)</f>
        <v>115549.88855125506</v>
      </c>
      <c r="Q39" s="45">
        <f t="shared" si="50"/>
        <v>123290.99669644373</v>
      </c>
      <c r="R39" s="45">
        <f t="shared" si="50"/>
        <v>131401.47034431456</v>
      </c>
      <c r="S39" s="45">
        <f t="shared" si="50"/>
        <v>138450.48526830296</v>
      </c>
      <c r="T39" s="45">
        <f t="shared" si="50"/>
        <v>145922.9297694336</v>
      </c>
      <c r="U39" s="45">
        <f t="shared" si="50"/>
        <v>152221.56982282409</v>
      </c>
      <c r="V39" s="45">
        <f t="shared" si="50"/>
        <v>159005.77218869468</v>
      </c>
    </row>
    <row r="40" spans="1:22" ht="16.2" thickTop="1" x14ac:dyDescent="0.3">
      <c r="D40" s="22"/>
      <c r="H40" s="31"/>
      <c r="I40" s="31"/>
      <c r="J40" s="31"/>
      <c r="K40" s="31"/>
    </row>
    <row r="41" spans="1:22" x14ac:dyDescent="0.3">
      <c r="D41" s="22"/>
      <c r="H41" s="31"/>
      <c r="I41" s="31"/>
      <c r="J41" s="31"/>
      <c r="K41" s="31"/>
    </row>
    <row r="42" spans="1:22" x14ac:dyDescent="0.3">
      <c r="D42" s="22"/>
      <c r="H42" s="31"/>
      <c r="I42" s="31"/>
      <c r="J42" s="31"/>
      <c r="K42" s="31"/>
    </row>
    <row r="43" spans="1:22" x14ac:dyDescent="0.3">
      <c r="A43" s="20" t="s">
        <v>33</v>
      </c>
      <c r="B43" s="29"/>
      <c r="C43" s="29"/>
      <c r="D43" s="29"/>
      <c r="E43" s="29"/>
      <c r="F43" s="29"/>
      <c r="G43" s="29"/>
      <c r="H43" s="30"/>
      <c r="I43" s="30"/>
      <c r="J43" s="30"/>
      <c r="K43" s="30"/>
      <c r="L43" s="29"/>
      <c r="M43" s="29"/>
      <c r="N43" s="29"/>
      <c r="O43" s="29"/>
      <c r="P43" s="29"/>
      <c r="Q43" s="29"/>
      <c r="R43" s="29"/>
      <c r="S43" s="29"/>
      <c r="T43" s="29"/>
      <c r="U43" s="29"/>
      <c r="V43" s="29"/>
    </row>
    <row r="44" spans="1:22" x14ac:dyDescent="0.3">
      <c r="D44" s="22"/>
      <c r="H44" s="31"/>
      <c r="I44" s="31"/>
      <c r="J44" s="31"/>
      <c r="K44" s="31"/>
    </row>
    <row r="45" spans="1:22" x14ac:dyDescent="0.3">
      <c r="B45" s="22" t="s">
        <v>34</v>
      </c>
      <c r="D45" s="22"/>
      <c r="H45" s="31"/>
      <c r="I45" s="31"/>
      <c r="J45" s="31"/>
      <c r="K45" s="23"/>
    </row>
    <row r="46" spans="1:22" x14ac:dyDescent="0.3">
      <c r="C46" s="22" t="s">
        <v>178</v>
      </c>
      <c r="H46" s="31"/>
      <c r="I46" s="31"/>
      <c r="J46" s="31"/>
      <c r="K46" s="31"/>
    </row>
    <row r="47" spans="1:22" x14ac:dyDescent="0.3">
      <c r="D47" s="21" t="s">
        <v>179</v>
      </c>
      <c r="F47" s="21" t="s">
        <v>165</v>
      </c>
      <c r="H47" s="42">
        <f>H113</f>
        <v>2757.2900000000054</v>
      </c>
      <c r="I47" s="42">
        <f>I113</f>
        <v>4678.5000000000173</v>
      </c>
      <c r="J47" s="42">
        <f>J113</f>
        <v>5295.3899999999994</v>
      </c>
      <c r="K47" s="42">
        <f>K113</f>
        <v>10462.509999999984</v>
      </c>
      <c r="L47" s="42">
        <f>L113</f>
        <v>17674.999999999985</v>
      </c>
      <c r="M47" s="48">
        <f t="shared" ref="M47:P47" si="51">M113</f>
        <v>52709.545612023721</v>
      </c>
      <c r="N47" s="48">
        <f t="shared" si="51"/>
        <v>98162.41332468114</v>
      </c>
      <c r="O47" s="48">
        <f t="shared" si="51"/>
        <v>147379.16935142304</v>
      </c>
      <c r="P47" s="48">
        <f t="shared" si="51"/>
        <v>200625.04687047662</v>
      </c>
      <c r="Q47" s="48">
        <f t="shared" ref="Q47:V47" si="52">Q113</f>
        <v>257531.0097499238</v>
      </c>
      <c r="R47" s="48">
        <f t="shared" si="52"/>
        <v>318334.84906319715</v>
      </c>
      <c r="S47" s="48">
        <f t="shared" si="52"/>
        <v>382565.70214376925</v>
      </c>
      <c r="T47" s="48">
        <f t="shared" si="52"/>
        <v>450459.35671607457</v>
      </c>
      <c r="U47" s="48">
        <f t="shared" si="52"/>
        <v>521469.85028610221</v>
      </c>
      <c r="V47" s="48">
        <f t="shared" si="52"/>
        <v>595847.61295103561</v>
      </c>
    </row>
    <row r="48" spans="1:22" x14ac:dyDescent="0.3">
      <c r="D48" s="21" t="s">
        <v>183</v>
      </c>
      <c r="F48" s="21" t="s">
        <v>165</v>
      </c>
      <c r="H48" s="40">
        <f>Inputs!H63</f>
        <v>8843.07</v>
      </c>
      <c r="I48" s="40">
        <f>Inputs!I63</f>
        <v>13795.57</v>
      </c>
      <c r="J48" s="40">
        <f>Inputs!J63</f>
        <v>14842.62</v>
      </c>
      <c r="K48" s="40">
        <f>Inputs!K63</f>
        <v>16827.5</v>
      </c>
      <c r="L48" s="40">
        <f>Inputs!L63</f>
        <v>23309</v>
      </c>
      <c r="M48" s="48">
        <f>L48</f>
        <v>23309</v>
      </c>
      <c r="N48" s="48">
        <f t="shared" ref="N48:P48" si="53">M48</f>
        <v>23309</v>
      </c>
      <c r="O48" s="48">
        <f t="shared" si="53"/>
        <v>23309</v>
      </c>
      <c r="P48" s="48">
        <f t="shared" si="53"/>
        <v>23309</v>
      </c>
      <c r="Q48" s="48">
        <f t="shared" ref="Q48" si="54">P48</f>
        <v>23309</v>
      </c>
      <c r="R48" s="48">
        <f t="shared" ref="R48" si="55">Q48</f>
        <v>23309</v>
      </c>
      <c r="S48" s="48">
        <f t="shared" ref="S48" si="56">R48</f>
        <v>23309</v>
      </c>
      <c r="T48" s="48">
        <f t="shared" ref="T48" si="57">S48</f>
        <v>23309</v>
      </c>
      <c r="U48" s="48">
        <f t="shared" ref="U48" si="58">T48</f>
        <v>23309</v>
      </c>
      <c r="V48" s="48">
        <f t="shared" ref="V48" si="59">U48</f>
        <v>23309</v>
      </c>
    </row>
    <row r="49" spans="2:22" x14ac:dyDescent="0.3">
      <c r="D49" s="21" t="s">
        <v>181</v>
      </c>
      <c r="F49" s="21" t="s">
        <v>165</v>
      </c>
      <c r="H49" s="40">
        <f>Inputs!H61</f>
        <v>32091.87</v>
      </c>
      <c r="I49" s="40">
        <f>Inputs!I61</f>
        <v>41460.36</v>
      </c>
      <c r="J49" s="40">
        <f>Inputs!J61</f>
        <v>49421.47</v>
      </c>
      <c r="K49" s="40">
        <f>Inputs!K61</f>
        <v>45129.45</v>
      </c>
      <c r="L49" s="40">
        <f>Inputs!L61</f>
        <v>34332</v>
      </c>
      <c r="M49" s="48">
        <f>M26*M17/365</f>
        <v>46952.731781167044</v>
      </c>
      <c r="N49" s="48">
        <f t="shared" ref="N49:P49" si="60">N26*N17/365</f>
        <v>50819.28924334616</v>
      </c>
      <c r="O49" s="48">
        <f t="shared" si="60"/>
        <v>54648.535392654609</v>
      </c>
      <c r="P49" s="48">
        <f t="shared" si="60"/>
        <v>58416.304828287488</v>
      </c>
      <c r="Q49" s="48">
        <f t="shared" ref="Q49:V49" si="61">Q26*Q17/365</f>
        <v>62101.504022708374</v>
      </c>
      <c r="R49" s="48">
        <f>R26*R17/365</f>
        <v>65686.181590754059</v>
      </c>
      <c r="S49" s="48">
        <f t="shared" si="61"/>
        <v>69155.491450905887</v>
      </c>
      <c r="T49" s="48">
        <f t="shared" si="61"/>
        <v>72497.571438599378</v>
      </c>
      <c r="U49" s="48">
        <f t="shared" si="61"/>
        <v>75703.358860303924</v>
      </c>
      <c r="V49" s="48">
        <f t="shared" si="61"/>
        <v>78766.362444857499</v>
      </c>
    </row>
    <row r="50" spans="2:22" x14ac:dyDescent="0.3">
      <c r="D50" s="21" t="s">
        <v>182</v>
      </c>
      <c r="F50" s="21" t="s">
        <v>165</v>
      </c>
      <c r="H50" s="40">
        <f>Inputs!H58</f>
        <v>35761.43</v>
      </c>
      <c r="I50" s="40">
        <f>Inputs!I58</f>
        <v>32803.93</v>
      </c>
      <c r="J50" s="40">
        <f>Inputs!J58</f>
        <v>32340.13</v>
      </c>
      <c r="K50" s="40">
        <f>Inputs!K58</f>
        <v>30810.26</v>
      </c>
      <c r="L50" s="40">
        <f>Inputs!L58</f>
        <v>39957</v>
      </c>
      <c r="M50" s="48">
        <f>-M27*M18/365</f>
        <v>40091.791633485271</v>
      </c>
      <c r="N50" s="48">
        <f t="shared" ref="N50:P50" si="62">-N27*N18/365</f>
        <v>43393.350674502777</v>
      </c>
      <c r="O50" s="48">
        <f t="shared" si="62"/>
        <v>46663.050496164229</v>
      </c>
      <c r="P50" s="48">
        <f t="shared" si="62"/>
        <v>49880.256852557693</v>
      </c>
      <c r="Q50" s="48">
        <f t="shared" ref="Q50:V50" si="63">-Q27*Q18/365</f>
        <v>53026.958495376086</v>
      </c>
      <c r="R50" s="48">
        <f t="shared" si="63"/>
        <v>56087.827174990634</v>
      </c>
      <c r="S50" s="48">
        <f t="shared" si="63"/>
        <v>59050.186184759528</v>
      </c>
      <c r="T50" s="48">
        <f t="shared" si="63"/>
        <v>61903.906711895987</v>
      </c>
      <c r="U50" s="48">
        <f t="shared" si="63"/>
        <v>64641.25034359876</v>
      </c>
      <c r="V50" s="48">
        <f t="shared" si="63"/>
        <v>67256.674341863269</v>
      </c>
    </row>
    <row r="51" spans="2:22" x14ac:dyDescent="0.3">
      <c r="D51" s="21" t="s">
        <v>187</v>
      </c>
      <c r="F51" s="21" t="s">
        <v>165</v>
      </c>
      <c r="H51" s="40">
        <f>SUM(Inputs!H60,Inputs!H64,Inputs!H65)</f>
        <v>8895.5999999999985</v>
      </c>
      <c r="I51" s="40">
        <f>SUM(Inputs!I60,Inputs!I64,Inputs!I65)</f>
        <v>19069.8</v>
      </c>
      <c r="J51" s="40">
        <f>SUM(Inputs!J60,Inputs!J64,Inputs!J65)</f>
        <v>23764.83</v>
      </c>
      <c r="K51" s="40">
        <f>SUM(Inputs!K60,Inputs!K64,Inputs!K65)</f>
        <v>55776.359999999993</v>
      </c>
      <c r="L51" s="40">
        <f>SUM(Inputs!L60,Inputs!L64,Inputs!L65)</f>
        <v>56795</v>
      </c>
      <c r="M51" s="48">
        <f>L51</f>
        <v>56795</v>
      </c>
      <c r="N51" s="48">
        <f t="shared" ref="N51:P51" si="64">M51</f>
        <v>56795</v>
      </c>
      <c r="O51" s="48">
        <f t="shared" si="64"/>
        <v>56795</v>
      </c>
      <c r="P51" s="48">
        <f t="shared" si="64"/>
        <v>56795</v>
      </c>
      <c r="Q51" s="48">
        <f t="shared" ref="Q51:Q52" si="65">P51</f>
        <v>56795</v>
      </c>
      <c r="R51" s="48">
        <f t="shared" ref="R51:R52" si="66">Q51</f>
        <v>56795</v>
      </c>
      <c r="S51" s="48">
        <f t="shared" ref="S51:S52" si="67">R51</f>
        <v>56795</v>
      </c>
      <c r="T51" s="48">
        <f t="shared" ref="T51:T52" si="68">S51</f>
        <v>56795</v>
      </c>
      <c r="U51" s="48">
        <f t="shared" ref="U51:U52" si="69">T51</f>
        <v>56795</v>
      </c>
      <c r="V51" s="48">
        <f t="shared" ref="V51:V52" si="70">U51</f>
        <v>56795</v>
      </c>
    </row>
    <row r="52" spans="2:22" x14ac:dyDescent="0.3">
      <c r="D52" s="21" t="s">
        <v>184</v>
      </c>
      <c r="F52" s="21" t="s">
        <v>165</v>
      </c>
      <c r="H52" s="40">
        <f>Inputs!H67+Inputs!H66</f>
        <v>18925.739999999998</v>
      </c>
      <c r="I52" s="40">
        <f>Inputs!I67+Inputs!I66</f>
        <v>16873.239999999998</v>
      </c>
      <c r="J52" s="40">
        <f>Inputs!J67+Inputs!J66</f>
        <v>16157.25</v>
      </c>
      <c r="K52" s="40">
        <f>Inputs!K67+Inputs!K66</f>
        <v>14360.3</v>
      </c>
      <c r="L52" s="40">
        <f>Inputs!L67+Inputs!L66</f>
        <v>21418</v>
      </c>
      <c r="M52" s="48">
        <f>L52</f>
        <v>21418</v>
      </c>
      <c r="N52" s="48">
        <f t="shared" ref="N52:P52" si="71">M52</f>
        <v>21418</v>
      </c>
      <c r="O52" s="48">
        <f t="shared" si="71"/>
        <v>21418</v>
      </c>
      <c r="P52" s="48">
        <f t="shared" si="71"/>
        <v>21418</v>
      </c>
      <c r="Q52" s="48">
        <f t="shared" si="65"/>
        <v>21418</v>
      </c>
      <c r="R52" s="48">
        <f t="shared" si="66"/>
        <v>21418</v>
      </c>
      <c r="S52" s="48">
        <f t="shared" si="67"/>
        <v>21418</v>
      </c>
      <c r="T52" s="48">
        <f t="shared" si="68"/>
        <v>21418</v>
      </c>
      <c r="U52" s="48">
        <f t="shared" si="69"/>
        <v>21418</v>
      </c>
      <c r="V52" s="48">
        <f t="shared" si="70"/>
        <v>21418</v>
      </c>
    </row>
    <row r="53" spans="2:22" x14ac:dyDescent="0.3">
      <c r="H53" s="40"/>
      <c r="I53" s="40"/>
      <c r="J53" s="40"/>
      <c r="K53" s="40"/>
      <c r="L53" s="40"/>
      <c r="M53" s="48"/>
      <c r="N53" s="48"/>
      <c r="O53" s="48"/>
      <c r="P53" s="48"/>
    </row>
    <row r="54" spans="2:22" x14ac:dyDescent="0.3">
      <c r="C54" s="22" t="s">
        <v>185</v>
      </c>
      <c r="H54" s="40"/>
      <c r="I54" s="40"/>
      <c r="J54" s="40"/>
      <c r="K54" s="40"/>
      <c r="L54" s="40"/>
      <c r="M54" s="48"/>
      <c r="N54" s="48"/>
      <c r="O54" s="48"/>
      <c r="P54" s="48"/>
    </row>
    <row r="55" spans="2:22" x14ac:dyDescent="0.3">
      <c r="D55" s="21" t="s">
        <v>186</v>
      </c>
      <c r="F55" s="21" t="s">
        <v>165</v>
      </c>
      <c r="H55" s="40">
        <f>SUM(Inputs!H41,Inputs!H42,Inputs!H46,)</f>
        <v>70725.039999999994</v>
      </c>
      <c r="I55" s="40">
        <f>SUM(Inputs!I41,Inputs!I42,Inputs!I46,)</f>
        <v>65427.87</v>
      </c>
      <c r="J55" s="40">
        <f>SUM(Inputs!J41,Inputs!J42,Inputs!J46,)</f>
        <v>61695.29</v>
      </c>
      <c r="K55" s="40">
        <f>SUM(Inputs!K41,Inputs!K42,Inputs!K46,)</f>
        <v>58616.44</v>
      </c>
      <c r="L55" s="40">
        <f>SUM(Inputs!L41,Inputs!L42,Inputs!L46,)</f>
        <v>57218</v>
      </c>
      <c r="M55" s="48">
        <f t="shared" ref="M55:P55" si="72">M131</f>
        <v>56034.014722095315</v>
      </c>
      <c r="N55" s="48">
        <f t="shared" si="72"/>
        <v>55294.369793848309</v>
      </c>
      <c r="O55" s="48">
        <f t="shared" si="72"/>
        <v>54863.379478365707</v>
      </c>
      <c r="P55" s="48">
        <f t="shared" si="72"/>
        <v>54646.918427581368</v>
      </c>
      <c r="Q55" s="48">
        <f t="shared" ref="Q55:V55" si="73">Q131</f>
        <v>54579.692417698767</v>
      </c>
      <c r="R55" s="48">
        <f t="shared" si="73"/>
        <v>54616.407852495744</v>
      </c>
      <c r="S55" s="48">
        <f t="shared" si="73"/>
        <v>54725.645904966397</v>
      </c>
      <c r="T55" s="48">
        <f t="shared" si="73"/>
        <v>54885.612910330921</v>
      </c>
      <c r="U55" s="48">
        <f t="shared" si="73"/>
        <v>55081.192344972013</v>
      </c>
      <c r="V55" s="48">
        <f t="shared" si="73"/>
        <v>55301.899736584659</v>
      </c>
    </row>
    <row r="56" spans="2:22" x14ac:dyDescent="0.3">
      <c r="D56" s="21" t="s">
        <v>188</v>
      </c>
      <c r="F56" s="21" t="s">
        <v>165</v>
      </c>
      <c r="H56" s="40">
        <f>SUM(Inputs!H44,Inputs!H45,Inputs!H47)</f>
        <v>58562.020000000004</v>
      </c>
      <c r="I56" s="40">
        <f>SUM(Inputs!I44,Inputs!I45,Inputs!I47)</f>
        <v>54400.79</v>
      </c>
      <c r="J56" s="40">
        <f>SUM(Inputs!J44,Inputs!J45,Inputs!J47)</f>
        <v>45224.26</v>
      </c>
      <c r="K56" s="40">
        <f>SUM(Inputs!K44,Inputs!K45,Inputs!K47)</f>
        <v>36209.33</v>
      </c>
      <c r="L56" s="40">
        <f>SUM(Inputs!L44,Inputs!L45,Inputs!L47)</f>
        <v>27558</v>
      </c>
      <c r="M56" s="48">
        <f>L56</f>
        <v>27558</v>
      </c>
      <c r="N56" s="48">
        <f t="shared" ref="N56:P56" si="74">M56</f>
        <v>27558</v>
      </c>
      <c r="O56" s="48">
        <f t="shared" si="74"/>
        <v>27558</v>
      </c>
      <c r="P56" s="48">
        <f t="shared" si="74"/>
        <v>27558</v>
      </c>
      <c r="Q56" s="48">
        <f t="shared" ref="Q56:Q59" si="75">P56</f>
        <v>27558</v>
      </c>
      <c r="R56" s="48">
        <f t="shared" ref="R56:R59" si="76">Q56</f>
        <v>27558</v>
      </c>
      <c r="S56" s="48">
        <f t="shared" ref="S56:S59" si="77">R56</f>
        <v>27558</v>
      </c>
      <c r="T56" s="48">
        <f t="shared" ref="T56:T59" si="78">S56</f>
        <v>27558</v>
      </c>
      <c r="U56" s="48">
        <f t="shared" ref="U56:U59" si="79">T56</f>
        <v>27558</v>
      </c>
      <c r="V56" s="48">
        <f t="shared" ref="V56:V59" si="80">U56</f>
        <v>27558</v>
      </c>
    </row>
    <row r="57" spans="2:22" x14ac:dyDescent="0.3">
      <c r="D57" s="21" t="s">
        <v>180</v>
      </c>
      <c r="F57" s="21" t="s">
        <v>165</v>
      </c>
      <c r="H57" s="40">
        <f>SUM(Inputs!H43,Inputs!H48)</f>
        <v>11019.189999999999</v>
      </c>
      <c r="I57" s="40">
        <f>SUM(Inputs!I43,Inputs!I48)</f>
        <v>6425.67</v>
      </c>
      <c r="J57" s="40">
        <f>SUM(Inputs!J43,Inputs!J48)</f>
        <v>16876.830000000002</v>
      </c>
      <c r="K57" s="40">
        <f>SUM(Inputs!K43,Inputs!K48)</f>
        <v>16297.1</v>
      </c>
      <c r="L57" s="40">
        <f>SUM(Inputs!L43,Inputs!L48)</f>
        <v>12666</v>
      </c>
      <c r="M57" s="48">
        <f>L57</f>
        <v>12666</v>
      </c>
      <c r="N57" s="48">
        <f t="shared" ref="N57:P57" si="81">M57</f>
        <v>12666</v>
      </c>
      <c r="O57" s="48">
        <f t="shared" si="81"/>
        <v>12666</v>
      </c>
      <c r="P57" s="48">
        <f t="shared" si="81"/>
        <v>12666</v>
      </c>
      <c r="Q57" s="48">
        <f t="shared" si="75"/>
        <v>12666</v>
      </c>
      <c r="R57" s="48">
        <f t="shared" si="76"/>
        <v>12666</v>
      </c>
      <c r="S57" s="48">
        <f t="shared" si="77"/>
        <v>12666</v>
      </c>
      <c r="T57" s="48">
        <f t="shared" si="78"/>
        <v>12666</v>
      </c>
      <c r="U57" s="48">
        <f t="shared" si="79"/>
        <v>12666</v>
      </c>
      <c r="V57" s="48">
        <f t="shared" si="80"/>
        <v>12666</v>
      </c>
    </row>
    <row r="58" spans="2:22" x14ac:dyDescent="0.3">
      <c r="D58" s="21" t="s">
        <v>187</v>
      </c>
      <c r="F58" s="21" t="s">
        <v>165</v>
      </c>
      <c r="H58" s="40">
        <f>SUM(Inputs!H50:H52)</f>
        <v>28859.190000000002</v>
      </c>
      <c r="I58" s="40">
        <f>SUM(Inputs!I50:I52)</f>
        <v>19073.29</v>
      </c>
      <c r="J58" s="40">
        <f>SUM(Inputs!J50:J52)</f>
        <v>17831.650000000001</v>
      </c>
      <c r="K58" s="40">
        <f>SUM(Inputs!K50:K52)</f>
        <v>15527.150000000001</v>
      </c>
      <c r="L58" s="40">
        <f>SUM(Inputs!L50:L52)</f>
        <v>29200</v>
      </c>
      <c r="M58" s="48">
        <f>L58</f>
        <v>29200</v>
      </c>
      <c r="N58" s="48">
        <f t="shared" ref="N58:P58" si="82">M58</f>
        <v>29200</v>
      </c>
      <c r="O58" s="48">
        <f t="shared" si="82"/>
        <v>29200</v>
      </c>
      <c r="P58" s="48">
        <f t="shared" si="82"/>
        <v>29200</v>
      </c>
      <c r="Q58" s="48">
        <f t="shared" si="75"/>
        <v>29200</v>
      </c>
      <c r="R58" s="48">
        <f t="shared" si="76"/>
        <v>29200</v>
      </c>
      <c r="S58" s="48">
        <f t="shared" si="77"/>
        <v>29200</v>
      </c>
      <c r="T58" s="48">
        <f t="shared" si="78"/>
        <v>29200</v>
      </c>
      <c r="U58" s="48">
        <f t="shared" si="79"/>
        <v>29200</v>
      </c>
      <c r="V58" s="48">
        <f t="shared" si="80"/>
        <v>29200</v>
      </c>
    </row>
    <row r="59" spans="2:22" x14ac:dyDescent="0.3">
      <c r="D59" s="21" t="s">
        <v>189</v>
      </c>
      <c r="F59" s="21" t="s">
        <v>165</v>
      </c>
      <c r="H59" s="40">
        <f>Inputs!H55+Inputs!H53</f>
        <v>29308.050000000003</v>
      </c>
      <c r="I59" s="40">
        <f>Inputs!I55+Inputs!I53</f>
        <v>36976.18</v>
      </c>
      <c r="J59" s="40">
        <f>Inputs!J55+Inputs!J53</f>
        <v>44520.479999999996</v>
      </c>
      <c r="K59" s="40">
        <f>Inputs!K55+Inputs!K53</f>
        <v>53346.13</v>
      </c>
      <c r="L59" s="40">
        <f>Inputs!L55+Inputs!L53</f>
        <v>63516</v>
      </c>
      <c r="M59" s="48">
        <f>L59</f>
        <v>63516</v>
      </c>
      <c r="N59" s="48">
        <f t="shared" ref="N59:P59" si="83">M59</f>
        <v>63516</v>
      </c>
      <c r="O59" s="48">
        <f t="shared" si="83"/>
        <v>63516</v>
      </c>
      <c r="P59" s="48">
        <f t="shared" si="83"/>
        <v>63516</v>
      </c>
      <c r="Q59" s="48">
        <f t="shared" si="75"/>
        <v>63516</v>
      </c>
      <c r="R59" s="48">
        <f t="shared" si="76"/>
        <v>63516</v>
      </c>
      <c r="S59" s="48">
        <f t="shared" si="77"/>
        <v>63516</v>
      </c>
      <c r="T59" s="48">
        <f t="shared" si="78"/>
        <v>63516</v>
      </c>
      <c r="U59" s="48">
        <f t="shared" si="79"/>
        <v>63516</v>
      </c>
      <c r="V59" s="48">
        <f t="shared" si="80"/>
        <v>63516</v>
      </c>
    </row>
    <row r="60" spans="2:22" ht="16.2" thickBot="1" x14ac:dyDescent="0.35">
      <c r="D60" s="43" t="s">
        <v>190</v>
      </c>
      <c r="E60" s="44"/>
      <c r="F60" s="44" t="s">
        <v>165</v>
      </c>
      <c r="G60" s="44"/>
      <c r="H60" s="45">
        <f>SUM(H47:H59)</f>
        <v>305748.49</v>
      </c>
      <c r="I60" s="45">
        <f>SUM(I47:I59)</f>
        <v>310985.2</v>
      </c>
      <c r="J60" s="45">
        <f>SUM(J47:J59)</f>
        <v>327970.2</v>
      </c>
      <c r="K60" s="45">
        <f>SUM(K47:K59)</f>
        <v>353362.52999999997</v>
      </c>
      <c r="L60" s="45">
        <f>SUM(L47:L59)</f>
        <v>383644</v>
      </c>
      <c r="M60" s="45">
        <f t="shared" ref="M60:P60" si="84">SUM(M47:M59)</f>
        <v>430250.08374877134</v>
      </c>
      <c r="N60" s="45">
        <f t="shared" si="84"/>
        <v>482131.4230363784</v>
      </c>
      <c r="O60" s="45">
        <f t="shared" si="84"/>
        <v>538016.13471860765</v>
      </c>
      <c r="P60" s="45">
        <f t="shared" si="84"/>
        <v>598030.52697890322</v>
      </c>
      <c r="Q60" s="45">
        <f t="shared" ref="Q60:V60" si="85">SUM(Q47:Q59)</f>
        <v>661701.16468570707</v>
      </c>
      <c r="R60" s="45">
        <f t="shared" si="85"/>
        <v>729187.26568143768</v>
      </c>
      <c r="S60" s="45">
        <f t="shared" si="85"/>
        <v>799959.02568440104</v>
      </c>
      <c r="T60" s="45">
        <f t="shared" si="85"/>
        <v>874208.44777690072</v>
      </c>
      <c r="U60" s="45">
        <f t="shared" si="85"/>
        <v>951357.65183497686</v>
      </c>
      <c r="V60" s="45">
        <f t="shared" si="85"/>
        <v>1031634.549474341</v>
      </c>
    </row>
    <row r="61" spans="2:22" ht="16.2" thickTop="1" x14ac:dyDescent="0.3"/>
    <row r="63" spans="2:22" x14ac:dyDescent="0.3">
      <c r="B63" s="22" t="s">
        <v>191</v>
      </c>
      <c r="I63" s="21"/>
      <c r="K63" s="21"/>
    </row>
    <row r="64" spans="2:22" x14ac:dyDescent="0.3">
      <c r="C64" s="22" t="s">
        <v>192</v>
      </c>
    </row>
    <row r="65" spans="2:22" x14ac:dyDescent="0.3">
      <c r="D65" s="21" t="s">
        <v>193</v>
      </c>
      <c r="F65" s="21" t="s">
        <v>165</v>
      </c>
      <c r="H65" s="40">
        <f>SUM(Inputs!H91:H92)</f>
        <v>40873.449999999997</v>
      </c>
      <c r="I65" s="40">
        <f>SUM(Inputs!I91:I92)</f>
        <v>41629.54</v>
      </c>
      <c r="J65" s="40">
        <f>SUM(Inputs!J91:J92)</f>
        <v>45458.78</v>
      </c>
      <c r="K65" s="40">
        <f>SUM(Inputs!K91:K92)</f>
        <v>43559.909999999996</v>
      </c>
      <c r="L65" s="40">
        <f>SUM(Inputs!L91:L92)</f>
        <v>47706</v>
      </c>
      <c r="M65" s="48">
        <f t="shared" ref="M65:P65" si="86">-M27*M19/365</f>
        <v>51066.591870542332</v>
      </c>
      <c r="N65" s="48">
        <f t="shared" si="86"/>
        <v>55271.925711081494</v>
      </c>
      <c r="O65" s="48">
        <f t="shared" si="86"/>
        <v>59436.679131392921</v>
      </c>
      <c r="P65" s="48">
        <f t="shared" si="86"/>
        <v>63534.569429416937</v>
      </c>
      <c r="Q65" s="48">
        <f t="shared" ref="Q65:V65" si="87">-Q27*Q19/365</f>
        <v>67542.654924851857</v>
      </c>
      <c r="R65" s="48">
        <f t="shared" si="87"/>
        <v>71441.411385030879</v>
      </c>
      <c r="S65" s="48">
        <f t="shared" si="87"/>
        <v>75214.691958492287</v>
      </c>
      <c r="T65" s="48">
        <f t="shared" si="87"/>
        <v>78849.595152744907</v>
      </c>
      <c r="U65" s="48">
        <f t="shared" si="87"/>
        <v>82336.264227739346</v>
      </c>
      <c r="V65" s="48">
        <f t="shared" si="87"/>
        <v>85667.639166250287</v>
      </c>
    </row>
    <row r="66" spans="2:22" x14ac:dyDescent="0.3">
      <c r="D66" s="21" t="s">
        <v>194</v>
      </c>
      <c r="F66" s="21" t="s">
        <v>165</v>
      </c>
      <c r="H66" s="40">
        <f>SUM(Inputs!H93:H96)</f>
        <v>23531.82</v>
      </c>
      <c r="I66" s="40">
        <f>SUM(Inputs!I93:I96)</f>
        <v>22613.06</v>
      </c>
      <c r="J66" s="40">
        <f>SUM(Inputs!J93:J96)</f>
        <v>22571.480000000003</v>
      </c>
      <c r="K66" s="40">
        <f>SUM(Inputs!K93:K96)</f>
        <v>27124.109999999997</v>
      </c>
      <c r="L66" s="40">
        <f>SUM(Inputs!L93:L96)</f>
        <v>22338</v>
      </c>
      <c r="M66" s="48">
        <f>L66</f>
        <v>22338</v>
      </c>
      <c r="N66" s="48">
        <f t="shared" ref="N66:P66" si="88">M66</f>
        <v>22338</v>
      </c>
      <c r="O66" s="48">
        <f t="shared" si="88"/>
        <v>22338</v>
      </c>
      <c r="P66" s="48">
        <f t="shared" si="88"/>
        <v>22338</v>
      </c>
      <c r="Q66" s="48">
        <f t="shared" ref="Q66" si="89">P66</f>
        <v>22338</v>
      </c>
      <c r="R66" s="48">
        <f t="shared" ref="R66" si="90">Q66</f>
        <v>22338</v>
      </c>
      <c r="S66" s="48">
        <f t="shared" ref="S66" si="91">R66</f>
        <v>22338</v>
      </c>
      <c r="T66" s="48">
        <f t="shared" ref="T66" si="92">S66</f>
        <v>22338</v>
      </c>
      <c r="U66" s="48">
        <f t="shared" ref="U66" si="93">T66</f>
        <v>22338</v>
      </c>
      <c r="V66" s="48">
        <f t="shared" ref="V66" si="94">U66</f>
        <v>22338</v>
      </c>
    </row>
    <row r="67" spans="2:22" x14ac:dyDescent="0.3">
      <c r="C67" s="22" t="s">
        <v>195</v>
      </c>
      <c r="H67" s="40"/>
      <c r="I67" s="40"/>
      <c r="J67" s="40"/>
      <c r="K67" s="40"/>
      <c r="L67" s="40"/>
      <c r="M67" s="48"/>
      <c r="N67" s="48"/>
      <c r="O67" s="48"/>
      <c r="P67" s="48"/>
      <c r="Q67" s="48"/>
      <c r="R67" s="48"/>
      <c r="S67" s="48"/>
      <c r="T67" s="48"/>
      <c r="U67" s="48"/>
      <c r="V67" s="48"/>
    </row>
    <row r="68" spans="2:22" x14ac:dyDescent="0.3">
      <c r="D68" s="21" t="s">
        <v>265</v>
      </c>
      <c r="F68" s="21" t="s">
        <v>165</v>
      </c>
      <c r="H68" s="40">
        <f>SUM(Inputs!H80,Inputs!H88:H89)</f>
        <v>28155.54</v>
      </c>
      <c r="I68" s="40">
        <f>SUM(Inputs!I80,Inputs!I88:I89)</f>
        <v>9050.8000000000011</v>
      </c>
      <c r="J68" s="40">
        <f>SUM(Inputs!J80,Inputs!J88:J89)</f>
        <v>9395.59</v>
      </c>
      <c r="K68" s="40">
        <f>SUM(Inputs!K80,Inputs!K88:K89)</f>
        <v>8979.09</v>
      </c>
      <c r="L68" s="40">
        <f>SUM(Inputs!L80,Inputs!L88:L89)</f>
        <v>16192</v>
      </c>
      <c r="M68" s="48">
        <f t="shared" ref="M68:P68" si="95">M137</f>
        <v>16192</v>
      </c>
      <c r="N68" s="48">
        <f t="shared" si="95"/>
        <v>16192</v>
      </c>
      <c r="O68" s="48">
        <f t="shared" si="95"/>
        <v>16192</v>
      </c>
      <c r="P68" s="48">
        <f t="shared" si="95"/>
        <v>16192</v>
      </c>
      <c r="Q68" s="48">
        <f t="shared" ref="Q68:V68" si="96">Q137</f>
        <v>16192</v>
      </c>
      <c r="R68" s="48">
        <f t="shared" si="96"/>
        <v>16192</v>
      </c>
      <c r="S68" s="48">
        <f t="shared" si="96"/>
        <v>16192</v>
      </c>
      <c r="T68" s="48">
        <f t="shared" si="96"/>
        <v>16192</v>
      </c>
      <c r="U68" s="48">
        <f t="shared" si="96"/>
        <v>16192</v>
      </c>
      <c r="V68" s="48">
        <f t="shared" si="96"/>
        <v>16192</v>
      </c>
    </row>
    <row r="69" spans="2:22" x14ac:dyDescent="0.3">
      <c r="D69" s="21" t="s">
        <v>196</v>
      </c>
      <c r="F69" s="21" t="s">
        <v>165</v>
      </c>
      <c r="H69" s="40">
        <f>SUM(Inputs!H81:H84)</f>
        <v>5758.4</v>
      </c>
      <c r="I69" s="40">
        <f>SUM(Inputs!I81:I84)</f>
        <v>6415.3300000000008</v>
      </c>
      <c r="J69" s="40">
        <f>SUM(Inputs!J81:J84)</f>
        <v>4773.6400000000003</v>
      </c>
      <c r="K69" s="40">
        <f>SUM(Inputs!K81:K84)</f>
        <v>4363.5599999999995</v>
      </c>
      <c r="L69" s="40">
        <f>SUM(Inputs!L81:L84)</f>
        <v>5164</v>
      </c>
      <c r="M69" s="48">
        <f>L69</f>
        <v>5164</v>
      </c>
      <c r="N69" s="48">
        <f t="shared" ref="N69:P69" si="97">M69</f>
        <v>5164</v>
      </c>
      <c r="O69" s="48">
        <f t="shared" si="97"/>
        <v>5164</v>
      </c>
      <c r="P69" s="48">
        <f t="shared" si="97"/>
        <v>5164</v>
      </c>
      <c r="Q69" s="48">
        <f t="shared" ref="Q69" si="98">P69</f>
        <v>5164</v>
      </c>
      <c r="R69" s="48">
        <f t="shared" ref="R69" si="99">Q69</f>
        <v>5164</v>
      </c>
      <c r="S69" s="48">
        <f t="shared" ref="S69" si="100">R69</f>
        <v>5164</v>
      </c>
      <c r="T69" s="48">
        <f t="shared" ref="T69" si="101">S69</f>
        <v>5164</v>
      </c>
      <c r="U69" s="48">
        <f t="shared" ref="U69" si="102">T69</f>
        <v>5164</v>
      </c>
      <c r="V69" s="48">
        <f t="shared" ref="V69" si="103">U69</f>
        <v>5164</v>
      </c>
    </row>
    <row r="70" spans="2:22" x14ac:dyDescent="0.3">
      <c r="D70" s="37" t="s">
        <v>197</v>
      </c>
      <c r="E70" s="38"/>
      <c r="F70" s="38" t="s">
        <v>165</v>
      </c>
      <c r="G70" s="38"/>
      <c r="H70" s="41">
        <f>SUM(H65:H69)</f>
        <v>98319.209999999992</v>
      </c>
      <c r="I70" s="41">
        <f>SUM(I65:I69)</f>
        <v>79708.73000000001</v>
      </c>
      <c r="J70" s="41">
        <f>SUM(J65:J69)</f>
        <v>82199.490000000005</v>
      </c>
      <c r="K70" s="41">
        <f>SUM(K65:K69)</f>
        <v>84026.669999999984</v>
      </c>
      <c r="L70" s="41">
        <f>SUM(L65:L69)</f>
        <v>91400</v>
      </c>
      <c r="M70" s="41">
        <f t="shared" ref="M70:P70" si="104">SUM(M65:M69)</f>
        <v>94760.591870542325</v>
      </c>
      <c r="N70" s="41">
        <f t="shared" si="104"/>
        <v>98965.925711081494</v>
      </c>
      <c r="O70" s="41">
        <f t="shared" si="104"/>
        <v>103130.67913139291</v>
      </c>
      <c r="P70" s="41">
        <f t="shared" si="104"/>
        <v>107228.56942941694</v>
      </c>
      <c r="Q70" s="41">
        <f t="shared" ref="Q70:V70" si="105">SUM(Q65:Q69)</f>
        <v>111236.65492485186</v>
      </c>
      <c r="R70" s="41">
        <f t="shared" si="105"/>
        <v>115135.41138503088</v>
      </c>
      <c r="S70" s="41">
        <f t="shared" si="105"/>
        <v>118908.69195849229</v>
      </c>
      <c r="T70" s="41">
        <f t="shared" si="105"/>
        <v>122543.59515274491</v>
      </c>
      <c r="U70" s="41">
        <f t="shared" si="105"/>
        <v>126030.26422773935</v>
      </c>
      <c r="V70" s="41">
        <f t="shared" si="105"/>
        <v>129361.63916625029</v>
      </c>
    </row>
    <row r="72" spans="2:22" x14ac:dyDescent="0.3">
      <c r="C72" s="22" t="s">
        <v>200</v>
      </c>
    </row>
    <row r="73" spans="2:22" x14ac:dyDescent="0.3">
      <c r="D73" s="21" t="s">
        <v>198</v>
      </c>
      <c r="F73" s="21" t="s">
        <v>165</v>
      </c>
      <c r="H73" s="40">
        <f>Inputs!H72</f>
        <v>4411.5</v>
      </c>
      <c r="I73" s="40">
        <f>Inputs!I72</f>
        <v>4411.5</v>
      </c>
      <c r="J73" s="40">
        <f>Inputs!J72</f>
        <v>4365</v>
      </c>
      <c r="K73" s="40">
        <f>Inputs!K72</f>
        <v>4365</v>
      </c>
      <c r="L73" s="40">
        <f>Inputs!L72</f>
        <v>4365</v>
      </c>
      <c r="M73" s="48">
        <f>L73</f>
        <v>4365</v>
      </c>
      <c r="N73" s="48">
        <f t="shared" ref="N73:P73" si="106">M73</f>
        <v>4365</v>
      </c>
      <c r="O73" s="48">
        <f t="shared" si="106"/>
        <v>4365</v>
      </c>
      <c r="P73" s="48">
        <f t="shared" si="106"/>
        <v>4365</v>
      </c>
      <c r="Q73" s="48">
        <f t="shared" ref="Q73" si="107">P73</f>
        <v>4365</v>
      </c>
      <c r="R73" s="48">
        <f t="shared" ref="R73" si="108">Q73</f>
        <v>4365</v>
      </c>
      <c r="S73" s="48">
        <f t="shared" ref="S73" si="109">R73</f>
        <v>4365</v>
      </c>
      <c r="T73" s="48">
        <f t="shared" ref="T73" si="110">S73</f>
        <v>4365</v>
      </c>
      <c r="U73" s="48">
        <f t="shared" ref="U73" si="111">T73</f>
        <v>4365</v>
      </c>
      <c r="V73" s="48">
        <f t="shared" ref="V73" si="112">U73</f>
        <v>4365</v>
      </c>
    </row>
    <row r="74" spans="2:22" x14ac:dyDescent="0.3">
      <c r="B74" s="33"/>
      <c r="D74" s="21" t="s">
        <v>199</v>
      </c>
      <c r="F74" s="21" t="s">
        <v>165</v>
      </c>
      <c r="H74" s="40">
        <f>Inputs!H73</f>
        <v>203247.87</v>
      </c>
      <c r="I74" s="40">
        <f>Inputs!I73</f>
        <v>225868.49</v>
      </c>
      <c r="J74" s="40">
        <f>Inputs!J73</f>
        <v>240293.49</v>
      </c>
      <c r="K74" s="40">
        <f>Inputs!K73</f>
        <v>265114.28999999998</v>
      </c>
      <c r="L74" s="40">
        <f>Inputs!L73</f>
        <v>288033</v>
      </c>
      <c r="M74" s="48">
        <f>SUM(L74,M39,M104)</f>
        <v>331278.49187822908</v>
      </c>
      <c r="N74" s="48">
        <f>SUM(M74,N39,N104)</f>
        <v>378954.49732529698</v>
      </c>
      <c r="O74" s="48">
        <f>SUM(N74,O39,O104)</f>
        <v>430674.45558721479</v>
      </c>
      <c r="P74" s="48">
        <f>SUM(O74,P39,P104)</f>
        <v>486590.95754948643</v>
      </c>
      <c r="Q74" s="48">
        <f t="shared" ref="Q74:V74" si="113">SUM(P74,Q39,Q104)</f>
        <v>546253.50976085535</v>
      </c>
      <c r="R74" s="48">
        <f t="shared" si="113"/>
        <v>609840.85429640696</v>
      </c>
      <c r="S74" s="48">
        <f t="shared" si="113"/>
        <v>676839.333725909</v>
      </c>
      <c r="T74" s="48">
        <f t="shared" si="113"/>
        <v>747453.85262415616</v>
      </c>
      <c r="U74" s="48">
        <f t="shared" si="113"/>
        <v>821116.38760723779</v>
      </c>
      <c r="V74" s="48">
        <f t="shared" si="113"/>
        <v>898061.91030809097</v>
      </c>
    </row>
    <row r="75" spans="2:22" x14ac:dyDescent="0.3">
      <c r="C75" s="22"/>
      <c r="D75" s="37" t="s">
        <v>200</v>
      </c>
      <c r="E75" s="38"/>
      <c r="F75" s="38" t="s">
        <v>165</v>
      </c>
      <c r="G75" s="38"/>
      <c r="H75" s="41">
        <f>SUM(H73:H74)</f>
        <v>207659.37</v>
      </c>
      <c r="I75" s="41">
        <f>SUM(I73:I74)</f>
        <v>230279.99</v>
      </c>
      <c r="J75" s="41">
        <f>SUM(J73:J74)</f>
        <v>244658.49</v>
      </c>
      <c r="K75" s="41">
        <f>SUM(K73:K74)</f>
        <v>269479.28999999998</v>
      </c>
      <c r="L75" s="41">
        <f>SUM(L73:L74)</f>
        <v>292398</v>
      </c>
      <c r="M75" s="41">
        <f t="shared" ref="M75:P75" si="114">SUM(M73:M74)</f>
        <v>335643.49187822908</v>
      </c>
      <c r="N75" s="41">
        <f t="shared" si="114"/>
        <v>383319.49732529698</v>
      </c>
      <c r="O75" s="41">
        <f t="shared" si="114"/>
        <v>435039.45558721479</v>
      </c>
      <c r="P75" s="41">
        <f t="shared" si="114"/>
        <v>490955.95754948643</v>
      </c>
      <c r="Q75" s="41">
        <f t="shared" ref="Q75:V75" si="115">SUM(Q73:Q74)</f>
        <v>550618.50976085535</v>
      </c>
      <c r="R75" s="41">
        <f t="shared" si="115"/>
        <v>614205.85429640696</v>
      </c>
      <c r="S75" s="41">
        <f t="shared" si="115"/>
        <v>681204.333725909</v>
      </c>
      <c r="T75" s="41">
        <f t="shared" si="115"/>
        <v>751818.85262415616</v>
      </c>
      <c r="U75" s="41">
        <f t="shared" si="115"/>
        <v>825481.38760723779</v>
      </c>
      <c r="V75" s="41">
        <f t="shared" si="115"/>
        <v>902426.91030809097</v>
      </c>
    </row>
    <row r="76" spans="2:22" x14ac:dyDescent="0.3">
      <c r="D76" s="21" t="s">
        <v>201</v>
      </c>
      <c r="F76" s="21" t="s">
        <v>165</v>
      </c>
      <c r="H76" s="40">
        <f>Inputs!H75</f>
        <v>-230.09</v>
      </c>
      <c r="I76" s="40">
        <f>Inputs!I75</f>
        <v>996.48</v>
      </c>
      <c r="J76" s="40">
        <f>Inputs!J75</f>
        <v>1112.22</v>
      </c>
      <c r="K76" s="40">
        <f>Inputs!K75</f>
        <v>-143.43</v>
      </c>
      <c r="L76" s="40">
        <f>Inputs!L75</f>
        <v>-154</v>
      </c>
      <c r="M76" s="48">
        <f>L76</f>
        <v>-154</v>
      </c>
      <c r="N76" s="48">
        <f t="shared" ref="N76:P76" si="116">M76</f>
        <v>-154</v>
      </c>
      <c r="O76" s="48">
        <f t="shared" si="116"/>
        <v>-154</v>
      </c>
      <c r="P76" s="48">
        <f t="shared" si="116"/>
        <v>-154</v>
      </c>
      <c r="Q76" s="48">
        <f t="shared" ref="Q76" si="117">P76</f>
        <v>-154</v>
      </c>
      <c r="R76" s="48">
        <f t="shared" ref="R76" si="118">Q76</f>
        <v>-154</v>
      </c>
      <c r="S76" s="48">
        <f t="shared" ref="S76" si="119">R76</f>
        <v>-154</v>
      </c>
      <c r="T76" s="48">
        <f t="shared" ref="T76" si="120">S76</f>
        <v>-154</v>
      </c>
      <c r="U76" s="48">
        <f t="shared" ref="U76" si="121">T76</f>
        <v>-154</v>
      </c>
      <c r="V76" s="48">
        <f t="shared" ref="V76" si="122">U76</f>
        <v>-154</v>
      </c>
    </row>
    <row r="77" spans="2:22" ht="16.2" thickBot="1" x14ac:dyDescent="0.35">
      <c r="D77" s="43" t="s">
        <v>202</v>
      </c>
      <c r="E77" s="44"/>
      <c r="F77" s="44" t="s">
        <v>165</v>
      </c>
      <c r="G77" s="44"/>
      <c r="H77" s="45">
        <f>SUM(H70,H75:H76)</f>
        <v>305748.48999999993</v>
      </c>
      <c r="I77" s="45">
        <f>SUM(I70,I75:I76)</f>
        <v>310985.19999999995</v>
      </c>
      <c r="J77" s="45">
        <f>SUM(J70,J75:J76)</f>
        <v>327970.19999999995</v>
      </c>
      <c r="K77" s="45">
        <f>SUM(K70,K75:K76)</f>
        <v>353362.52999999997</v>
      </c>
      <c r="L77" s="45">
        <f>SUM(L70,L75:L76)</f>
        <v>383644</v>
      </c>
      <c r="M77" s="45">
        <f t="shared" ref="M77:P77" si="123">SUM(M70,M75:M76)</f>
        <v>430250.0837487714</v>
      </c>
      <c r="N77" s="45">
        <f t="shared" si="123"/>
        <v>482131.42303637846</v>
      </c>
      <c r="O77" s="45">
        <f t="shared" si="123"/>
        <v>538016.13471860765</v>
      </c>
      <c r="P77" s="45">
        <f t="shared" si="123"/>
        <v>598030.52697890333</v>
      </c>
      <c r="Q77" s="45">
        <f t="shared" ref="Q77:V77" si="124">SUM(Q70,Q75:Q76)</f>
        <v>661701.16468570719</v>
      </c>
      <c r="R77" s="45">
        <f t="shared" si="124"/>
        <v>729187.2656814378</v>
      </c>
      <c r="S77" s="45">
        <f t="shared" si="124"/>
        <v>799959.02568440128</v>
      </c>
      <c r="T77" s="45">
        <f t="shared" si="124"/>
        <v>874208.44777690107</v>
      </c>
      <c r="U77" s="45">
        <f t="shared" si="124"/>
        <v>951357.65183497709</v>
      </c>
      <c r="V77" s="45">
        <f t="shared" si="124"/>
        <v>1031634.5494743412</v>
      </c>
    </row>
    <row r="78" spans="2:22" ht="16.2" thickTop="1" x14ac:dyDescent="0.3"/>
    <row r="79" spans="2:22" x14ac:dyDescent="0.3">
      <c r="D79" s="21" t="s">
        <v>203</v>
      </c>
      <c r="H79" s="198">
        <f>H60-H77</f>
        <v>0</v>
      </c>
      <c r="I79" s="198">
        <f>I60-I77</f>
        <v>0</v>
      </c>
      <c r="J79" s="198">
        <f>J60-J77</f>
        <v>0</v>
      </c>
      <c r="K79" s="198">
        <f>K60-K77</f>
        <v>0</v>
      </c>
      <c r="L79" s="198">
        <f>L60-L77</f>
        <v>0</v>
      </c>
      <c r="M79" s="198">
        <f t="shared" ref="M79:P79" si="125">M60-M77</f>
        <v>0</v>
      </c>
      <c r="N79" s="198">
        <f t="shared" si="125"/>
        <v>0</v>
      </c>
      <c r="O79" s="198">
        <f t="shared" si="125"/>
        <v>0</v>
      </c>
      <c r="P79" s="198">
        <f t="shared" si="125"/>
        <v>0</v>
      </c>
      <c r="Q79" s="198">
        <f t="shared" ref="Q79:V79" si="126">Q60-Q77</f>
        <v>0</v>
      </c>
      <c r="R79" s="198">
        <f t="shared" si="126"/>
        <v>0</v>
      </c>
      <c r="S79" s="198">
        <f t="shared" si="126"/>
        <v>0</v>
      </c>
      <c r="T79" s="198">
        <f t="shared" si="126"/>
        <v>0</v>
      </c>
      <c r="U79" s="198">
        <f t="shared" si="126"/>
        <v>0</v>
      </c>
      <c r="V79" s="198">
        <f t="shared" si="126"/>
        <v>0</v>
      </c>
    </row>
    <row r="82" spans="1:22" x14ac:dyDescent="0.3">
      <c r="A82" s="20" t="s">
        <v>204</v>
      </c>
      <c r="B82" s="29"/>
      <c r="C82" s="29"/>
      <c r="D82" s="29"/>
      <c r="E82" s="29"/>
      <c r="F82" s="29"/>
      <c r="G82" s="29"/>
      <c r="H82" s="30"/>
      <c r="I82" s="30"/>
      <c r="J82" s="30"/>
      <c r="K82" s="30"/>
      <c r="L82" s="29"/>
      <c r="M82" s="29"/>
      <c r="N82" s="29"/>
      <c r="O82" s="29"/>
      <c r="P82" s="29"/>
      <c r="Q82" s="29"/>
      <c r="R82" s="29"/>
      <c r="S82" s="29"/>
      <c r="T82" s="29"/>
      <c r="U82" s="29"/>
      <c r="V82" s="29"/>
    </row>
    <row r="84" spans="1:22" x14ac:dyDescent="0.3">
      <c r="C84" s="22" t="s">
        <v>205</v>
      </c>
      <c r="M84" s="46"/>
    </row>
    <row r="85" spans="1:22" x14ac:dyDescent="0.3">
      <c r="D85" s="21" t="s">
        <v>328</v>
      </c>
      <c r="F85" s="21" t="s">
        <v>165</v>
      </c>
      <c r="H85" s="50">
        <f>Inputs!H104-Inputs!H136</f>
        <v>54540.93</v>
      </c>
      <c r="I85" s="50">
        <f>Inputs!I104-Inputs!I136</f>
        <v>55250.57</v>
      </c>
      <c r="J85" s="50">
        <f>Inputs!J104-Inputs!J136</f>
        <v>64453.97</v>
      </c>
      <c r="K85" s="50">
        <f>Inputs!K104-Inputs!K136</f>
        <v>70906.52</v>
      </c>
      <c r="L85" s="50">
        <f>Inputs!L104-Inputs!L136</f>
        <v>67417</v>
      </c>
      <c r="M85" s="53">
        <f t="shared" ref="M85:P85" si="127">M39</f>
        <v>89365.600341830956</v>
      </c>
      <c r="N85" s="53">
        <f t="shared" si="127"/>
        <v>98521.132807892165</v>
      </c>
      <c r="O85" s="53">
        <f t="shared" si="127"/>
        <v>106877.84827943088</v>
      </c>
      <c r="P85" s="53">
        <f t="shared" si="127"/>
        <v>115549.88855125506</v>
      </c>
      <c r="Q85" s="53">
        <f t="shared" ref="Q85:V85" si="128">Q39</f>
        <v>123290.99669644373</v>
      </c>
      <c r="R85" s="53">
        <f t="shared" si="128"/>
        <v>131401.47034431456</v>
      </c>
      <c r="S85" s="53">
        <f t="shared" si="128"/>
        <v>138450.48526830296</v>
      </c>
      <c r="T85" s="53">
        <f t="shared" si="128"/>
        <v>145922.9297694336</v>
      </c>
      <c r="U85" s="53">
        <f t="shared" si="128"/>
        <v>152221.56982282409</v>
      </c>
      <c r="V85" s="53">
        <f t="shared" si="128"/>
        <v>159005.77218869468</v>
      </c>
    </row>
    <row r="86" spans="1:22" x14ac:dyDescent="0.3">
      <c r="D86" s="21" t="s">
        <v>206</v>
      </c>
      <c r="F86" s="21" t="s">
        <v>165</v>
      </c>
      <c r="H86" s="50">
        <f>-H33</f>
        <v>33477.789999999994</v>
      </c>
      <c r="I86" s="50">
        <f>-I33</f>
        <v>24724.9</v>
      </c>
      <c r="J86" s="50">
        <f>-J33</f>
        <v>18590.59</v>
      </c>
      <c r="K86" s="50">
        <f>-K33</f>
        <v>17821.400000000001</v>
      </c>
      <c r="L86" s="50">
        <f>-L33</f>
        <v>17734</v>
      </c>
      <c r="M86" s="53">
        <f t="shared" ref="M86:P86" si="129">-M33</f>
        <v>17524.947777904679</v>
      </c>
      <c r="N86" s="53">
        <f t="shared" si="129"/>
        <v>17162.312240747007</v>
      </c>
      <c r="O86" s="53">
        <f t="shared" si="129"/>
        <v>16935.7709645451</v>
      </c>
      <c r="P86" s="53">
        <f t="shared" si="129"/>
        <v>16803.765603092143</v>
      </c>
      <c r="Q86" s="53">
        <f t="shared" ref="Q86:V86" si="130">-Q33</f>
        <v>16737.467084951943</v>
      </c>
      <c r="R86" s="53">
        <f t="shared" si="130"/>
        <v>16716.876845647712</v>
      </c>
      <c r="S86" s="53">
        <f t="shared" si="130"/>
        <v>16728.122189376259</v>
      </c>
      <c r="T86" s="53">
        <f t="shared" si="130"/>
        <v>16761.58003769162</v>
      </c>
      <c r="U86" s="53">
        <f t="shared" si="130"/>
        <v>16810.575343630328</v>
      </c>
      <c r="V86" s="53">
        <f t="shared" si="130"/>
        <v>16870.47816055013</v>
      </c>
    </row>
    <row r="87" spans="1:22" x14ac:dyDescent="0.3">
      <c r="D87" s="21" t="s">
        <v>207</v>
      </c>
      <c r="F87" s="21" t="s">
        <v>165</v>
      </c>
      <c r="H87" s="50">
        <f>SUM(Inputs!H106,Inputs!H108:H123)</f>
        <v>-6723.4500000000007</v>
      </c>
      <c r="I87" s="50">
        <f>SUM(Inputs!I106,Inputs!I108:I123)</f>
        <v>-3963.6600000000003</v>
      </c>
      <c r="J87" s="50">
        <f>SUM(Inputs!J106,Inputs!J108:J123)</f>
        <v>-1769.32</v>
      </c>
      <c r="K87" s="50">
        <f>SUM(Inputs!K106,Inputs!K108:K123)</f>
        <v>-3753.2999999999997</v>
      </c>
      <c r="L87" s="50">
        <f>SUM(Inputs!L106,Inputs!L108:L124)</f>
        <v>-5956</v>
      </c>
      <c r="M87" s="53">
        <f t="shared" ref="M87:P87" si="131">-M35-M36</f>
        <v>-5049.8341992144451</v>
      </c>
      <c r="N87" s="53">
        <f t="shared" si="131"/>
        <v>-5630.9705703190375</v>
      </c>
      <c r="O87" s="53">
        <f t="shared" si="131"/>
        <v>-6206.4991207265648</v>
      </c>
      <c r="P87" s="53">
        <f t="shared" si="131"/>
        <v>-6772.7878357915924</v>
      </c>
      <c r="Q87" s="53">
        <f t="shared" ref="Q87:V87" si="132">-Q35-Q36</f>
        <v>-7326.6663976884483</v>
      </c>
      <c r="R87" s="53">
        <f t="shared" si="132"/>
        <v>-7865.4367467265492</v>
      </c>
      <c r="S87" s="53">
        <f t="shared" si="132"/>
        <v>-8386.8675445582103</v>
      </c>
      <c r="T87" s="53">
        <f t="shared" si="132"/>
        <v>-8889.1759299856167</v>
      </c>
      <c r="U87" s="53">
        <f t="shared" si="132"/>
        <v>-9370.9997970831937</v>
      </c>
      <c r="V87" s="53">
        <f t="shared" si="132"/>
        <v>-9831.3635199087803</v>
      </c>
    </row>
    <row r="88" spans="1:22" x14ac:dyDescent="0.3">
      <c r="D88" s="21" t="s">
        <v>208</v>
      </c>
      <c r="F88" s="21" t="s">
        <v>165</v>
      </c>
      <c r="H88" s="50">
        <f>H124</f>
        <v>-16909.919999999998</v>
      </c>
      <c r="I88" s="50">
        <f>I124</f>
        <v>-1124.2199999999993</v>
      </c>
      <c r="J88" s="50">
        <f>J124</f>
        <v>-3374.6600000000008</v>
      </c>
      <c r="K88" s="50">
        <f>K124</f>
        <v>4611.7199999999993</v>
      </c>
      <c r="L88" s="50">
        <f>L124</f>
        <v>858</v>
      </c>
      <c r="M88" s="53">
        <f t="shared" ref="M88:P88" si="133">M124</f>
        <v>-9394.9315441099825</v>
      </c>
      <c r="N88" s="53">
        <f t="shared" si="133"/>
        <v>-2962.7826626574606</v>
      </c>
      <c r="O88" s="53">
        <f t="shared" si="133"/>
        <v>-2934.1925506584739</v>
      </c>
      <c r="P88" s="53">
        <f t="shared" si="133"/>
        <v>-2887.0854940023273</v>
      </c>
      <c r="Q88" s="53">
        <f t="shared" ref="Q88:V88" si="134">Q124</f>
        <v>-2823.8153418043585</v>
      </c>
      <c r="R88" s="53">
        <f t="shared" si="134"/>
        <v>-2746.7897874812115</v>
      </c>
      <c r="S88" s="53">
        <f t="shared" si="134"/>
        <v>-2658.388296459314</v>
      </c>
      <c r="T88" s="53">
        <f t="shared" si="134"/>
        <v>-2560.8973205773291</v>
      </c>
      <c r="U88" s="53">
        <f t="shared" si="134"/>
        <v>-2456.4619784128809</v>
      </c>
      <c r="V88" s="53">
        <f t="shared" si="134"/>
        <v>-2347.0526443071431</v>
      </c>
    </row>
    <row r="89" spans="1:22" x14ac:dyDescent="0.3">
      <c r="D89" s="37" t="s">
        <v>209</v>
      </c>
      <c r="E89" s="38"/>
      <c r="F89" s="38" t="s">
        <v>165</v>
      </c>
      <c r="G89" s="38"/>
      <c r="H89" s="51">
        <f>SUM(H85:H88)</f>
        <v>64385.350000000006</v>
      </c>
      <c r="I89" s="51">
        <f>SUM(I85:I88)</f>
        <v>74887.59</v>
      </c>
      <c r="J89" s="51">
        <f>SUM(J85:J88)</f>
        <v>77900.579999999987</v>
      </c>
      <c r="K89" s="51">
        <f>SUM(K85:K88)</f>
        <v>89586.340000000011</v>
      </c>
      <c r="L89" s="51">
        <f>SUM(L85:L88)</f>
        <v>80053</v>
      </c>
      <c r="M89" s="51">
        <f t="shared" ref="M89:P89" si="135">SUM(M85:M88)</f>
        <v>92445.782376411225</v>
      </c>
      <c r="N89" s="51">
        <f t="shared" si="135"/>
        <v>107089.69181566266</v>
      </c>
      <c r="O89" s="51">
        <f t="shared" si="135"/>
        <v>114672.92757259094</v>
      </c>
      <c r="P89" s="51">
        <f t="shared" si="135"/>
        <v>122693.78082455328</v>
      </c>
      <c r="Q89" s="51">
        <f t="shared" ref="Q89:V89" si="136">SUM(Q85:Q88)</f>
        <v>129877.98204190287</v>
      </c>
      <c r="R89" s="51">
        <f t="shared" si="136"/>
        <v>137506.12065575452</v>
      </c>
      <c r="S89" s="51">
        <f t="shared" si="136"/>
        <v>144133.3516166617</v>
      </c>
      <c r="T89" s="51">
        <f t="shared" si="136"/>
        <v>151234.43655656229</v>
      </c>
      <c r="U89" s="51">
        <f t="shared" si="136"/>
        <v>157204.68339095835</v>
      </c>
      <c r="V89" s="51">
        <f t="shared" si="136"/>
        <v>163697.83418502889</v>
      </c>
    </row>
    <row r="91" spans="1:22" x14ac:dyDescent="0.3">
      <c r="C91" s="22" t="s">
        <v>210</v>
      </c>
      <c r="D91" s="22"/>
    </row>
    <row r="92" spans="1:22" x14ac:dyDescent="0.3">
      <c r="D92" s="21" t="s">
        <v>211</v>
      </c>
      <c r="F92" s="21" t="s">
        <v>165</v>
      </c>
      <c r="H92" s="50">
        <f>Inputs!H148</f>
        <v>-48356.160000000003</v>
      </c>
      <c r="I92" s="50">
        <f>Inputs!I148</f>
        <v>-4045.88</v>
      </c>
      <c r="J92" s="50">
        <f>Inputs!J148</f>
        <v>-4058.51</v>
      </c>
      <c r="K92" s="50">
        <f>Inputs!K148</f>
        <v>-4457.43</v>
      </c>
      <c r="L92" s="50">
        <f>Inputs!L148</f>
        <v>-4332</v>
      </c>
      <c r="M92" s="53">
        <f t="shared" ref="M92:P92" si="137">-M129</f>
        <v>-16340.962500000001</v>
      </c>
      <c r="N92" s="53">
        <f t="shared" si="137"/>
        <v>-16422.667312499998</v>
      </c>
      <c r="O92" s="53">
        <f t="shared" si="137"/>
        <v>-16504.780649062497</v>
      </c>
      <c r="P92" s="53">
        <f t="shared" si="137"/>
        <v>-16587.304552307807</v>
      </c>
      <c r="Q92" s="53">
        <f t="shared" ref="Q92:V92" si="138">-Q129</f>
        <v>-16670.241075069345</v>
      </c>
      <c r="R92" s="53">
        <f t="shared" si="138"/>
        <v>-16753.592280444689</v>
      </c>
      <c r="S92" s="53">
        <f t="shared" si="138"/>
        <v>-16837.360241846909</v>
      </c>
      <c r="T92" s="53">
        <f t="shared" si="138"/>
        <v>-16921.547043056144</v>
      </c>
      <c r="U92" s="53">
        <f t="shared" si="138"/>
        <v>-17006.154778271422</v>
      </c>
      <c r="V92" s="53">
        <f t="shared" si="138"/>
        <v>-17091.185552162777</v>
      </c>
    </row>
    <row r="93" spans="1:22" x14ac:dyDescent="0.3">
      <c r="D93" s="21" t="s">
        <v>212</v>
      </c>
      <c r="F93" s="21" t="s">
        <v>165</v>
      </c>
      <c r="H93" s="50">
        <f>Inputs!H149</f>
        <v>332.72</v>
      </c>
      <c r="I93" s="50">
        <f>Inputs!I149</f>
        <v>1036.53</v>
      </c>
      <c r="J93" s="50">
        <f>Inputs!J149</f>
        <v>1176.3800000000001</v>
      </c>
      <c r="K93" s="50">
        <f>Inputs!K149</f>
        <v>114.36</v>
      </c>
      <c r="L93" s="50">
        <f>Inputs!L149</f>
        <v>1293</v>
      </c>
      <c r="M93" s="53">
        <v>0</v>
      </c>
      <c r="N93" s="53">
        <v>0</v>
      </c>
      <c r="O93" s="53">
        <v>0</v>
      </c>
      <c r="P93" s="53">
        <v>0</v>
      </c>
      <c r="Q93" s="53">
        <v>0</v>
      </c>
      <c r="R93" s="53">
        <v>0</v>
      </c>
      <c r="S93" s="53">
        <v>0</v>
      </c>
      <c r="T93" s="53">
        <v>0</v>
      </c>
      <c r="U93" s="53">
        <v>0</v>
      </c>
      <c r="V93" s="53">
        <v>0</v>
      </c>
    </row>
    <row r="94" spans="1:22" x14ac:dyDescent="0.3">
      <c r="D94" s="21" t="s">
        <v>213</v>
      </c>
      <c r="F94" s="21" t="s">
        <v>165</v>
      </c>
      <c r="H94" s="50">
        <f>SUM(Inputs!H142:H143,Inputs!H150:H155,Inputs!H156:H157)</f>
        <v>22263.339999999993</v>
      </c>
      <c r="I94" s="50">
        <f>SUM(Inputs!I142:I143,Inputs!I150:I155,Inputs!I156:I157)</f>
        <v>-9174.589999999982</v>
      </c>
      <c r="J94" s="50">
        <f>SUM(Inputs!J142:J143,Inputs!J150:J155,Inputs!J156:J157)</f>
        <v>-17462.919999999998</v>
      </c>
      <c r="K94" s="50">
        <f>SUM(Inputs!K142:K143,Inputs!K150:K155,Inputs!K156:K157)</f>
        <v>-30793.640000000018</v>
      </c>
      <c r="L94" s="50">
        <f>SUM(Inputs!L142:L143,Inputs!L150:L155,Inputs!L156:L157)</f>
        <v>-14139</v>
      </c>
      <c r="M94" s="53">
        <f>L57-M57</f>
        <v>0</v>
      </c>
      <c r="N94" s="53">
        <f t="shared" ref="N94:P94" si="139">M57-N57</f>
        <v>0</v>
      </c>
      <c r="O94" s="53">
        <f t="shared" si="139"/>
        <v>0</v>
      </c>
      <c r="P94" s="53">
        <f t="shared" si="139"/>
        <v>0</v>
      </c>
      <c r="Q94" s="53">
        <f t="shared" ref="Q94" si="140">P57-Q57</f>
        <v>0</v>
      </c>
      <c r="R94" s="53">
        <f t="shared" ref="R94" si="141">Q57-R57</f>
        <v>0</v>
      </c>
      <c r="S94" s="53">
        <f t="shared" ref="S94" si="142">R57-S57</f>
        <v>0</v>
      </c>
      <c r="T94" s="53">
        <f t="shared" ref="T94" si="143">S57-T57</f>
        <v>0</v>
      </c>
      <c r="U94" s="53">
        <f t="shared" ref="U94" si="144">T57-U57</f>
        <v>0</v>
      </c>
      <c r="V94" s="53">
        <f t="shared" ref="V94" si="145">U57-V57</f>
        <v>0</v>
      </c>
    </row>
    <row r="95" spans="1:22" x14ac:dyDescent="0.3">
      <c r="D95" s="21" t="s">
        <v>215</v>
      </c>
      <c r="F95" s="21" t="s">
        <v>165</v>
      </c>
      <c r="H95" s="50">
        <f>SUM(Inputs!H144:H147)</f>
        <v>0</v>
      </c>
      <c r="I95" s="50">
        <f>SUM(Inputs!I144:I147)</f>
        <v>0</v>
      </c>
      <c r="J95" s="50">
        <f>SUM(Inputs!J144:J147)</f>
        <v>-1500</v>
      </c>
      <c r="K95" s="50">
        <f>SUM(Inputs!K144:K147)</f>
        <v>-700</v>
      </c>
      <c r="L95" s="50">
        <f>SUM(Inputs!L144:L147)</f>
        <v>-2800</v>
      </c>
      <c r="M95" s="53">
        <v>0</v>
      </c>
      <c r="N95" s="53">
        <v>0</v>
      </c>
      <c r="O95" s="53">
        <v>0</v>
      </c>
      <c r="P95" s="53">
        <v>0</v>
      </c>
      <c r="Q95" s="53">
        <v>0</v>
      </c>
      <c r="R95" s="53">
        <v>0</v>
      </c>
      <c r="S95" s="53">
        <v>0</v>
      </c>
      <c r="T95" s="53">
        <v>0</v>
      </c>
      <c r="U95" s="53">
        <v>0</v>
      </c>
      <c r="V95" s="53">
        <v>0</v>
      </c>
    </row>
    <row r="96" spans="1:22" x14ac:dyDescent="0.3">
      <c r="D96" s="21" t="s">
        <v>122</v>
      </c>
      <c r="F96" s="21" t="s">
        <v>165</v>
      </c>
      <c r="H96" s="50">
        <f>Inputs!H141</f>
        <v>0</v>
      </c>
      <c r="I96" s="50">
        <f>Inputs!I141</f>
        <v>127.14</v>
      </c>
      <c r="J96" s="50">
        <f>Inputs!J141</f>
        <v>127.89</v>
      </c>
      <c r="K96" s="50">
        <f>Inputs!K141</f>
        <v>127.89</v>
      </c>
      <c r="L96" s="50">
        <f>Inputs!L141</f>
        <v>127</v>
      </c>
      <c r="M96" s="53"/>
      <c r="N96" s="53"/>
      <c r="O96" s="53"/>
      <c r="P96" s="53"/>
      <c r="Q96" s="53"/>
      <c r="R96" s="53"/>
      <c r="S96" s="53"/>
      <c r="T96" s="53"/>
      <c r="U96" s="53"/>
      <c r="V96" s="53"/>
    </row>
    <row r="97" spans="3:22" x14ac:dyDescent="0.3">
      <c r="D97" s="21" t="s">
        <v>121</v>
      </c>
      <c r="F97" s="21" t="s">
        <v>165</v>
      </c>
      <c r="H97" s="50">
        <f>Inputs!H140</f>
        <v>2269.7800000000002</v>
      </c>
      <c r="I97" s="50">
        <f>Inputs!I140</f>
        <v>773.83</v>
      </c>
      <c r="J97" s="50">
        <f>Inputs!J140</f>
        <v>1177.55</v>
      </c>
      <c r="K97" s="50">
        <f>Inputs!K140</f>
        <v>1694.43</v>
      </c>
      <c r="L97" s="50">
        <f>Inputs!L140</f>
        <v>1737</v>
      </c>
      <c r="M97" s="53">
        <f t="shared" ref="M97:P97" si="146">M36</f>
        <v>7056.9079672688913</v>
      </c>
      <c r="N97" s="53">
        <f t="shared" si="146"/>
        <v>7638.0443383734837</v>
      </c>
      <c r="O97" s="53">
        <f t="shared" si="146"/>
        <v>8213.572888781011</v>
      </c>
      <c r="P97" s="53">
        <f t="shared" si="146"/>
        <v>8779.8616038460386</v>
      </c>
      <c r="Q97" s="53">
        <f t="shared" ref="Q97:V97" si="147">Q36</f>
        <v>9333.7401657428945</v>
      </c>
      <c r="R97" s="53">
        <f t="shared" si="147"/>
        <v>9872.5105147809954</v>
      </c>
      <c r="S97" s="53">
        <f t="shared" si="147"/>
        <v>10393.941312612656</v>
      </c>
      <c r="T97" s="53">
        <f t="shared" si="147"/>
        <v>10896.249698040063</v>
      </c>
      <c r="U97" s="53">
        <f t="shared" si="147"/>
        <v>11378.07356513764</v>
      </c>
      <c r="V97" s="53">
        <f t="shared" si="147"/>
        <v>11838.437287963226</v>
      </c>
    </row>
    <row r="98" spans="3:22" x14ac:dyDescent="0.3">
      <c r="D98" s="37" t="s">
        <v>220</v>
      </c>
      <c r="E98" s="38"/>
      <c r="F98" s="38" t="s">
        <v>165</v>
      </c>
      <c r="G98" s="38"/>
      <c r="H98" s="51">
        <f>SUM(H92:H97)</f>
        <v>-23490.320000000011</v>
      </c>
      <c r="I98" s="51">
        <f>SUM(I92:I97)</f>
        <v>-11282.969999999983</v>
      </c>
      <c r="J98" s="51">
        <f>SUM(J92:J97)</f>
        <v>-20539.61</v>
      </c>
      <c r="K98" s="51">
        <f>SUM(K92:K97)</f>
        <v>-34014.390000000021</v>
      </c>
      <c r="L98" s="51">
        <f>SUM(L92:L97)</f>
        <v>-18114</v>
      </c>
      <c r="M98" s="51">
        <f t="shared" ref="M98:P98" si="148">SUM(M92:M97)</f>
        <v>-9284.0545327311102</v>
      </c>
      <c r="N98" s="51">
        <f t="shared" si="148"/>
        <v>-8784.6229741265142</v>
      </c>
      <c r="O98" s="51">
        <f t="shared" si="148"/>
        <v>-8291.2077602814861</v>
      </c>
      <c r="P98" s="51">
        <f t="shared" si="148"/>
        <v>-7807.4429484617685</v>
      </c>
      <c r="Q98" s="51">
        <f t="shared" ref="Q98:V98" si="149">SUM(Q92:Q97)</f>
        <v>-7336.5009093264507</v>
      </c>
      <c r="R98" s="51">
        <f t="shared" si="149"/>
        <v>-6881.0817656636937</v>
      </c>
      <c r="S98" s="51">
        <f t="shared" si="149"/>
        <v>-6443.4189292342526</v>
      </c>
      <c r="T98" s="51">
        <f t="shared" si="149"/>
        <v>-6025.2973450160807</v>
      </c>
      <c r="U98" s="51">
        <f t="shared" si="149"/>
        <v>-5628.0812131337825</v>
      </c>
      <c r="V98" s="51">
        <f t="shared" si="149"/>
        <v>-5252.7482641995502</v>
      </c>
    </row>
    <row r="100" spans="3:22" x14ac:dyDescent="0.3">
      <c r="C100" s="22" t="s">
        <v>216</v>
      </c>
    </row>
    <row r="101" spans="3:22" x14ac:dyDescent="0.3">
      <c r="D101" s="21" t="s">
        <v>217</v>
      </c>
      <c r="F101" s="21" t="s">
        <v>165</v>
      </c>
      <c r="H101" s="50">
        <f>SUM(Inputs!H161:H162,Inputs!H169,Inputs!H171)</f>
        <v>15798.869999999999</v>
      </c>
      <c r="I101" s="50">
        <f>SUM(Inputs!I161:I162,Inputs!I169,Inputs!I171)</f>
        <v>-20122.84</v>
      </c>
      <c r="J101" s="50">
        <f>SUM(Inputs!J161:J162,Inputs!J169,Inputs!J171)</f>
        <v>-2125.17</v>
      </c>
      <c r="K101" s="50">
        <f>SUM(Inputs!K161:K162,Inputs!K169,Inputs!K171)</f>
        <v>-1862.660000000001</v>
      </c>
      <c r="L101" s="50">
        <f>SUM(Inputs!L161:L162,Inputs!L169,Inputs!L171)</f>
        <v>4008</v>
      </c>
      <c r="M101" s="53">
        <v>0</v>
      </c>
      <c r="N101" s="53">
        <v>0</v>
      </c>
      <c r="O101" s="53">
        <v>0</v>
      </c>
      <c r="P101" s="53">
        <v>0</v>
      </c>
      <c r="Q101" s="53">
        <v>0</v>
      </c>
      <c r="R101" s="53">
        <v>0</v>
      </c>
      <c r="S101" s="53">
        <v>0</v>
      </c>
      <c r="T101" s="53">
        <v>0</v>
      </c>
      <c r="U101" s="53">
        <v>0</v>
      </c>
      <c r="V101" s="53">
        <v>0</v>
      </c>
    </row>
    <row r="102" spans="3:22" x14ac:dyDescent="0.3">
      <c r="D102" s="21" t="s">
        <v>218</v>
      </c>
      <c r="F102" s="21" t="s">
        <v>165</v>
      </c>
      <c r="H102" s="50">
        <f>SUM(Inputs!H163:H164,Inputs!H170)</f>
        <v>-20005.03</v>
      </c>
      <c r="I102" s="50">
        <f>SUM(Inputs!I163:I164,Inputs!I170)</f>
        <v>-99.34</v>
      </c>
      <c r="J102" s="50">
        <f>SUM(Inputs!J163:J164,Inputs!J170)</f>
        <v>-22909.7</v>
      </c>
      <c r="K102" s="50">
        <f>SUM(Inputs!K163:K164,Inputs!K170)</f>
        <v>-12248.61</v>
      </c>
      <c r="L102" s="50">
        <f>SUM(Inputs!L163:L164,Inputs!L170)</f>
        <v>-5921</v>
      </c>
      <c r="M102" s="53">
        <v>0</v>
      </c>
      <c r="N102" s="53">
        <v>0</v>
      </c>
      <c r="O102" s="53">
        <v>0</v>
      </c>
      <c r="P102" s="53">
        <v>0</v>
      </c>
      <c r="Q102" s="53">
        <v>0</v>
      </c>
      <c r="R102" s="53">
        <v>0</v>
      </c>
      <c r="S102" s="53">
        <v>0</v>
      </c>
      <c r="T102" s="53">
        <v>0</v>
      </c>
      <c r="U102" s="53">
        <v>0</v>
      </c>
      <c r="V102" s="53">
        <v>0</v>
      </c>
    </row>
    <row r="103" spans="3:22" x14ac:dyDescent="0.3">
      <c r="D103" s="21" t="s">
        <v>219</v>
      </c>
      <c r="F103" s="21" t="s">
        <v>165</v>
      </c>
      <c r="H103" s="50">
        <f>Inputs!H165</f>
        <v>0</v>
      </c>
      <c r="I103" s="50">
        <f>Inputs!I165</f>
        <v>-4650</v>
      </c>
      <c r="J103" s="50">
        <f>Inputs!J165</f>
        <v>4650</v>
      </c>
      <c r="K103" s="50">
        <f>Inputs!K165</f>
        <v>-4.49</v>
      </c>
      <c r="L103" s="50">
        <f>Inputs!L165</f>
        <v>-16</v>
      </c>
      <c r="M103" s="53">
        <v>0</v>
      </c>
      <c r="N103" s="53">
        <v>0</v>
      </c>
      <c r="O103" s="53">
        <v>0</v>
      </c>
      <c r="P103" s="53">
        <v>0</v>
      </c>
      <c r="Q103" s="53">
        <v>0</v>
      </c>
      <c r="R103" s="53">
        <v>0</v>
      </c>
      <c r="S103" s="53">
        <v>0</v>
      </c>
      <c r="T103" s="53">
        <v>0</v>
      </c>
      <c r="U103" s="53">
        <v>0</v>
      </c>
      <c r="V103" s="53">
        <v>0</v>
      </c>
    </row>
    <row r="104" spans="3:22" x14ac:dyDescent="0.3">
      <c r="D104" s="21" t="s">
        <v>143</v>
      </c>
      <c r="F104" s="21" t="s">
        <v>165</v>
      </c>
      <c r="H104" s="50">
        <f>Inputs!H167+Inputs!H168</f>
        <v>-35561.1</v>
      </c>
      <c r="I104" s="50">
        <f>Inputs!I167+Inputs!I168</f>
        <v>-35292</v>
      </c>
      <c r="J104" s="50">
        <f>Inputs!J167+Inputs!J168</f>
        <v>-34920</v>
      </c>
      <c r="K104" s="50">
        <f>Inputs!K167+Inputs!K168</f>
        <v>-34920</v>
      </c>
      <c r="L104" s="50">
        <f>Inputs!L167+Inputs!L168</f>
        <v>-52380</v>
      </c>
      <c r="M104" s="53">
        <f t="shared" ref="M104:P104" si="150">-M39*M16</f>
        <v>-46120.10846360193</v>
      </c>
      <c r="N104" s="53">
        <f t="shared" si="150"/>
        <v>-50845.127360824285</v>
      </c>
      <c r="O104" s="53">
        <f t="shared" si="150"/>
        <v>-55157.890017513098</v>
      </c>
      <c r="P104" s="53">
        <f t="shared" si="150"/>
        <v>-59633.386588983463</v>
      </c>
      <c r="Q104" s="53">
        <f t="shared" ref="Q104:V104" si="151">-Q39*Q16</f>
        <v>-63628.444485074797</v>
      </c>
      <c r="R104" s="53">
        <f t="shared" si="151"/>
        <v>-67814.125808763012</v>
      </c>
      <c r="S104" s="53">
        <f t="shared" si="151"/>
        <v>-71452.005838800906</v>
      </c>
      <c r="T104" s="53">
        <f t="shared" si="151"/>
        <v>-75308.410871186439</v>
      </c>
      <c r="U104" s="53">
        <f t="shared" si="151"/>
        <v>-78559.034839742497</v>
      </c>
      <c r="V104" s="53">
        <f t="shared" si="151"/>
        <v>-82060.249487841458</v>
      </c>
    </row>
    <row r="105" spans="3:22" x14ac:dyDescent="0.3">
      <c r="C105" s="22"/>
      <c r="D105" s="21" t="s">
        <v>142</v>
      </c>
      <c r="F105" s="21" t="s">
        <v>165</v>
      </c>
      <c r="H105" s="50">
        <f>Inputs!H166</f>
        <v>-446.53</v>
      </c>
      <c r="I105" s="50">
        <f>Inputs!I166</f>
        <v>-600.30999999999995</v>
      </c>
      <c r="J105" s="50">
        <f>Inputs!J166</f>
        <v>-992.08</v>
      </c>
      <c r="K105" s="50">
        <f>Inputs!K166</f>
        <v>-924.94</v>
      </c>
      <c r="L105" s="50">
        <f>Inputs!L166</f>
        <v>-1140</v>
      </c>
      <c r="M105" s="53">
        <f t="shared" ref="M105:P105" si="152">M138</f>
        <v>-2007.0737680544466</v>
      </c>
      <c r="N105" s="53">
        <f t="shared" si="152"/>
        <v>-2007.0737680544466</v>
      </c>
      <c r="O105" s="53">
        <f t="shared" si="152"/>
        <v>-2007.0737680544466</v>
      </c>
      <c r="P105" s="53">
        <f t="shared" si="152"/>
        <v>-2007.0737680544466</v>
      </c>
      <c r="Q105" s="53">
        <f t="shared" ref="Q105:V105" si="153">Q138</f>
        <v>-2007.0737680544466</v>
      </c>
      <c r="R105" s="53">
        <f t="shared" si="153"/>
        <v>-2007.0737680544466</v>
      </c>
      <c r="S105" s="53">
        <f t="shared" si="153"/>
        <v>-2007.0737680544466</v>
      </c>
      <c r="T105" s="53">
        <f t="shared" si="153"/>
        <v>-2007.0737680544466</v>
      </c>
      <c r="U105" s="53">
        <f t="shared" si="153"/>
        <v>-2007.0737680544466</v>
      </c>
      <c r="V105" s="53">
        <f t="shared" si="153"/>
        <v>-2007.0737680544466</v>
      </c>
    </row>
    <row r="106" spans="3:22" x14ac:dyDescent="0.3">
      <c r="D106" s="37" t="s">
        <v>214</v>
      </c>
      <c r="E106" s="38"/>
      <c r="F106" s="38" t="s">
        <v>165</v>
      </c>
      <c r="G106" s="38"/>
      <c r="H106" s="51">
        <f>SUM(H101:H105)</f>
        <v>-40213.789999999994</v>
      </c>
      <c r="I106" s="51">
        <f>SUM(I101:I105)</f>
        <v>-60764.49</v>
      </c>
      <c r="J106" s="51">
        <f>SUM(J101:J105)</f>
        <v>-56296.950000000004</v>
      </c>
      <c r="K106" s="51">
        <f>SUM(K101:K105)</f>
        <v>-49960.700000000004</v>
      </c>
      <c r="L106" s="51">
        <f>SUM(L101:L105)</f>
        <v>-55449</v>
      </c>
      <c r="M106" s="51">
        <f t="shared" ref="M106:P106" si="154">SUM(M101:M105)</f>
        <v>-48127.182231656378</v>
      </c>
      <c r="N106" s="51">
        <f t="shared" si="154"/>
        <v>-52852.201128878733</v>
      </c>
      <c r="O106" s="51">
        <f t="shared" si="154"/>
        <v>-57164.963785567546</v>
      </c>
      <c r="P106" s="51">
        <f t="shared" si="154"/>
        <v>-61640.460357037911</v>
      </c>
      <c r="Q106" s="51">
        <f t="shared" ref="Q106:V106" si="155">SUM(Q101:Q105)</f>
        <v>-65635.518253129238</v>
      </c>
      <c r="R106" s="51">
        <f t="shared" si="155"/>
        <v>-69821.199576817453</v>
      </c>
      <c r="S106" s="51">
        <f t="shared" si="155"/>
        <v>-73459.079606855346</v>
      </c>
      <c r="T106" s="51">
        <f t="shared" si="155"/>
        <v>-77315.48463924088</v>
      </c>
      <c r="U106" s="51">
        <f t="shared" si="155"/>
        <v>-80566.108607796938</v>
      </c>
      <c r="V106" s="51">
        <f t="shared" si="155"/>
        <v>-84067.323255895899</v>
      </c>
    </row>
    <row r="108" spans="3:22" x14ac:dyDescent="0.3">
      <c r="C108" s="22" t="s">
        <v>229</v>
      </c>
      <c r="F108" s="21" t="s">
        <v>165</v>
      </c>
      <c r="H108" s="52">
        <f>Inputs!H174</f>
        <v>88.25</v>
      </c>
      <c r="I108" s="52">
        <f>Inputs!I174</f>
        <v>-1229.6099999999999</v>
      </c>
      <c r="J108" s="52">
        <f>Inputs!J174</f>
        <v>-447.13</v>
      </c>
      <c r="K108" s="52">
        <f>Inputs!K174</f>
        <v>-444.13</v>
      </c>
      <c r="L108" s="52">
        <f>Inputs!L174</f>
        <v>722.49</v>
      </c>
      <c r="M108" s="52">
        <v>0</v>
      </c>
      <c r="N108" s="52">
        <v>0</v>
      </c>
      <c r="O108" s="52">
        <v>0</v>
      </c>
      <c r="P108" s="52">
        <v>0</v>
      </c>
      <c r="Q108" s="52">
        <v>0</v>
      </c>
      <c r="R108" s="52">
        <v>0</v>
      </c>
      <c r="S108" s="52">
        <v>0</v>
      </c>
      <c r="T108" s="52">
        <v>0</v>
      </c>
      <c r="U108" s="52">
        <v>0</v>
      </c>
      <c r="V108" s="52">
        <v>0</v>
      </c>
    </row>
    <row r="109" spans="3:22" s="1" customFormat="1" ht="14.4" x14ac:dyDescent="0.3"/>
    <row r="110" spans="3:22" x14ac:dyDescent="0.3">
      <c r="D110" s="21" t="s">
        <v>221</v>
      </c>
      <c r="F110" s="21" t="s">
        <v>165</v>
      </c>
      <c r="H110" s="32">
        <f>SUM(H89,H98,H106,H108)</f>
        <v>769.49000000000524</v>
      </c>
      <c r="I110" s="32">
        <f>SUM(I89,I98,I106,I108)</f>
        <v>1610.520000000012</v>
      </c>
      <c r="J110" s="32">
        <f>SUM(J89,J98,J106,J108)</f>
        <v>616.88999999998225</v>
      </c>
      <c r="K110" s="32">
        <f>SUM(K89,K98,K106,K108)</f>
        <v>5167.1199999999853</v>
      </c>
      <c r="L110" s="32">
        <f>SUM(L89,L98,L106,L108)</f>
        <v>7212.49</v>
      </c>
      <c r="M110" s="53">
        <f t="shared" ref="M110:P110" si="156">SUM(M89,M98,M106,M108)</f>
        <v>35034.545612023736</v>
      </c>
      <c r="N110" s="53">
        <f t="shared" si="156"/>
        <v>45452.867712657418</v>
      </c>
      <c r="O110" s="53">
        <f t="shared" si="156"/>
        <v>49216.75602674191</v>
      </c>
      <c r="P110" s="53">
        <f t="shared" si="156"/>
        <v>53245.877519053596</v>
      </c>
      <c r="Q110" s="53">
        <f t="shared" ref="Q110:V110" si="157">SUM(Q89,Q98,Q106,Q108)</f>
        <v>56905.962879447179</v>
      </c>
      <c r="R110" s="53">
        <f t="shared" si="157"/>
        <v>60803.839313273376</v>
      </c>
      <c r="S110" s="53">
        <f t="shared" si="157"/>
        <v>64230.853080572095</v>
      </c>
      <c r="T110" s="53">
        <f t="shared" si="157"/>
        <v>67893.654572305313</v>
      </c>
      <c r="U110" s="53">
        <f t="shared" si="157"/>
        <v>71010.493570027626</v>
      </c>
      <c r="V110" s="53">
        <f t="shared" si="157"/>
        <v>74377.762664933427</v>
      </c>
    </row>
    <row r="111" spans="3:22" x14ac:dyDescent="0.3">
      <c r="D111" s="21" t="s">
        <v>222</v>
      </c>
      <c r="F111" s="21" t="s">
        <v>165</v>
      </c>
      <c r="H111" s="111">
        <f>Inputs!H176</f>
        <v>1981.15</v>
      </c>
      <c r="I111" s="32">
        <f>H113</f>
        <v>2757.2900000000054</v>
      </c>
      <c r="J111" s="32">
        <f>I113</f>
        <v>4678.5000000000173</v>
      </c>
      <c r="K111" s="32">
        <f>J113</f>
        <v>5295.3899999999994</v>
      </c>
      <c r="L111" s="32">
        <f>K113</f>
        <v>10462.509999999984</v>
      </c>
      <c r="M111" s="53">
        <f>L113</f>
        <v>17674.999999999985</v>
      </c>
      <c r="N111" s="53">
        <f t="shared" ref="N111" si="158">M113</f>
        <v>52709.545612023721</v>
      </c>
      <c r="O111" s="53">
        <f t="shared" ref="O111" si="159">N113</f>
        <v>98162.41332468114</v>
      </c>
      <c r="P111" s="53">
        <f t="shared" ref="P111" si="160">O113</f>
        <v>147379.16935142304</v>
      </c>
      <c r="Q111" s="53">
        <f t="shared" ref="Q111" si="161">P113</f>
        <v>200625.04687047662</v>
      </c>
      <c r="R111" s="53">
        <f t="shared" ref="R111" si="162">Q113</f>
        <v>257531.0097499238</v>
      </c>
      <c r="S111" s="53">
        <f t="shared" ref="S111" si="163">R113</f>
        <v>318334.84906319715</v>
      </c>
      <c r="T111" s="53">
        <f t="shared" ref="T111" si="164">S113</f>
        <v>382565.70214376925</v>
      </c>
      <c r="U111" s="53">
        <f t="shared" ref="U111" si="165">T113</f>
        <v>450459.35671607457</v>
      </c>
      <c r="V111" s="53">
        <f t="shared" ref="V111" si="166">U113</f>
        <v>521469.85028610221</v>
      </c>
    </row>
    <row r="112" spans="3:22" x14ac:dyDescent="0.3">
      <c r="D112" s="21" t="s">
        <v>230</v>
      </c>
      <c r="F112" s="21" t="s">
        <v>165</v>
      </c>
      <c r="H112" s="50">
        <f>Inputs!H177</f>
        <v>6.65</v>
      </c>
      <c r="I112" s="50">
        <f>Inputs!I177</f>
        <v>310.69</v>
      </c>
      <c r="J112" s="50">
        <f>Inputs!J177</f>
        <v>0</v>
      </c>
      <c r="K112" s="50">
        <f>Inputs!K177</f>
        <v>0</v>
      </c>
      <c r="L112" s="50">
        <f>Inputs!L177</f>
        <v>0</v>
      </c>
      <c r="M112" s="53">
        <v>0</v>
      </c>
      <c r="N112" s="53">
        <v>0</v>
      </c>
      <c r="O112" s="53">
        <v>0</v>
      </c>
      <c r="P112" s="53">
        <v>0</v>
      </c>
      <c r="Q112" s="53">
        <v>0</v>
      </c>
      <c r="R112" s="53">
        <v>0</v>
      </c>
      <c r="S112" s="53">
        <v>0</v>
      </c>
      <c r="T112" s="53">
        <v>0</v>
      </c>
      <c r="U112" s="53">
        <v>0</v>
      </c>
      <c r="V112" s="53">
        <v>0</v>
      </c>
    </row>
    <row r="113" spans="1:22" x14ac:dyDescent="0.3">
      <c r="D113" s="37" t="s">
        <v>223</v>
      </c>
      <c r="E113" s="38"/>
      <c r="F113" s="38" t="s">
        <v>165</v>
      </c>
      <c r="G113" s="38"/>
      <c r="H113" s="51">
        <f>SUM(H110:H112)</f>
        <v>2757.2900000000054</v>
      </c>
      <c r="I113" s="51">
        <f>SUM(I110:I112)</f>
        <v>4678.5000000000173</v>
      </c>
      <c r="J113" s="51">
        <f>SUM(J110:J112)</f>
        <v>5295.3899999999994</v>
      </c>
      <c r="K113" s="51">
        <f>SUM(K110:K112)</f>
        <v>10462.509999999984</v>
      </c>
      <c r="L113" s="51">
        <f>SUM(L110:L112)</f>
        <v>17674.999999999985</v>
      </c>
      <c r="M113" s="51">
        <f t="shared" ref="M113:P113" si="167">SUM(M110:M112)</f>
        <v>52709.545612023721</v>
      </c>
      <c r="N113" s="51">
        <f t="shared" si="167"/>
        <v>98162.41332468114</v>
      </c>
      <c r="O113" s="51">
        <f t="shared" si="167"/>
        <v>147379.16935142304</v>
      </c>
      <c r="P113" s="51">
        <f t="shared" si="167"/>
        <v>200625.04687047662</v>
      </c>
      <c r="Q113" s="51">
        <f t="shared" ref="Q113:V113" si="168">SUM(Q110:Q112)</f>
        <v>257531.0097499238</v>
      </c>
      <c r="R113" s="51">
        <f t="shared" si="168"/>
        <v>318334.84906319715</v>
      </c>
      <c r="S113" s="51">
        <f t="shared" si="168"/>
        <v>382565.70214376925</v>
      </c>
      <c r="T113" s="51">
        <f t="shared" si="168"/>
        <v>450459.35671607457</v>
      </c>
      <c r="U113" s="51">
        <f t="shared" si="168"/>
        <v>521469.85028610221</v>
      </c>
      <c r="V113" s="51">
        <f t="shared" si="168"/>
        <v>595847.61295103561</v>
      </c>
    </row>
    <row r="114" spans="1:22" x14ac:dyDescent="0.3">
      <c r="D114" s="22"/>
    </row>
    <row r="115" spans="1:22" x14ac:dyDescent="0.3">
      <c r="D115" s="22"/>
    </row>
    <row r="116" spans="1:22" x14ac:dyDescent="0.3">
      <c r="D116" s="22"/>
    </row>
    <row r="117" spans="1:22" x14ac:dyDescent="0.3">
      <c r="A117" s="20" t="s">
        <v>224</v>
      </c>
      <c r="B117" s="29"/>
      <c r="C117" s="29"/>
      <c r="D117" s="29"/>
      <c r="E117" s="29"/>
      <c r="F117" s="29"/>
      <c r="G117" s="29"/>
      <c r="H117" s="30"/>
      <c r="I117" s="30"/>
      <c r="J117" s="30"/>
      <c r="K117" s="30"/>
      <c r="L117" s="29"/>
      <c r="M117" s="29"/>
      <c r="N117" s="29"/>
      <c r="O117" s="29"/>
      <c r="P117" s="29"/>
      <c r="Q117" s="29"/>
      <c r="R117" s="29"/>
      <c r="S117" s="29"/>
      <c r="T117" s="29"/>
      <c r="U117" s="29"/>
      <c r="V117" s="29"/>
    </row>
    <row r="119" spans="1:22" x14ac:dyDescent="0.3">
      <c r="C119" s="22" t="s">
        <v>225</v>
      </c>
    </row>
    <row r="120" spans="1:22" x14ac:dyDescent="0.3">
      <c r="D120" s="21" t="s">
        <v>181</v>
      </c>
      <c r="F120" s="21" t="s">
        <v>165</v>
      </c>
      <c r="H120" s="50">
        <f>Inputs!H130</f>
        <v>-8573.94</v>
      </c>
      <c r="I120" s="50">
        <f>Inputs!I130</f>
        <v>-8812.2000000000007</v>
      </c>
      <c r="J120" s="50">
        <f>Inputs!J130</f>
        <v>-8501.43</v>
      </c>
      <c r="K120" s="50">
        <f>Inputs!K130</f>
        <v>4213.32</v>
      </c>
      <c r="L120" s="50">
        <f>Inputs!L130</f>
        <v>10757</v>
      </c>
      <c r="M120" s="53">
        <f>L49-M49</f>
        <v>-12620.731781167044</v>
      </c>
      <c r="N120" s="53">
        <f t="shared" ref="N120:P120" si="169">M49-N49</f>
        <v>-3866.5574621791166</v>
      </c>
      <c r="O120" s="53">
        <f t="shared" si="169"/>
        <v>-3829.2461493084484</v>
      </c>
      <c r="P120" s="53">
        <f t="shared" si="169"/>
        <v>-3767.7694356328793</v>
      </c>
      <c r="Q120" s="53">
        <f t="shared" ref="Q120:Q121" si="170">P49-Q49</f>
        <v>-3685.1991944208858</v>
      </c>
      <c r="R120" s="53">
        <f t="shared" ref="R120:R121" si="171">Q49-R49</f>
        <v>-3584.6775680456849</v>
      </c>
      <c r="S120" s="53">
        <f t="shared" ref="S120" si="172">R49-S49</f>
        <v>-3469.3098601518286</v>
      </c>
      <c r="T120" s="53">
        <f t="shared" ref="T120" si="173">S49-T49</f>
        <v>-3342.0799876934907</v>
      </c>
      <c r="U120" s="53">
        <f t="shared" ref="U120:U121" si="174">T49-U49</f>
        <v>-3205.7874217045464</v>
      </c>
      <c r="V120" s="53">
        <f t="shared" ref="V120:V121" si="175">U49-V49</f>
        <v>-3063.0035845535749</v>
      </c>
    </row>
    <row r="121" spans="1:22" x14ac:dyDescent="0.3">
      <c r="D121" s="21" t="s">
        <v>226</v>
      </c>
      <c r="F121" s="21" t="s">
        <v>165</v>
      </c>
      <c r="H121" s="50">
        <f>Inputs!H129</f>
        <v>-5590.36</v>
      </c>
      <c r="I121" s="50">
        <f>Inputs!I129</f>
        <v>3979.05</v>
      </c>
      <c r="J121" s="50">
        <f>Inputs!J129</f>
        <v>463.8</v>
      </c>
      <c r="K121" s="50">
        <f>Inputs!K129</f>
        <v>1529.87</v>
      </c>
      <c r="L121" s="50">
        <f>Inputs!L129</f>
        <v>-9147</v>
      </c>
      <c r="M121" s="53">
        <f>L50-M50</f>
        <v>-134.79163348527072</v>
      </c>
      <c r="N121" s="53">
        <f t="shared" ref="N121:P121" si="176">M50-N50</f>
        <v>-3301.5590410175064</v>
      </c>
      <c r="O121" s="53">
        <f t="shared" si="176"/>
        <v>-3269.699821661452</v>
      </c>
      <c r="P121" s="53">
        <f t="shared" si="176"/>
        <v>-3217.2063563934644</v>
      </c>
      <c r="Q121" s="53">
        <f t="shared" si="170"/>
        <v>-3146.7016428183924</v>
      </c>
      <c r="R121" s="53">
        <f t="shared" si="171"/>
        <v>-3060.8686796145485</v>
      </c>
      <c r="S121" s="53">
        <f>R50-S50</f>
        <v>-2962.3590097688939</v>
      </c>
      <c r="T121" s="53">
        <f>S50-T50</f>
        <v>-2853.7205271364583</v>
      </c>
      <c r="U121" s="53">
        <f t="shared" si="174"/>
        <v>-2737.3436317027736</v>
      </c>
      <c r="V121" s="53">
        <f t="shared" si="175"/>
        <v>-2615.4239982645086</v>
      </c>
    </row>
    <row r="122" spans="1:22" x14ac:dyDescent="0.3">
      <c r="D122" s="21" t="s">
        <v>193</v>
      </c>
      <c r="F122" s="21" t="s">
        <v>165</v>
      </c>
      <c r="H122" s="50">
        <f>Inputs!H128</f>
        <v>3228.81</v>
      </c>
      <c r="I122" s="50">
        <f>Inputs!I128</f>
        <v>-1785.95</v>
      </c>
      <c r="J122" s="50">
        <f>Inputs!J128</f>
        <v>5866.98</v>
      </c>
      <c r="K122" s="50">
        <f>Inputs!K128</f>
        <v>-521.79999999999995</v>
      </c>
      <c r="L122" s="50">
        <f>Inputs!L128</f>
        <v>3372</v>
      </c>
      <c r="M122" s="53">
        <f>M65-L65</f>
        <v>3360.5918705423319</v>
      </c>
      <c r="N122" s="53">
        <f t="shared" ref="N122:P122" si="177">N65-M65</f>
        <v>4205.3338405391623</v>
      </c>
      <c r="O122" s="53">
        <f t="shared" si="177"/>
        <v>4164.7534203114265</v>
      </c>
      <c r="P122" s="53">
        <f t="shared" si="177"/>
        <v>4097.8902980240164</v>
      </c>
      <c r="Q122" s="53">
        <f t="shared" ref="Q122" si="178">Q65-P65</f>
        <v>4008.0854954349197</v>
      </c>
      <c r="R122" s="53">
        <f t="shared" ref="R122" si="179">R65-Q65</f>
        <v>3898.7564601790218</v>
      </c>
      <c r="S122" s="53">
        <f>S65-R65</f>
        <v>3773.2805734614085</v>
      </c>
      <c r="T122" s="53">
        <f>T65-S65</f>
        <v>3634.9031942526199</v>
      </c>
      <c r="U122" s="53">
        <f t="shared" ref="U122" si="180">U65-T65</f>
        <v>3486.6690749944391</v>
      </c>
      <c r="V122" s="53">
        <f t="shared" ref="V122" si="181">V65-U65</f>
        <v>3331.3749385109404</v>
      </c>
    </row>
    <row r="123" spans="1:22" x14ac:dyDescent="0.3">
      <c r="D123" s="21" t="s">
        <v>227</v>
      </c>
      <c r="F123" s="21" t="s">
        <v>165</v>
      </c>
      <c r="H123" s="50">
        <f>SUM(Inputs!H131:H133)</f>
        <v>-5974.4299999999994</v>
      </c>
      <c r="I123" s="50">
        <f>SUM(Inputs!I131:I133)</f>
        <v>5494.880000000001</v>
      </c>
      <c r="J123" s="50">
        <f>SUM(Inputs!J131:J133)</f>
        <v>-1204.0100000000002</v>
      </c>
      <c r="K123" s="50">
        <f>SUM(Inputs!K131:K133)</f>
        <v>-609.67000000000007</v>
      </c>
      <c r="L123" s="50">
        <f>SUM(Inputs!L131:L133)</f>
        <v>-4124</v>
      </c>
      <c r="M123" s="53">
        <f>(L52-M52)+(M66-L66)</f>
        <v>0</v>
      </c>
      <c r="N123" s="53">
        <f t="shared" ref="N123:P123" si="182">(M52-N52)+(N66-M66)</f>
        <v>0</v>
      </c>
      <c r="O123" s="53">
        <f t="shared" si="182"/>
        <v>0</v>
      </c>
      <c r="P123" s="53">
        <f t="shared" si="182"/>
        <v>0</v>
      </c>
      <c r="Q123" s="53">
        <f t="shared" ref="Q123" si="183">(P52-Q52)+(Q66-P66)</f>
        <v>0</v>
      </c>
      <c r="R123" s="53">
        <f t="shared" ref="R123" si="184">(Q52-R52)+(R66-Q66)</f>
        <v>0</v>
      </c>
      <c r="S123" s="53">
        <f t="shared" ref="S123" si="185">(R52-S52)+(S66-R66)</f>
        <v>0</v>
      </c>
      <c r="T123" s="53">
        <f t="shared" ref="T123" si="186">(S52-T52)+(T66-S66)</f>
        <v>0</v>
      </c>
      <c r="U123" s="53">
        <f t="shared" ref="U123" si="187">(T52-U52)+(U66-T66)</f>
        <v>0</v>
      </c>
      <c r="V123" s="53">
        <f t="shared" ref="V123" si="188">(U52-V52)+(V66-U66)</f>
        <v>0</v>
      </c>
    </row>
    <row r="124" spans="1:22" x14ac:dyDescent="0.3">
      <c r="D124" s="37" t="s">
        <v>228</v>
      </c>
      <c r="E124" s="38"/>
      <c r="F124" s="38" t="s">
        <v>165</v>
      </c>
      <c r="G124" s="38"/>
      <c r="H124" s="51">
        <f t="shared" ref="H124:M124" si="189">SUM(H120:H123)</f>
        <v>-16909.919999999998</v>
      </c>
      <c r="I124" s="51">
        <f t="shared" si="189"/>
        <v>-1124.2199999999993</v>
      </c>
      <c r="J124" s="51">
        <f t="shared" si="189"/>
        <v>-3374.6600000000008</v>
      </c>
      <c r="K124" s="51">
        <f t="shared" si="189"/>
        <v>4611.7199999999993</v>
      </c>
      <c r="L124" s="51">
        <f t="shared" si="189"/>
        <v>858</v>
      </c>
      <c r="M124" s="51">
        <f t="shared" si="189"/>
        <v>-9394.9315441099825</v>
      </c>
      <c r="N124" s="51">
        <f t="shared" ref="N124:P124" si="190">SUM(N120:N123)</f>
        <v>-2962.7826626574606</v>
      </c>
      <c r="O124" s="51">
        <f t="shared" si="190"/>
        <v>-2934.1925506584739</v>
      </c>
      <c r="P124" s="51">
        <f t="shared" si="190"/>
        <v>-2887.0854940023273</v>
      </c>
      <c r="Q124" s="51">
        <f t="shared" ref="Q124:V124" si="191">SUM(Q120:Q123)</f>
        <v>-2823.8153418043585</v>
      </c>
      <c r="R124" s="51">
        <f t="shared" si="191"/>
        <v>-2746.7897874812115</v>
      </c>
      <c r="S124" s="51">
        <f t="shared" si="191"/>
        <v>-2658.388296459314</v>
      </c>
      <c r="T124" s="51">
        <f t="shared" si="191"/>
        <v>-2560.8973205773291</v>
      </c>
      <c r="U124" s="51">
        <f t="shared" si="191"/>
        <v>-2456.4619784128809</v>
      </c>
      <c r="V124" s="51">
        <f t="shared" si="191"/>
        <v>-2347.0526443071431</v>
      </c>
    </row>
    <row r="127" spans="1:22" x14ac:dyDescent="0.3">
      <c r="C127" s="22" t="s">
        <v>231</v>
      </c>
    </row>
    <row r="128" spans="1:22" x14ac:dyDescent="0.3">
      <c r="D128" s="21" t="s">
        <v>232</v>
      </c>
      <c r="F128" s="21" t="s">
        <v>165</v>
      </c>
      <c r="H128" s="53"/>
      <c r="I128" s="53">
        <f>H131</f>
        <v>70725.039999999994</v>
      </c>
      <c r="J128" s="53">
        <f>I131</f>
        <v>65427.87</v>
      </c>
      <c r="K128" s="53">
        <f>J131</f>
        <v>61695.29</v>
      </c>
      <c r="L128" s="53">
        <f>K131</f>
        <v>58616.44</v>
      </c>
      <c r="M128" s="53">
        <f>L131</f>
        <v>57218</v>
      </c>
      <c r="N128" s="53">
        <f t="shared" ref="N128" si="192">M131</f>
        <v>56034.014722095315</v>
      </c>
      <c r="O128" s="53">
        <f t="shared" ref="O128" si="193">N131</f>
        <v>55294.369793848309</v>
      </c>
      <c r="P128" s="53">
        <f t="shared" ref="P128" si="194">O131</f>
        <v>54863.379478365707</v>
      </c>
      <c r="Q128" s="53">
        <f t="shared" ref="Q128" si="195">P131</f>
        <v>54646.918427581368</v>
      </c>
      <c r="R128" s="53">
        <f t="shared" ref="R128" si="196">Q131</f>
        <v>54579.692417698767</v>
      </c>
      <c r="S128" s="53">
        <f t="shared" ref="S128" si="197">R131</f>
        <v>54616.407852495744</v>
      </c>
      <c r="T128" s="53">
        <f t="shared" ref="T128" si="198">S131</f>
        <v>54725.645904966397</v>
      </c>
      <c r="U128" s="53">
        <f t="shared" ref="U128" si="199">T131</f>
        <v>54885.612910330921</v>
      </c>
      <c r="V128" s="53">
        <f t="shared" ref="V128" si="200">U131</f>
        <v>55081.192344972013</v>
      </c>
    </row>
    <row r="129" spans="2:22" x14ac:dyDescent="0.3">
      <c r="D129" s="21" t="s">
        <v>233</v>
      </c>
      <c r="F129" s="21" t="s">
        <v>165</v>
      </c>
      <c r="H129" s="53"/>
      <c r="I129" s="53">
        <f>I131-I128-I130</f>
        <v>19427.73000000001</v>
      </c>
      <c r="J129" s="53">
        <f>J131-J128-J130</f>
        <v>14858.009999999998</v>
      </c>
      <c r="K129" s="53">
        <f>K131-K128-K130</f>
        <v>14742.550000000003</v>
      </c>
      <c r="L129" s="53">
        <f>L131-L128-L130</f>
        <v>16335.559999999998</v>
      </c>
      <c r="M129" s="53">
        <f>AVERAGE(I129:L129)</f>
        <v>16340.962500000001</v>
      </c>
      <c r="N129" s="53">
        <f>M129*(1+Assumptions!$D$29)</f>
        <v>16422.667312499998</v>
      </c>
      <c r="O129" s="53">
        <f>N129*(1+Assumptions!$D$29)</f>
        <v>16504.780649062497</v>
      </c>
      <c r="P129" s="53">
        <f>O129*(1+Assumptions!$D$29)</f>
        <v>16587.304552307807</v>
      </c>
      <c r="Q129" s="53">
        <f>P129*(1+Assumptions!$D$29)</f>
        <v>16670.241075069345</v>
      </c>
      <c r="R129" s="53">
        <f>Q129*(1+Assumptions!$D$29)</f>
        <v>16753.592280444689</v>
      </c>
      <c r="S129" s="53">
        <f>R129*(1+Assumptions!$D$29)</f>
        <v>16837.360241846909</v>
      </c>
      <c r="T129" s="53">
        <f>S129*(1+Assumptions!$D$29)</f>
        <v>16921.547043056144</v>
      </c>
      <c r="U129" s="53">
        <f>T129*(1+Assumptions!$D$29)</f>
        <v>17006.154778271422</v>
      </c>
      <c r="V129" s="53">
        <f>U129*(1+Assumptions!$D$29)</f>
        <v>17091.185552162777</v>
      </c>
    </row>
    <row r="130" spans="2:22" x14ac:dyDescent="0.3">
      <c r="D130" s="21" t="s">
        <v>234</v>
      </c>
      <c r="F130" s="21" t="s">
        <v>165</v>
      </c>
      <c r="H130" s="53">
        <f>H33</f>
        <v>-33477.789999999994</v>
      </c>
      <c r="I130" s="53">
        <f>I33</f>
        <v>-24724.9</v>
      </c>
      <c r="J130" s="53">
        <f>J33</f>
        <v>-18590.59</v>
      </c>
      <c r="K130" s="53">
        <f>K33</f>
        <v>-17821.400000000001</v>
      </c>
      <c r="L130" s="53">
        <f>L33</f>
        <v>-17734</v>
      </c>
      <c r="M130" s="53">
        <f t="shared" ref="M130:P130" si="201">-M128*M12</f>
        <v>-17524.947777904679</v>
      </c>
      <c r="N130" s="53">
        <f t="shared" si="201"/>
        <v>-17162.312240747007</v>
      </c>
      <c r="O130" s="53">
        <f t="shared" si="201"/>
        <v>-16935.7709645451</v>
      </c>
      <c r="P130" s="53">
        <f t="shared" si="201"/>
        <v>-16803.765603092143</v>
      </c>
      <c r="Q130" s="53">
        <f t="shared" ref="Q130:V130" si="202">-Q128*Q12</f>
        <v>-16737.467084951943</v>
      </c>
      <c r="R130" s="53">
        <f t="shared" si="202"/>
        <v>-16716.876845647712</v>
      </c>
      <c r="S130" s="53">
        <f t="shared" si="202"/>
        <v>-16728.122189376259</v>
      </c>
      <c r="T130" s="53">
        <f t="shared" si="202"/>
        <v>-16761.58003769162</v>
      </c>
      <c r="U130" s="53">
        <f t="shared" si="202"/>
        <v>-16810.575343630328</v>
      </c>
      <c r="V130" s="53">
        <f t="shared" si="202"/>
        <v>-16870.47816055013</v>
      </c>
    </row>
    <row r="131" spans="2:22" x14ac:dyDescent="0.3">
      <c r="D131" s="38" t="s">
        <v>239</v>
      </c>
      <c r="E131" s="38"/>
      <c r="F131" s="38" t="s">
        <v>165</v>
      </c>
      <c r="G131" s="38"/>
      <c r="H131" s="51">
        <f>H55</f>
        <v>70725.039999999994</v>
      </c>
      <c r="I131" s="51">
        <f>I55</f>
        <v>65427.87</v>
      </c>
      <c r="J131" s="51">
        <f>J55</f>
        <v>61695.29</v>
      </c>
      <c r="K131" s="51">
        <f>K55</f>
        <v>58616.44</v>
      </c>
      <c r="L131" s="51">
        <f>L55</f>
        <v>57218</v>
      </c>
      <c r="M131" s="70">
        <f t="shared" ref="M131:P131" si="203">SUM(M128:M130)</f>
        <v>56034.014722095315</v>
      </c>
      <c r="N131" s="70">
        <f t="shared" si="203"/>
        <v>55294.369793848309</v>
      </c>
      <c r="O131" s="70">
        <f t="shared" si="203"/>
        <v>54863.379478365707</v>
      </c>
      <c r="P131" s="70">
        <f t="shared" si="203"/>
        <v>54646.918427581368</v>
      </c>
      <c r="Q131" s="70">
        <f t="shared" ref="Q131:V131" si="204">SUM(Q128:Q130)</f>
        <v>54579.692417698767</v>
      </c>
      <c r="R131" s="70">
        <f t="shared" si="204"/>
        <v>54616.407852495744</v>
      </c>
      <c r="S131" s="70">
        <f t="shared" si="204"/>
        <v>54725.645904966397</v>
      </c>
      <c r="T131" s="70">
        <f t="shared" si="204"/>
        <v>54885.612910330921</v>
      </c>
      <c r="U131" s="70">
        <f t="shared" si="204"/>
        <v>55081.192344972013</v>
      </c>
      <c r="V131" s="70">
        <f t="shared" si="204"/>
        <v>55301.899736584659</v>
      </c>
    </row>
    <row r="134" spans="2:22" x14ac:dyDescent="0.3">
      <c r="C134" s="22" t="s">
        <v>235</v>
      </c>
    </row>
    <row r="135" spans="2:22" x14ac:dyDescent="0.3">
      <c r="D135" s="21" t="s">
        <v>236</v>
      </c>
      <c r="F135" s="21" t="s">
        <v>165</v>
      </c>
      <c r="H135" s="53"/>
      <c r="I135" s="53">
        <f>H137</f>
        <v>28155.54</v>
      </c>
      <c r="J135" s="53">
        <f>I137</f>
        <v>9050.8000000000011</v>
      </c>
      <c r="K135" s="53">
        <f>J137</f>
        <v>9395.59</v>
      </c>
      <c r="L135" s="53">
        <f>K137</f>
        <v>8979.09</v>
      </c>
      <c r="M135" s="52">
        <f>L137</f>
        <v>16192</v>
      </c>
      <c r="N135" s="52">
        <f t="shared" ref="N135" si="205">M137</f>
        <v>16192</v>
      </c>
      <c r="O135" s="52">
        <f t="shared" ref="O135" si="206">N137</f>
        <v>16192</v>
      </c>
      <c r="P135" s="52">
        <f t="shared" ref="P135" si="207">O137</f>
        <v>16192</v>
      </c>
      <c r="Q135" s="52">
        <f t="shared" ref="Q135" si="208">P137</f>
        <v>16192</v>
      </c>
      <c r="R135" s="52">
        <f t="shared" ref="R135" si="209">Q137</f>
        <v>16192</v>
      </c>
      <c r="S135" s="52">
        <f t="shared" ref="S135" si="210">R137</f>
        <v>16192</v>
      </c>
      <c r="T135" s="52">
        <f t="shared" ref="T135" si="211">S137</f>
        <v>16192</v>
      </c>
      <c r="U135" s="52">
        <f t="shared" ref="U135" si="212">T137</f>
        <v>16192</v>
      </c>
      <c r="V135" s="52">
        <f t="shared" ref="V135" si="213">U137</f>
        <v>16192</v>
      </c>
    </row>
    <row r="136" spans="2:22" x14ac:dyDescent="0.3">
      <c r="D136" s="21" t="s">
        <v>237</v>
      </c>
      <c r="F136" s="21" t="s">
        <v>165</v>
      </c>
      <c r="H136" s="53">
        <f>H137-H135</f>
        <v>28155.54</v>
      </c>
      <c r="I136" s="53">
        <f>I137-I135</f>
        <v>-19104.739999999998</v>
      </c>
      <c r="J136" s="53">
        <f>J137-J135</f>
        <v>344.78999999999905</v>
      </c>
      <c r="K136" s="53">
        <f>K137-K135</f>
        <v>-416.5</v>
      </c>
      <c r="L136" s="53">
        <f>L137-L135</f>
        <v>7212.91</v>
      </c>
      <c r="M136" s="52">
        <v>0</v>
      </c>
      <c r="N136" s="52">
        <v>0</v>
      </c>
      <c r="O136" s="52">
        <v>0</v>
      </c>
      <c r="P136" s="52">
        <v>0</v>
      </c>
      <c r="Q136" s="52">
        <v>0</v>
      </c>
      <c r="R136" s="52">
        <v>0</v>
      </c>
      <c r="S136" s="52">
        <v>0</v>
      </c>
      <c r="T136" s="52">
        <v>0</v>
      </c>
      <c r="U136" s="52">
        <v>0</v>
      </c>
      <c r="V136" s="52">
        <v>0</v>
      </c>
    </row>
    <row r="137" spans="2:22" x14ac:dyDescent="0.3">
      <c r="D137" s="37" t="s">
        <v>238</v>
      </c>
      <c r="E137" s="37"/>
      <c r="F137" s="38" t="s">
        <v>165</v>
      </c>
      <c r="G137" s="37"/>
      <c r="H137" s="51">
        <f>H68</f>
        <v>28155.54</v>
      </c>
      <c r="I137" s="51">
        <f>I68</f>
        <v>9050.8000000000011</v>
      </c>
      <c r="J137" s="51">
        <f>J68</f>
        <v>9395.59</v>
      </c>
      <c r="K137" s="51">
        <f>K68</f>
        <v>8979.09</v>
      </c>
      <c r="L137" s="51">
        <f>L68</f>
        <v>16192</v>
      </c>
      <c r="M137" s="70">
        <f t="shared" ref="M137:P137" si="214">SUM(M135:M136)</f>
        <v>16192</v>
      </c>
      <c r="N137" s="70">
        <f t="shared" si="214"/>
        <v>16192</v>
      </c>
      <c r="O137" s="70">
        <f t="shared" si="214"/>
        <v>16192</v>
      </c>
      <c r="P137" s="70">
        <f t="shared" si="214"/>
        <v>16192</v>
      </c>
      <c r="Q137" s="70">
        <f t="shared" ref="Q137:V137" si="215">SUM(Q135:Q136)</f>
        <v>16192</v>
      </c>
      <c r="R137" s="70">
        <f t="shared" si="215"/>
        <v>16192</v>
      </c>
      <c r="S137" s="70">
        <f t="shared" si="215"/>
        <v>16192</v>
      </c>
      <c r="T137" s="70">
        <f t="shared" si="215"/>
        <v>16192</v>
      </c>
      <c r="U137" s="70">
        <f t="shared" si="215"/>
        <v>16192</v>
      </c>
      <c r="V137" s="70">
        <f t="shared" si="215"/>
        <v>16192</v>
      </c>
    </row>
    <row r="138" spans="2:22" x14ac:dyDescent="0.3">
      <c r="D138" s="21" t="s">
        <v>173</v>
      </c>
      <c r="F138" s="21" t="s">
        <v>165</v>
      </c>
      <c r="H138" s="53">
        <f>H35</f>
        <v>-507.29</v>
      </c>
      <c r="I138" s="53">
        <f>I35</f>
        <v>-739.14</v>
      </c>
      <c r="J138" s="53">
        <f>J35</f>
        <v>-997.72</v>
      </c>
      <c r="K138" s="53">
        <f>K35</f>
        <v>-933.69</v>
      </c>
      <c r="L138" s="53">
        <f>L35</f>
        <v>-1113</v>
      </c>
      <c r="M138" s="53">
        <f>-M137*M13</f>
        <v>-2007.0737680544466</v>
      </c>
      <c r="N138" s="53">
        <f t="shared" ref="N138:P138" si="216">-N137*N13</f>
        <v>-2007.0737680544466</v>
      </c>
      <c r="O138" s="53">
        <f t="shared" si="216"/>
        <v>-2007.0737680544466</v>
      </c>
      <c r="P138" s="53">
        <f t="shared" si="216"/>
        <v>-2007.0737680544466</v>
      </c>
      <c r="Q138" s="53">
        <f t="shared" ref="Q138:V138" si="217">-Q137*Q13</f>
        <v>-2007.0737680544466</v>
      </c>
      <c r="R138" s="53">
        <f t="shared" si="217"/>
        <v>-2007.0737680544466</v>
      </c>
      <c r="S138" s="53">
        <f t="shared" si="217"/>
        <v>-2007.0737680544466</v>
      </c>
      <c r="T138" s="53">
        <f t="shared" si="217"/>
        <v>-2007.0737680544466</v>
      </c>
      <c r="U138" s="53">
        <f t="shared" si="217"/>
        <v>-2007.0737680544466</v>
      </c>
      <c r="V138" s="53">
        <f t="shared" si="217"/>
        <v>-2007.0737680544466</v>
      </c>
    </row>
    <row r="141" spans="2:22" x14ac:dyDescent="0.3">
      <c r="B141" s="33"/>
    </row>
    <row r="145" spans="3:11" x14ac:dyDescent="0.3">
      <c r="K145" s="34"/>
    </row>
    <row r="148" spans="3:11" x14ac:dyDescent="0.3">
      <c r="D148" s="22"/>
    </row>
    <row r="150" spans="3:11" x14ac:dyDescent="0.3">
      <c r="C150" s="22"/>
    </row>
    <row r="153" spans="3:11" x14ac:dyDescent="0.3">
      <c r="J153" s="34"/>
    </row>
    <row r="154" spans="3:11" x14ac:dyDescent="0.3">
      <c r="K154" s="34"/>
    </row>
    <row r="160" spans="3:11" x14ac:dyDescent="0.3">
      <c r="J160" s="34"/>
    </row>
    <row r="161" spans="3:11" x14ac:dyDescent="0.3">
      <c r="K161" s="21"/>
    </row>
    <row r="162" spans="3:11" x14ac:dyDescent="0.3">
      <c r="D162" s="22"/>
      <c r="K162" s="36"/>
    </row>
    <row r="164" spans="3:11" x14ac:dyDescent="0.3">
      <c r="C164" s="22"/>
    </row>
    <row r="165" spans="3:11" x14ac:dyDescent="0.3">
      <c r="D165" s="22"/>
    </row>
    <row r="168" spans="3:11" x14ac:dyDescent="0.3">
      <c r="D168" s="22"/>
    </row>
    <row r="169" spans="3:11" x14ac:dyDescent="0.3">
      <c r="D169" s="22"/>
      <c r="H169" s="21"/>
      <c r="I169" s="21"/>
    </row>
    <row r="175" spans="3:11" x14ac:dyDescent="0.3">
      <c r="D175" s="22"/>
    </row>
  </sheetData>
  <pageMargins left="0.7" right="0.7" top="0.75" bottom="0.75" header="0.3" footer="0.3"/>
  <ignoredErrors>
    <ignoredError sqref="H65:K65 H58:K58 H95:K95 H101:H102 H123:L123 H27:J33 H69:K69 H66:K67 L65:L69 K27:L27" formulaRange="1"/>
    <ignoredError sqref="H15 M15:V15" 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7EA66EF-AFAB-4E81-8CD4-B2B9D45448D8}">
          <x14:formula1>
            <xm:f>Scenarios!$D$8:$D$10</xm:f>
          </x14:formula1>
          <xm:sqref>E7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CF260-8401-4428-80D7-E2DED54AC4C9}">
  <dimension ref="A1:T2480"/>
  <sheetViews>
    <sheetView showGridLines="0" topLeftCell="H1" zoomScale="85" zoomScaleNormal="85" workbookViewId="0">
      <pane ySplit="4" topLeftCell="A31" activePane="bottomLeft" state="frozen"/>
      <selection pane="bottomLeft" activeCell="R10" sqref="R10"/>
    </sheetView>
  </sheetViews>
  <sheetFormatPr defaultColWidth="11.77734375" defaultRowHeight="15.6" x14ac:dyDescent="0.3"/>
  <cols>
    <col min="1" max="1" width="5.21875" style="1" customWidth="1"/>
    <col min="2" max="2" width="34.88671875" style="21" customWidth="1"/>
    <col min="3" max="7" width="11.77734375" style="171" customWidth="1"/>
    <col min="8" max="12" width="11.77734375" style="32" customWidth="1"/>
    <col min="13" max="17" width="11.77734375" style="171" customWidth="1"/>
    <col min="18" max="18" width="29.109375" style="1" customWidth="1"/>
    <col min="19" max="19" width="11.77734375" style="1"/>
    <col min="20" max="20" width="189.109375" style="169" customWidth="1"/>
    <col min="21" max="16384" width="11.77734375" style="1"/>
  </cols>
  <sheetData>
    <row r="1" spans="1:20" ht="43.8" customHeight="1" x14ac:dyDescent="0.45">
      <c r="A1" s="2" t="s">
        <v>0</v>
      </c>
      <c r="B1" s="3"/>
      <c r="C1" s="3"/>
      <c r="D1" s="3"/>
      <c r="E1" s="3"/>
      <c r="F1" s="3"/>
      <c r="G1" s="3"/>
      <c r="H1" s="3"/>
      <c r="I1" s="3"/>
      <c r="J1" s="3"/>
      <c r="K1" s="3"/>
      <c r="L1" s="3"/>
      <c r="M1" s="7"/>
      <c r="N1" s="3"/>
      <c r="O1" s="3"/>
      <c r="P1" s="3"/>
      <c r="Q1" s="3"/>
      <c r="R1" s="3"/>
      <c r="T1" s="1"/>
    </row>
    <row r="2" spans="1:20" ht="17.399999999999999" customHeight="1" x14ac:dyDescent="0.35">
      <c r="A2" s="4" t="s">
        <v>344</v>
      </c>
      <c r="B2" s="3"/>
      <c r="C2" s="3"/>
      <c r="D2" s="3"/>
      <c r="E2" s="3"/>
      <c r="F2" s="3"/>
      <c r="G2" s="3"/>
      <c r="H2" s="93"/>
      <c r="I2" s="93"/>
      <c r="J2" s="93"/>
      <c r="K2" s="93"/>
      <c r="L2" s="93"/>
      <c r="M2" s="8"/>
      <c r="N2" s="9"/>
      <c r="O2" s="9"/>
      <c r="P2" s="9"/>
      <c r="Q2" s="9"/>
      <c r="R2" s="9"/>
      <c r="T2" s="1"/>
    </row>
    <row r="3" spans="1:20" s="11" customFormat="1" ht="17.399999999999999" customHeight="1" x14ac:dyDescent="0.35">
      <c r="A3" s="10"/>
      <c r="H3" s="12"/>
      <c r="I3" s="12"/>
      <c r="J3" s="12"/>
      <c r="K3" s="12"/>
      <c r="L3" s="12"/>
      <c r="M3" s="13"/>
      <c r="N3" s="13"/>
      <c r="O3" s="13"/>
      <c r="P3" s="13"/>
      <c r="Q3" s="13"/>
    </row>
    <row r="4" spans="1:20" s="11" customFormat="1" ht="17.399999999999999" customHeight="1" x14ac:dyDescent="0.35">
      <c r="A4" s="153"/>
      <c r="B4" s="4" t="s">
        <v>345</v>
      </c>
      <c r="C4" s="6">
        <v>2022</v>
      </c>
      <c r="D4" s="6">
        <f t="shared" ref="D4:Q4" si="0">C4+1</f>
        <v>2023</v>
      </c>
      <c r="E4" s="6">
        <f t="shared" si="0"/>
        <v>2024</v>
      </c>
      <c r="F4" s="6">
        <f t="shared" si="0"/>
        <v>2025</v>
      </c>
      <c r="G4" s="110">
        <v>2026</v>
      </c>
      <c r="H4" s="9">
        <f t="shared" si="0"/>
        <v>2027</v>
      </c>
      <c r="I4" s="9">
        <f t="shared" si="0"/>
        <v>2028</v>
      </c>
      <c r="J4" s="9">
        <f t="shared" si="0"/>
        <v>2029</v>
      </c>
      <c r="K4" s="9">
        <f t="shared" si="0"/>
        <v>2030</v>
      </c>
      <c r="L4" s="9">
        <f t="shared" si="0"/>
        <v>2031</v>
      </c>
      <c r="M4" s="9">
        <f t="shared" si="0"/>
        <v>2032</v>
      </c>
      <c r="N4" s="9">
        <f t="shared" si="0"/>
        <v>2033</v>
      </c>
      <c r="O4" s="9">
        <f t="shared" si="0"/>
        <v>2034</v>
      </c>
      <c r="P4" s="9">
        <f t="shared" si="0"/>
        <v>2035</v>
      </c>
      <c r="Q4" s="9">
        <f t="shared" si="0"/>
        <v>2036</v>
      </c>
      <c r="R4" s="144" t="s">
        <v>398</v>
      </c>
      <c r="T4" s="20" t="s">
        <v>399</v>
      </c>
    </row>
    <row r="5" spans="1:20" s="11" customFormat="1" ht="17.399999999999999" customHeight="1" x14ac:dyDescent="0.35">
      <c r="A5" s="10"/>
      <c r="B5" s="22" t="s">
        <v>346</v>
      </c>
      <c r="D5" s="124"/>
      <c r="E5" s="125"/>
      <c r="F5" s="126"/>
      <c r="G5" s="54"/>
      <c r="H5" s="54"/>
      <c r="I5" s="54"/>
      <c r="J5" s="54"/>
      <c r="K5" s="54"/>
      <c r="L5" s="54"/>
      <c r="M5" s="13"/>
      <c r="N5" s="13"/>
      <c r="O5" s="13"/>
      <c r="P5" s="13"/>
      <c r="Q5" s="13"/>
    </row>
    <row r="6" spans="1:20" s="11" customFormat="1" ht="17.399999999999999" customHeight="1" x14ac:dyDescent="0.35">
      <c r="A6" s="10"/>
      <c r="B6" s="22"/>
      <c r="D6" s="124"/>
      <c r="E6" s="125"/>
      <c r="F6" s="126"/>
      <c r="G6" s="54"/>
      <c r="H6" s="54"/>
      <c r="I6" s="54"/>
      <c r="J6" s="54"/>
      <c r="K6" s="54"/>
      <c r="L6" s="54"/>
      <c r="M6" s="13"/>
      <c r="N6" s="13"/>
      <c r="O6" s="13"/>
      <c r="P6" s="13"/>
      <c r="Q6" s="13"/>
    </row>
    <row r="7" spans="1:20" ht="55.2" customHeight="1" x14ac:dyDescent="0.35">
      <c r="B7" s="21" t="s">
        <v>347</v>
      </c>
      <c r="C7" s="65">
        <f>Model!H28/Model!H26</f>
        <v>0.66332243858195294</v>
      </c>
      <c r="D7" s="65">
        <f>Model!I28/Model!I26</f>
        <v>0.64725313964251019</v>
      </c>
      <c r="E7" s="65">
        <f>Model!J28/Model!J26</f>
        <v>0.67565592033257027</v>
      </c>
      <c r="F7" s="65">
        <f>Model!K28/Model!K26</f>
        <v>0.68648601437061951</v>
      </c>
      <c r="G7" s="65">
        <f>Model!L28/Model!L26</f>
        <v>0.69890012197348339</v>
      </c>
      <c r="H7" s="65">
        <f>Model!M28/Model!M26</f>
        <v>0.67432352698022724</v>
      </c>
      <c r="I7" s="65">
        <f>Model!N28/Model!N26</f>
        <v>0.67432352698022713</v>
      </c>
      <c r="J7" s="65">
        <f>Model!O28/Model!O26</f>
        <v>0.67432352698022724</v>
      </c>
      <c r="K7" s="65">
        <f>Model!P28/Model!P26</f>
        <v>0.67432352698022724</v>
      </c>
      <c r="L7" s="65">
        <f>Model!Q28/Model!Q26</f>
        <v>0.67432352698022724</v>
      </c>
      <c r="M7" s="65">
        <f>Model!R28/Model!R26</f>
        <v>0.67432352698022724</v>
      </c>
      <c r="N7" s="65">
        <f>Model!S28/Model!S26</f>
        <v>0.67432352698022724</v>
      </c>
      <c r="O7" s="65">
        <f>Model!T28/Model!T26</f>
        <v>0.67432352698022724</v>
      </c>
      <c r="P7" s="65">
        <f>Model!U28/Model!U26</f>
        <v>0.67432352698022724</v>
      </c>
      <c r="Q7" s="65">
        <f>Model!V28/Model!V26</f>
        <v>0.67432352698022724</v>
      </c>
      <c r="R7" s="11"/>
      <c r="T7" s="155" t="s">
        <v>512</v>
      </c>
    </row>
    <row r="8" spans="1:20" ht="65.400000000000006" customHeight="1" x14ac:dyDescent="0.35">
      <c r="B8" s="167" t="s">
        <v>348</v>
      </c>
      <c r="C8" s="65">
        <f>Model!H32/Model!H26</f>
        <v>0.29881026830003848</v>
      </c>
      <c r="D8" s="65">
        <f>Model!I32/Model!I26</f>
        <v>0.25332459551037234</v>
      </c>
      <c r="E8" s="65">
        <f>Model!J32/Model!J26</f>
        <v>0.26537506861892363</v>
      </c>
      <c r="F8" s="65">
        <f>Model!K32/Model!K26</f>
        <v>0.26911505510648642</v>
      </c>
      <c r="G8" s="65">
        <f>Model!L32/Model!L26</f>
        <v>0.25496691370045321</v>
      </c>
      <c r="H8" s="65">
        <f>Model!M32/Model!M26</f>
        <v>0.26831838024725485</v>
      </c>
      <c r="I8" s="65">
        <f>Model!N32/Model!N26</f>
        <v>0.26831838024725474</v>
      </c>
      <c r="J8" s="65">
        <f>Model!O32/Model!O26</f>
        <v>0.2683183802472548</v>
      </c>
      <c r="K8" s="65">
        <f>Model!P32/Model!P26</f>
        <v>0.2683183802472548</v>
      </c>
      <c r="L8" s="65">
        <f>Model!Q32/Model!Q26</f>
        <v>0.2683183802472548</v>
      </c>
      <c r="M8" s="65">
        <f>Model!R32/Model!R26</f>
        <v>0.26831838024725474</v>
      </c>
      <c r="N8" s="65">
        <f>Model!S32/Model!S26</f>
        <v>0.26831838024725485</v>
      </c>
      <c r="O8" s="65">
        <f>Model!T32/Model!T26</f>
        <v>0.26831838024725485</v>
      </c>
      <c r="P8" s="65">
        <f>Model!U32/Model!U26</f>
        <v>0.2683183802472548</v>
      </c>
      <c r="Q8" s="65">
        <f>Model!V32/Model!V26</f>
        <v>0.26831838024725485</v>
      </c>
      <c r="R8" s="11"/>
      <c r="T8" s="155" t="s">
        <v>437</v>
      </c>
    </row>
    <row r="9" spans="1:20" ht="81.599999999999994" customHeight="1" x14ac:dyDescent="0.35">
      <c r="B9" s="167" t="s">
        <v>349</v>
      </c>
      <c r="C9" s="65">
        <f>Model!H34/Model!H26</f>
        <v>0.193772772960836</v>
      </c>
      <c r="D9" s="65">
        <f>Model!I34/Model!I26</f>
        <v>0.18072665241441183</v>
      </c>
      <c r="E9" s="65">
        <f>Model!J34/Model!J26</f>
        <v>0.21341839313024313</v>
      </c>
      <c r="F9" s="65">
        <f>Model!K34/Model!K26</f>
        <v>0.22232976335170168</v>
      </c>
      <c r="G9" s="65">
        <f>Model!L34/Model!L26</f>
        <v>0.20804548737799344</v>
      </c>
      <c r="H9" s="65">
        <f>Model!M34/Model!M26</f>
        <v>0.22577864959117261</v>
      </c>
      <c r="I9" s="65">
        <f>Model!N34/Model!N26</f>
        <v>0.22982854245758838</v>
      </c>
      <c r="J9" s="65">
        <f>Model!O34/Model!O26</f>
        <v>0.23299800465442669</v>
      </c>
      <c r="K9" s="65">
        <f>Model!P34/Model!P26</f>
        <v>0.23553366608190615</v>
      </c>
      <c r="L9" s="65">
        <f>Model!Q34/Model!Q26</f>
        <v>0.23760083645282234</v>
      </c>
      <c r="M9" s="65">
        <f>Model!R34/Model!R26</f>
        <v>0.23931290437934297</v>
      </c>
      <c r="N9" s="65">
        <f>Model!S34/Model!S26</f>
        <v>0.24074948338361196</v>
      </c>
      <c r="O9" s="65">
        <f>Model!T34/Model!T26</f>
        <v>0.24196778894490498</v>
      </c>
      <c r="P9" s="65">
        <f>Model!U34/Model!U26</f>
        <v>0.24300988659210776</v>
      </c>
      <c r="Q9" s="65">
        <f>Model!V34/Model!V26</f>
        <v>0.24390738585131494</v>
      </c>
      <c r="R9" s="11"/>
      <c r="T9" s="155" t="s">
        <v>493</v>
      </c>
    </row>
    <row r="10" spans="1:20" ht="67.2" customHeight="1" x14ac:dyDescent="0.35">
      <c r="B10" s="167" t="s">
        <v>352</v>
      </c>
      <c r="C10" s="65">
        <f>Model!H37/Model!H26</f>
        <v>0.21586347838626158</v>
      </c>
      <c r="D10" s="65">
        <f>Model!I37/Model!I26</f>
        <v>0.19659496799232565</v>
      </c>
      <c r="E10" s="65">
        <f>Model!J37/Model!J26</f>
        <v>0.22102065160602519</v>
      </c>
      <c r="F10" s="65">
        <f>Model!K37/Model!K26</f>
        <v>0.234659633287782</v>
      </c>
      <c r="G10" s="65">
        <f>Model!L37/Model!L26</f>
        <v>0.22385706083592846</v>
      </c>
      <c r="H10" s="65">
        <f>Model!M37/Model!M26</f>
        <v>0.23803652273378462</v>
      </c>
      <c r="I10" s="65">
        <f>Model!N37/Model!N26</f>
        <v>0.24245709394935003</v>
      </c>
      <c r="J10" s="65">
        <f>Model!O37/Model!O26</f>
        <v>0.24594196100099908</v>
      </c>
      <c r="K10" s="65">
        <f>Model!P37/Model!P26</f>
        <v>0.24874760387083353</v>
      </c>
      <c r="L10" s="65">
        <f>Model!Q37/Model!Q26</f>
        <v>0.25104714794045074</v>
      </c>
      <c r="M10" s="65">
        <f>Model!R37/Model!R26</f>
        <v>0.25296023443113791</v>
      </c>
      <c r="N10" s="65">
        <f>Model!S37/Model!S26</f>
        <v>0.25457151814205004</v>
      </c>
      <c r="O10" s="65">
        <f>Model!T37/Model!T26</f>
        <v>0.25594230933134915</v>
      </c>
      <c r="P10" s="65">
        <f>Model!U37/Model!U26</f>
        <v>0.25711802293241021</v>
      </c>
      <c r="Q10" s="65">
        <f>Model!V37/Model!V26</f>
        <v>0.25813302649439646</v>
      </c>
      <c r="R10" s="11"/>
      <c r="T10" s="155" t="s">
        <v>494</v>
      </c>
    </row>
    <row r="11" spans="1:20" ht="39.6" customHeight="1" x14ac:dyDescent="0.35">
      <c r="B11" s="167" t="s">
        <v>350</v>
      </c>
      <c r="C11" s="65">
        <f>Model!H38/Model!H37</f>
        <v>0.21607401109003563</v>
      </c>
      <c r="D11" s="65">
        <f>-Model!I38/Model!I37</f>
        <v>6.2934714003178849E-2</v>
      </c>
      <c r="E11" s="65">
        <f>-Model!J38/Model!J37</f>
        <v>8.4337422524710645E-2</v>
      </c>
      <c r="F11" s="65">
        <f>-Model!K38/Model!K37</f>
        <v>0.10193756804735585</v>
      </c>
      <c r="G11" s="65">
        <f>-Model!L38/Model!L37</f>
        <v>8.3692838654012086E-2</v>
      </c>
      <c r="H11" s="65">
        <f>-Model!M38/Model!M37</f>
        <v>8.8692838654012091E-2</v>
      </c>
      <c r="I11" s="65">
        <f>-Model!N38/Model!N37</f>
        <v>8.8692838654012091E-2</v>
      </c>
      <c r="J11" s="65">
        <f>-Model!O38/Model!O37</f>
        <v>9.3692838654012095E-2</v>
      </c>
      <c r="K11" s="65">
        <f>-Model!P38/Model!P37</f>
        <v>9.3692838654012095E-2</v>
      </c>
      <c r="L11" s="65">
        <f>-Model!Q38/Model!Q37</f>
        <v>9.8692838654012099E-2</v>
      </c>
      <c r="M11" s="65">
        <f>-Model!R38/Model!R37</f>
        <v>9.8692838654012099E-2</v>
      </c>
      <c r="N11" s="65">
        <f>-Model!S38/Model!S37</f>
        <v>0.1036928386540121</v>
      </c>
      <c r="O11" s="65">
        <f>-Model!T38/Model!T37</f>
        <v>0.1036928386540121</v>
      </c>
      <c r="P11" s="65">
        <f>-Model!U38/Model!U37</f>
        <v>0.10869283865401211</v>
      </c>
      <c r="Q11" s="65">
        <f>-Model!V38/Model!V37</f>
        <v>0.10869283865401211</v>
      </c>
      <c r="R11" s="11"/>
      <c r="T11" s="155" t="s">
        <v>515</v>
      </c>
    </row>
    <row r="12" spans="1:20" ht="87.6" customHeight="1" x14ac:dyDescent="0.35">
      <c r="B12" s="167" t="s">
        <v>351</v>
      </c>
      <c r="C12" s="65">
        <f>Model!H39/Model!H26</f>
        <v>0.26250596600902831</v>
      </c>
      <c r="D12" s="65">
        <f>Model!I39/Model!I26</f>
        <v>0.18422231990726454</v>
      </c>
      <c r="E12" s="65">
        <f>Model!J39/Model!J26</f>
        <v>0.20238033952484097</v>
      </c>
      <c r="F12" s="65">
        <f>Model!K39/Model!K26</f>
        <v>0.21073900095154113</v>
      </c>
      <c r="G12" s="65">
        <f>Model!L39/Model!L26</f>
        <v>0.20512182796182574</v>
      </c>
      <c r="H12" s="65">
        <f>Model!M39/Model!M26</f>
        <v>0.21692438782919496</v>
      </c>
      <c r="I12" s="65">
        <f>Model!N39/Model!N26</f>
        <v>0.22095288603517968</v>
      </c>
      <c r="J12" s="65">
        <f>Model!O39/Model!O26</f>
        <v>0.22289896053068115</v>
      </c>
      <c r="K12" s="65">
        <f>Model!P39/Model!P26</f>
        <v>0.22544173475579143</v>
      </c>
      <c r="L12" s="65">
        <f>Model!Q39/Model!Q26</f>
        <v>0.22627059227421395</v>
      </c>
      <c r="M12" s="65">
        <f>Model!R39/Model!R26</f>
        <v>0.22799487082854455</v>
      </c>
      <c r="N12" s="65">
        <f>Model!S39/Model!S26</f>
        <v>0.22817427478543953</v>
      </c>
      <c r="O12" s="65">
        <f>Model!T39/Model!T26</f>
        <v>0.22940292474511828</v>
      </c>
      <c r="P12" s="65">
        <f>Model!U39/Model!U26</f>
        <v>0.22917113515077916</v>
      </c>
      <c r="Q12" s="65">
        <f>Model!V39/Model!V26</f>
        <v>0.23007581509436922</v>
      </c>
      <c r="R12" s="11"/>
      <c r="T12" s="155" t="s">
        <v>516</v>
      </c>
    </row>
    <row r="13" spans="1:20" ht="69.599999999999994" customHeight="1" x14ac:dyDescent="0.35">
      <c r="B13" s="167" t="s">
        <v>360</v>
      </c>
      <c r="C13" s="65"/>
      <c r="D13" s="65">
        <f>Model!I39/AVERAGE(Model!H60:I60)</f>
        <v>0.20346269716512488</v>
      </c>
      <c r="E13" s="65">
        <f>Model!J39/AVERAGE(Model!I60:J60)</f>
        <v>0.22666245562679338</v>
      </c>
      <c r="F13" s="65">
        <f>Model!K39/AVERAGE(Model!J60:K60)</f>
        <v>0.23563952373167207</v>
      </c>
      <c r="G13" s="65">
        <f>Model!L39/AVERAGE(Model!K60:L60)</f>
        <v>0.21038076826809118</v>
      </c>
      <c r="H13" s="65">
        <f>Model!M39/AVERAGE(Model!L60:M60)</f>
        <v>0.21960007358750103</v>
      </c>
      <c r="I13" s="65">
        <f>Model!N39/AVERAGE(Model!M60:N60)</f>
        <v>0.21596477367245062</v>
      </c>
      <c r="J13" s="65">
        <f>Model!O39/AVERAGE(Model!N60:O60)</f>
        <v>0.20953409625296632</v>
      </c>
      <c r="K13" s="65">
        <f>Model!P39/AVERAGE(Model!O60:P60)</f>
        <v>0.20342454662662776</v>
      </c>
      <c r="L13" s="65">
        <f>Model!Q39/AVERAGE(Model!P60:Q60)</f>
        <v>0.19574167660024006</v>
      </c>
      <c r="M13" s="65">
        <f>Model!R39/AVERAGE(Model!Q60:R60)</f>
        <v>0.18894609729355397</v>
      </c>
      <c r="N13" s="65">
        <f>Model!S39/AVERAGE(Model!R60:S60)</f>
        <v>0.18108206657538112</v>
      </c>
      <c r="O13" s="65">
        <f>Model!T39/AVERAGE(Model!S60:T60)</f>
        <v>0.17432297793689824</v>
      </c>
      <c r="P13" s="65">
        <f>Model!U39/AVERAGE(Model!T60:U60)</f>
        <v>0.16676642916976492</v>
      </c>
      <c r="Q13" s="65">
        <f>Model!V39/AVERAGE(Model!U60:V60)</f>
        <v>0.16036953860303368</v>
      </c>
      <c r="R13" s="11"/>
      <c r="T13" s="155" t="s">
        <v>495</v>
      </c>
    </row>
    <row r="14" spans="1:20" ht="54.6" customHeight="1" x14ac:dyDescent="0.35">
      <c r="B14" s="167" t="s">
        <v>361</v>
      </c>
      <c r="C14" s="65"/>
      <c r="D14" s="65">
        <f>Model!I39/AVERAGE(Model!H75:I75)</f>
        <v>0.28652893861835121</v>
      </c>
      <c r="E14" s="65">
        <f>Model!J39/AVERAGE(Model!I75:J75)</f>
        <v>0.30493886281861182</v>
      </c>
      <c r="F14" s="65">
        <f>Model!K39/AVERAGE(Model!J75:K75)</f>
        <v>0.31226827952616115</v>
      </c>
      <c r="G14" s="65">
        <f>Model!L39/AVERAGE(Model!K75:L75)</f>
        <v>0.27595349155328913</v>
      </c>
      <c r="H14" s="65">
        <f>Model!M39/AVERAGE(Model!L75:M75)</f>
        <v>0.28458502024945209</v>
      </c>
      <c r="I14" s="65">
        <f>Model!N39/AVERAGE(Model!M75:N75)</f>
        <v>0.2740645465409417</v>
      </c>
      <c r="J14" s="65">
        <f>Model!O39/AVERAGE(Model!N75:O75)</f>
        <v>0.2612004130927052</v>
      </c>
      <c r="K14" s="65">
        <f>Model!P39/AVERAGE(Model!O75:P75)</f>
        <v>0.24956903006645212</v>
      </c>
      <c r="L14" s="65">
        <f>Model!Q39/AVERAGE(Model!P75:Q75)</f>
        <v>0.23673966781236128</v>
      </c>
      <c r="M14" s="65">
        <f>Model!R39/AVERAGE(Model!Q75:R75)</f>
        <v>0.22561593730169419</v>
      </c>
      <c r="N14" s="65">
        <f>Model!S39/AVERAGE(Model!R75:S75)</f>
        <v>0.21375543676968192</v>
      </c>
      <c r="O14" s="65">
        <f>Model!T39/AVERAGE(Model!S75:T75)</f>
        <v>0.20365745810589683</v>
      </c>
      <c r="P14" s="65">
        <f>Model!U39/AVERAGE(Model!T75:U75)</f>
        <v>0.19301533841203602</v>
      </c>
      <c r="Q14" s="65">
        <f>Model!V39/AVERAGE(Model!U75:V75)</f>
        <v>0.18404422547253294</v>
      </c>
      <c r="R14" s="11"/>
      <c r="T14" s="155" t="s">
        <v>496</v>
      </c>
    </row>
    <row r="15" spans="1:20" x14ac:dyDescent="0.3">
      <c r="B15" s="167"/>
      <c r="C15" s="172"/>
      <c r="D15" s="172"/>
      <c r="E15" s="172"/>
      <c r="F15" s="172"/>
      <c r="G15" s="172"/>
      <c r="H15" s="172"/>
      <c r="I15" s="172"/>
      <c r="J15" s="172"/>
      <c r="K15" s="172"/>
      <c r="L15" s="172"/>
      <c r="M15" s="172"/>
      <c r="N15" s="172"/>
      <c r="O15" s="172"/>
      <c r="P15" s="172"/>
      <c r="Q15" s="172"/>
      <c r="T15" s="156"/>
    </row>
    <row r="16" spans="1:20" x14ac:dyDescent="0.3">
      <c r="B16" s="170" t="s">
        <v>353</v>
      </c>
      <c r="C16" s="172"/>
      <c r="D16" s="172"/>
      <c r="E16" s="172"/>
      <c r="F16" s="172"/>
      <c r="G16" s="172"/>
      <c r="H16" s="172"/>
      <c r="I16" s="172"/>
      <c r="J16" s="172"/>
      <c r="K16" s="172"/>
      <c r="L16" s="172"/>
      <c r="M16" s="172"/>
      <c r="N16" s="172"/>
      <c r="O16" s="172"/>
      <c r="P16" s="172"/>
      <c r="Q16" s="172"/>
      <c r="T16" s="156"/>
    </row>
    <row r="17" spans="2:20" ht="65.400000000000006" customHeight="1" x14ac:dyDescent="0.35">
      <c r="B17" s="167" t="s">
        <v>355</v>
      </c>
      <c r="C17" s="77">
        <f>SUM(Model!H47:H52)/SUM(Model!H65:H66)</f>
        <v>1.6656245676790113</v>
      </c>
      <c r="D17" s="77">
        <f>SUM(Model!I47:I52)/SUM(Model!I65:I66)</f>
        <v>2.0030540482483588</v>
      </c>
      <c r="E17" s="77">
        <f>SUM(Model!J47:J52)/SUM(Model!J65:J66)</f>
        <v>2.0846854032308562</v>
      </c>
      <c r="F17" s="77">
        <f>SUM(Model!K47:K52)/SUM(Model!K65:K66)</f>
        <v>2.4526955314652445</v>
      </c>
      <c r="G17" s="77">
        <f>SUM(Model!L47:L52)/SUM(Model!L65:L66)</f>
        <v>2.7623493803894696</v>
      </c>
      <c r="H17" s="77">
        <f>SUM(Model!M47:M52)/SUM(Model!M65:M66)</f>
        <v>3.2869342758855593</v>
      </c>
      <c r="I17" s="77">
        <f>SUM(Model!N47:N52)/SUM(Model!N65:N66)</f>
        <v>3.7868487896331815</v>
      </c>
      <c r="J17" s="77">
        <f>SUM(Model!O47:O52)/SUM(Model!O65:O66)</f>
        <v>4.2826552052565239</v>
      </c>
      <c r="K17" s="77">
        <f>SUM(Model!P47:P52)/SUM(Model!P65:P66)</f>
        <v>4.779682397749685</v>
      </c>
      <c r="L17" s="77">
        <f>SUM(Model!Q47:Q52)/SUM(Model!Q65:Q66)</f>
        <v>5.2756788728838906</v>
      </c>
      <c r="M17" s="77">
        <f>SUM(Model!R47:R52)/SUM(Model!R65:R66)</f>
        <v>5.7755838923445975</v>
      </c>
      <c r="N17" s="77">
        <f>SUM(Model!S47:S52)/SUM(Model!S65:S66)</f>
        <v>6.2765400675971037</v>
      </c>
      <c r="O17" s="77">
        <f>SUM(Model!T47:T52)/SUM(Model!T65:T66)</f>
        <v>6.7832705563410203</v>
      </c>
      <c r="P17" s="77">
        <f>SUM(Model!U47:U52)/SUM(Model!U65:U66)</f>
        <v>7.2924941495573066</v>
      </c>
      <c r="Q17" s="77">
        <f>SUM(Model!V47:V52)/SUM(Model!V65:V66)</f>
        <v>7.8087834695329557</v>
      </c>
      <c r="R17" s="11"/>
      <c r="T17" s="155" t="s">
        <v>514</v>
      </c>
    </row>
    <row r="18" spans="2:20" ht="56.4" customHeight="1" x14ac:dyDescent="0.35">
      <c r="B18" s="167" t="s">
        <v>354</v>
      </c>
      <c r="C18" s="77">
        <f>(SUM(Model!H47:H52)-Model!H50)/SUM(Model!H65:H66)</f>
        <v>1.1103682975011209</v>
      </c>
      <c r="D18" s="77">
        <f>(SUM(Model!I47:I52)-Model!I50)/SUM(Model!I65:I66)</f>
        <v>1.492428232979363</v>
      </c>
      <c r="E18" s="77">
        <f>(SUM(Model!J47:J52)-Model!J50)/SUM(Model!J65:J66)</f>
        <v>1.6093067996506258</v>
      </c>
      <c r="F18" s="77">
        <f>(SUM(Model!K47:K52)-Model!K50)/SUM(Model!K65:K66)</f>
        <v>2.0168083252763491</v>
      </c>
      <c r="G18" s="77">
        <f>(SUM(Model!L47:L52)-Model!L50)/SUM(Model!L65:L66)</f>
        <v>2.1918936668379874</v>
      </c>
      <c r="H18" s="77">
        <f>(SUM(Model!M47:M52)-Model!M50)/SUM(Model!M65:M66)</f>
        <v>2.7407587490984628</v>
      </c>
      <c r="I18" s="77">
        <f>(SUM(Model!N47:N52)-Model!N50)/SUM(Model!N65:N66)</f>
        <v>3.2277276427319048</v>
      </c>
      <c r="J18" s="77">
        <f>(SUM(Model!O47:O52)-Model!O50)/SUM(Model!O65:O66)</f>
        <v>3.7120256290623139</v>
      </c>
      <c r="K18" s="77">
        <f>(SUM(Model!P47:P52)-Model!P50)/SUM(Model!P65:P66)</f>
        <v>4.1988187158546548</v>
      </c>
      <c r="L18" s="77">
        <f>(SUM(Model!Q47:Q52)-Model!Q50)/SUM(Model!Q65:Q66)</f>
        <v>4.6857081106580107</v>
      </c>
      <c r="M18" s="77">
        <f>(SUM(Model!R47:R52)-Model!R50)/SUM(Model!R65:R66)</f>
        <v>5.1775013671226127</v>
      </c>
      <c r="N18" s="77">
        <f>(SUM(Model!S47:S52)-Model!S50)/SUM(Model!S65:S66)</f>
        <v>5.6712242633967982</v>
      </c>
      <c r="O18" s="77">
        <f>(SUM(Model!T47:T52)-Model!T50)/SUM(Model!T65:T66)</f>
        <v>6.1714968837040667</v>
      </c>
      <c r="P18" s="77">
        <f>(SUM(Model!U47:U52)-Model!U50)/SUM(Model!U65:U66)</f>
        <v>6.6749474123482528</v>
      </c>
      <c r="Q18" s="77">
        <f>(SUM(Model!V47:V52)-Model!V50)/SUM(Model!V65:V66)</f>
        <v>7.186068999612206</v>
      </c>
      <c r="R18" s="11"/>
      <c r="T18" s="155" t="s">
        <v>497</v>
      </c>
    </row>
    <row r="19" spans="2:20" x14ac:dyDescent="0.3">
      <c r="B19" s="167"/>
      <c r="H19" s="171"/>
      <c r="I19" s="171"/>
      <c r="J19" s="171"/>
      <c r="K19" s="171"/>
      <c r="L19" s="171"/>
      <c r="T19" s="156"/>
    </row>
    <row r="20" spans="2:20" x14ac:dyDescent="0.3">
      <c r="B20" s="170" t="s">
        <v>356</v>
      </c>
      <c r="D20" s="173"/>
      <c r="E20" s="174"/>
      <c r="F20" s="175"/>
      <c r="H20" s="31"/>
      <c r="I20" s="31"/>
      <c r="J20" s="31"/>
      <c r="K20" s="31"/>
      <c r="L20" s="31"/>
      <c r="T20" s="156"/>
    </row>
    <row r="21" spans="2:20" ht="82.8" customHeight="1" x14ac:dyDescent="0.35">
      <c r="B21" s="167" t="s">
        <v>357</v>
      </c>
      <c r="C21" s="77">
        <f>Model!H68/(Model!H75+Model!H76)</f>
        <v>0.13573561071031054</v>
      </c>
      <c r="D21" s="77">
        <f>Model!I68/(Model!I75+Model!I76)</f>
        <v>3.9134115113396539E-2</v>
      </c>
      <c r="E21" s="77">
        <f>Model!J68/(Model!J75+Model!J76)</f>
        <v>3.8229087591438379E-2</v>
      </c>
      <c r="F21" s="77">
        <f>Model!K68/(Model!K75+Model!K76)</f>
        <v>3.3337892696501684E-2</v>
      </c>
      <c r="G21" s="77">
        <f>Model!L68/(Model!L75+Model!L76)</f>
        <v>5.540575683333105E-2</v>
      </c>
      <c r="H21" s="77">
        <f>Model!M68/(Model!M75+Model!M76)</f>
        <v>4.8263806742051787E-2</v>
      </c>
      <c r="I21" s="77">
        <f>Model!N68/(Model!N75+Model!N76)</f>
        <v>4.225850216950363E-2</v>
      </c>
      <c r="J21" s="77">
        <f>Model!O68/(Model!O75+Model!O76)</f>
        <v>3.7232792662923973E-2</v>
      </c>
      <c r="K21" s="77">
        <f>Model!P68/(Model!P75+Model!P76)</f>
        <v>3.2990903461030709E-2</v>
      </c>
      <c r="L21" s="77">
        <f>Model!Q68/(Model!Q75+Model!Q76)</f>
        <v>2.9415157040795378E-2</v>
      </c>
      <c r="M21" s="77">
        <f>Model!R68/(Model!R75+Model!R76)</f>
        <v>2.6369108547930568E-2</v>
      </c>
      <c r="N21" s="77">
        <f>Model!S68/(Model!S75+Model!S76)</f>
        <v>2.3775041576466687E-2</v>
      </c>
      <c r="O21" s="77">
        <f>Model!T68/(Model!T75+Model!T76)</f>
        <v>2.1541515402072744E-2</v>
      </c>
      <c r="P21" s="77">
        <f>Model!U68/(Model!U75+Model!U76)</f>
        <v>1.9618881238078523E-2</v>
      </c>
      <c r="Q21" s="77">
        <f>Model!V68/(Model!V75+Model!V76)</f>
        <v>1.7945789810392361E-2</v>
      </c>
      <c r="R21" s="11"/>
      <c r="T21" s="155" t="s">
        <v>438</v>
      </c>
    </row>
    <row r="22" spans="2:20" ht="54" customHeight="1" x14ac:dyDescent="0.35">
      <c r="B22" s="167" t="s">
        <v>358</v>
      </c>
      <c r="C22" s="77">
        <f>Model!H68/Model!H60</f>
        <v>9.2087257732654706E-2</v>
      </c>
      <c r="D22" s="77">
        <f>Model!I68/Model!I60</f>
        <v>2.9103635800031644E-2</v>
      </c>
      <c r="E22" s="77">
        <f>Model!J68/Model!J60</f>
        <v>2.8647694211242362E-2</v>
      </c>
      <c r="F22" s="77">
        <f>Model!K68/Model!K60</f>
        <v>2.5410419152251375E-2</v>
      </c>
      <c r="G22" s="77">
        <f>Model!L68/Model!L60</f>
        <v>4.2205794955740221E-2</v>
      </c>
      <c r="H22" s="77">
        <f>Model!M68/Model!M60</f>
        <v>3.7633926433945149E-2</v>
      </c>
      <c r="I22" s="77">
        <f>Model!N68/Model!N60</f>
        <v>3.3584203862975053E-2</v>
      </c>
      <c r="J22" s="77">
        <f>Model!O68/Model!O60</f>
        <v>3.0095751697983397E-2</v>
      </c>
      <c r="K22" s="77">
        <f>Model!P68/Model!P60</f>
        <v>2.7075540912263843E-2</v>
      </c>
      <c r="L22" s="77">
        <f>Model!Q68/Model!Q60</f>
        <v>2.4470260691910418E-2</v>
      </c>
      <c r="M22" s="77">
        <f>Model!R68/Model!R60</f>
        <v>2.2205544120231319E-2</v>
      </c>
      <c r="N22" s="77">
        <f>Model!S68/Model!S60</f>
        <v>2.0241036703282412E-2</v>
      </c>
      <c r="O22" s="77">
        <f>Model!T68/Model!T60</f>
        <v>1.8521898342639013E-2</v>
      </c>
      <c r="P22" s="77">
        <f>Model!U68/Model!U60</f>
        <v>1.7019887282946535E-2</v>
      </c>
      <c r="Q22" s="77">
        <f>Model!V68/Model!V60</f>
        <v>1.5695480544200918E-2</v>
      </c>
      <c r="R22" s="11"/>
      <c r="T22" s="155" t="s">
        <v>513</v>
      </c>
    </row>
    <row r="23" spans="2:20" ht="70.2" customHeight="1" x14ac:dyDescent="0.35">
      <c r="B23" s="167" t="s">
        <v>359</v>
      </c>
      <c r="C23" s="77">
        <f>Model!H34/(-Model!H35)</f>
        <v>121.74436712728422</v>
      </c>
      <c r="D23" s="77">
        <f>Model!I34/(-Model!I35)</f>
        <v>83.273290580945428</v>
      </c>
      <c r="E23" s="77">
        <f>Model!J34/(-Model!J35)</f>
        <v>76.537625786793896</v>
      </c>
      <c r="F23" s="77">
        <f>Model!K34/(-Model!K35)</f>
        <v>90.70419518255521</v>
      </c>
      <c r="G23" s="77">
        <f>Model!L34/(-Model!L35)</f>
        <v>70.647798742138363</v>
      </c>
      <c r="H23" s="77">
        <f>Model!M34/(-Model!M35)</f>
        <v>46.342721352510381</v>
      </c>
      <c r="I23" s="77">
        <f>Model!N34/(-Model!N35)</f>
        <v>51.058769725289402</v>
      </c>
      <c r="J23" s="77">
        <f>Model!O34/(-Model!O35)</f>
        <v>55.663245610939398</v>
      </c>
      <c r="K23" s="77">
        <f>Model!P34/(-Model!P35)</f>
        <v>60.148509572020785</v>
      </c>
      <c r="L23" s="77">
        <f>Model!Q34/(-Model!Q35)</f>
        <v>64.50418319145669</v>
      </c>
      <c r="M23" s="77">
        <f>Model!R34/(-Model!R35)</f>
        <v>68.71917400979514</v>
      </c>
      <c r="N23" s="77">
        <f>Model!S34/(-Model!S35)</f>
        <v>72.782979867358847</v>
      </c>
      <c r="O23" s="77">
        <f>Model!T34/(-Model!T35)</f>
        <v>76.686481340178275</v>
      </c>
      <c r="P23" s="77">
        <f>Model!U34/(-Model!U35)</f>
        <v>80.422373889075914</v>
      </c>
      <c r="Q23" s="77">
        <f>Model!V34/(-Model!V35)</f>
        <v>83.985350239040287</v>
      </c>
      <c r="R23" s="11"/>
      <c r="T23" s="155" t="s">
        <v>498</v>
      </c>
    </row>
    <row r="24" spans="2:20" x14ac:dyDescent="0.3">
      <c r="B24" s="167"/>
      <c r="D24" s="173"/>
      <c r="E24" s="174"/>
      <c r="F24" s="175"/>
      <c r="H24" s="59"/>
      <c r="I24" s="59"/>
      <c r="J24" s="59"/>
      <c r="K24" s="59"/>
      <c r="L24" s="59"/>
      <c r="T24" s="156"/>
    </row>
    <row r="25" spans="2:20" x14ac:dyDescent="0.3">
      <c r="B25" s="170" t="s">
        <v>362</v>
      </c>
      <c r="D25" s="173"/>
      <c r="E25" s="174"/>
      <c r="F25" s="175"/>
      <c r="H25" s="31"/>
      <c r="I25" s="31"/>
      <c r="J25" s="31"/>
      <c r="K25" s="31"/>
      <c r="L25" s="31"/>
      <c r="T25" s="156"/>
    </row>
    <row r="26" spans="2:20" ht="65.400000000000006" customHeight="1" x14ac:dyDescent="0.35">
      <c r="B26" s="167" t="s">
        <v>366</v>
      </c>
      <c r="C26" s="32"/>
      <c r="D26" s="32">
        <f>Model!I26/AVERAGE(Model!H60:I60)</f>
        <v>1.1044410756934651</v>
      </c>
      <c r="E26" s="32">
        <f>Model!J26/AVERAGE(Model!I60:J60)</f>
        <v>1.1199825840739432</v>
      </c>
      <c r="F26" s="32">
        <f>Model!K26/AVERAGE(Model!J60:K60)</f>
        <v>1.1181581134374683</v>
      </c>
      <c r="G26" s="32">
        <f>Model!L26/AVERAGE(Model!K60:L60)</f>
        <v>1.0256381310488525</v>
      </c>
      <c r="H26" s="32">
        <f>Model!M26/AVERAGE(Model!L60:M60)</f>
        <v>1.012334647040299</v>
      </c>
      <c r="I26" s="32">
        <f>Model!N26/AVERAGE(Model!M60:N60)</f>
        <v>0.97742454306781557</v>
      </c>
      <c r="J26" s="32">
        <f>Model!O26/AVERAGE(Model!N60:O60)</f>
        <v>0.94004070613027735</v>
      </c>
      <c r="K26" s="32">
        <f>Model!P26/AVERAGE(Model!O60:P60)</f>
        <v>0.90233756782871788</v>
      </c>
      <c r="L26" s="32">
        <f>Model!Q26/AVERAGE(Model!P60:Q60)</f>
        <v>0.86507784609952154</v>
      </c>
      <c r="M26" s="32">
        <f>Model!R26/AVERAGE(Model!Q60:R60)</f>
        <v>0.82872959644624722</v>
      </c>
      <c r="N26" s="32">
        <f>Model!S26/AVERAGE(Model!R60:S60)</f>
        <v>0.79361298176869011</v>
      </c>
      <c r="O26" s="32">
        <f>Model!T26/AVERAGE(Model!S60:T60)</f>
        <v>0.75989867230586761</v>
      </c>
      <c r="P26" s="32">
        <f>Model!U26/AVERAGE(Model!T60:U60)</f>
        <v>0.72769386537289638</v>
      </c>
      <c r="Q26" s="32">
        <f>Model!V26/AVERAGE(Model!U60:V60)</f>
        <v>0.69702910119977446</v>
      </c>
      <c r="R26" s="11"/>
      <c r="T26" s="155" t="s">
        <v>439</v>
      </c>
    </row>
    <row r="27" spans="2:20" ht="61.8" customHeight="1" x14ac:dyDescent="0.35">
      <c r="B27" s="167" t="s">
        <v>471</v>
      </c>
      <c r="C27" s="32"/>
      <c r="D27" s="32">
        <f>Model!I26/AVERAGE(Model!H55:I55)</f>
        <v>5.0028017763263382</v>
      </c>
      <c r="E27" s="32">
        <f>Model!J26/AVERAGE(Model!I55:J55)</f>
        <v>5.6293355199792074</v>
      </c>
      <c r="F27" s="32">
        <f>Model!K26/AVERAGE(Model!J55:K55)</f>
        <v>6.3321981987957443</v>
      </c>
      <c r="G27" s="32">
        <f>Model!L26/AVERAGE(Model!K55:L55)</f>
        <v>6.525710315515834</v>
      </c>
      <c r="H27" s="32">
        <f>Model!M26/AVERAGE(Model!L55:M55)</f>
        <v>7.2752187413338074</v>
      </c>
      <c r="I27" s="32">
        <f>Model!N26/AVERAGE(Model!M55:N55)</f>
        <v>8.0103926887152959</v>
      </c>
      <c r="J27" s="32">
        <f>Model!O26/AVERAGE(Model!N55:O55)</f>
        <v>8.7055176497779652</v>
      </c>
      <c r="K27" s="32">
        <f>Model!P26/AVERAGE(Model!O55:P55)</f>
        <v>9.360741421199231</v>
      </c>
      <c r="L27" s="32">
        <f>Model!Q26/AVERAGE(Model!P55:Q55)</f>
        <v>9.977110614849936</v>
      </c>
      <c r="M27" s="32">
        <f>Model!R26/AVERAGE(Model!Q55:R55)</f>
        <v>10.555966785881123</v>
      </c>
      <c r="N27" s="32">
        <f>Model!S26/AVERAGE(Model!R55:S55)</f>
        <v>11.098660635579636</v>
      </c>
      <c r="O27" s="32">
        <f>Model!T26/AVERAGE(Model!S55:T55)</f>
        <v>11.606450414410938</v>
      </c>
      <c r="P27" s="32">
        <f>Model!U26/AVERAGE(Model!T55:U55)</f>
        <v>12.080493276458325</v>
      </c>
      <c r="Q27" s="32">
        <f>Model!V26/AVERAGE(Model!U55:V55)</f>
        <v>12.521874914896872</v>
      </c>
      <c r="R27" s="11"/>
      <c r="T27" s="155" t="s">
        <v>499</v>
      </c>
    </row>
    <row r="28" spans="2:20" ht="73.8" customHeight="1" x14ac:dyDescent="0.35">
      <c r="B28" s="167" t="s">
        <v>363</v>
      </c>
      <c r="D28" s="32">
        <f>-Model!I27/AVERAGE(Model!H50:I50)</f>
        <v>3.504278545317927</v>
      </c>
      <c r="E28" s="32">
        <f>-Model!J27/AVERAGE(Model!I50:J50)</f>
        <v>3.562976578371075</v>
      </c>
      <c r="F28" s="32">
        <f>-Model!K27/AVERAGE(Model!J50:K50)</f>
        <v>3.782190102072212</v>
      </c>
      <c r="G28" s="32">
        <f>-Model!L27/AVERAGE(Model!K50:L50)</f>
        <v>3.2162047817027255</v>
      </c>
      <c r="H28" s="32">
        <f>-Model!M27/AVERAGE(Model!L50:M50)</f>
        <v>3.3521511891769511</v>
      </c>
      <c r="I28" s="32">
        <f>-Model!N27/AVERAGE(Model!M50:N50)</f>
        <v>3.4788596507697571</v>
      </c>
      <c r="J28" s="32">
        <f>-Model!O27/AVERAGE(Model!N50:O50)</f>
        <v>3.468018876182215</v>
      </c>
      <c r="K28" s="32">
        <f>-Model!P27/AVERAGE(Model!O50:P50)</f>
        <v>3.4580353010794775</v>
      </c>
      <c r="L28" s="32">
        <f>-Model!Q27/AVERAGE(Model!P50:Q50)</f>
        <v>3.4488460220317418</v>
      </c>
      <c r="M28" s="32">
        <f>-Model!R27/AVERAGE(Model!Q50:R50)</f>
        <v>3.4403919743330929</v>
      </c>
      <c r="N28" s="32">
        <f>-Model!S27/AVERAGE(Model!R50:S50)</f>
        <v>3.4326178260977125</v>
      </c>
      <c r="O28" s="32">
        <f>-Model!T27/AVERAGE(Model!S50:T50)</f>
        <v>3.4254718509714439</v>
      </c>
      <c r="P28" s="32">
        <f>-Model!U27/AVERAGE(Model!T50:U50)</f>
        <v>3.4189057850475106</v>
      </c>
      <c r="Q28" s="32">
        <f>-Model!V27/AVERAGE(Model!U50:V50)</f>
        <v>3.4128746727306583</v>
      </c>
      <c r="R28" s="11"/>
      <c r="T28" s="155" t="s">
        <v>501</v>
      </c>
    </row>
    <row r="29" spans="2:20" ht="87" customHeight="1" x14ac:dyDescent="0.35">
      <c r="B29" s="167" t="s">
        <v>364</v>
      </c>
      <c r="D29" s="32">
        <f>Model!I26/AVERAGE(Model!H49:I49)</f>
        <v>9.2607120137621948</v>
      </c>
      <c r="E29" s="32">
        <f>Model!J26/AVERAGE(Model!I49:J49)</f>
        <v>7.8741693471621339</v>
      </c>
      <c r="F29" s="32">
        <f>Model!K26/AVERAGE(Model!J49:K49)</f>
        <v>8.0574331799204071</v>
      </c>
      <c r="G29" s="32">
        <f>Model!L26/AVERAGE(Model!K49:L49)</f>
        <v>9.5128140752528427</v>
      </c>
      <c r="H29" s="32">
        <f>Model!M26/AVERAGE(Model!L49:M49)</f>
        <v>10.136383081366064</v>
      </c>
      <c r="I29" s="32">
        <f>Model!N26/AVERAGE(Model!M49:N49)</f>
        <v>9.121055983382135</v>
      </c>
      <c r="J29" s="32">
        <f>Model!O26/AVERAGE(Model!N49:O49)</f>
        <v>9.0926330741985666</v>
      </c>
      <c r="K29" s="32">
        <f>Model!P26/AVERAGE(Model!O49:P49)</f>
        <v>9.0664576154081509</v>
      </c>
      <c r="L29" s="32">
        <f>Model!Q26/AVERAGE(Model!P49:Q49)</f>
        <v>9.0423646835122717</v>
      </c>
      <c r="M29" s="32">
        <f>Model!R26/AVERAGE(Model!Q49:R49)</f>
        <v>9.0201994195791606</v>
      </c>
      <c r="N29" s="32">
        <f>Model!S26/AVERAGE(Model!R49:S49)</f>
        <v>8.9998167515798002</v>
      </c>
      <c r="O29" s="32">
        <f>Model!T26/AVERAGE(Model!S49:T49)</f>
        <v>8.9810810606564448</v>
      </c>
      <c r="P29" s="32">
        <f>Model!U26/AVERAGE(Model!T49:U49)</f>
        <v>8.9638658059767895</v>
      </c>
      <c r="Q29" s="32">
        <f>Model!V26/AVERAGE(Model!U49:V49)</f>
        <v>8.9480531206125207</v>
      </c>
      <c r="R29" s="11"/>
      <c r="T29" s="155" t="s">
        <v>500</v>
      </c>
    </row>
    <row r="30" spans="2:20" ht="70.8" customHeight="1" x14ac:dyDescent="0.35">
      <c r="B30" s="167" t="s">
        <v>365</v>
      </c>
      <c r="D30" s="32">
        <f>-Model!I27/AVERAGE(Model!H65:I65)</f>
        <v>2.9122837851088792</v>
      </c>
      <c r="E30" s="32">
        <f>-Model!J27/AVERAGE(Model!I65:J65)</f>
        <v>2.6651881675981346</v>
      </c>
      <c r="F30" s="32">
        <f>-Model!K27/AVERAGE(Model!J65:K65)</f>
        <v>2.6831082326643987</v>
      </c>
      <c r="G30" s="32">
        <f>-Model!L27/AVERAGE(Model!K65:L65)</f>
        <v>2.4938336778759997</v>
      </c>
      <c r="H30" s="32">
        <f>-Model!M27/AVERAGE(Model!L65:M65)</f>
        <v>2.7167015361717293</v>
      </c>
      <c r="I30" s="32">
        <f>-Model!N27/AVERAGE(Model!M65:N65)</f>
        <v>2.7312125429160581</v>
      </c>
      <c r="J30" s="32">
        <f>-Model!O27/AVERAGE(Model!N65:O65)</f>
        <v>2.7227015759611617</v>
      </c>
      <c r="K30" s="32">
        <f>-Model!P27/AVERAGE(Model!O65:P65)</f>
        <v>2.7148635864240713</v>
      </c>
      <c r="L30" s="32">
        <f>-Model!Q27/AVERAGE(Model!P65:Q65)</f>
        <v>2.7076491895483654</v>
      </c>
      <c r="M30" s="32">
        <f>-Model!R27/AVERAGE(Model!Q65:R65)</f>
        <v>2.701012014315427</v>
      </c>
      <c r="N30" s="32">
        <f>-Model!S27/AVERAGE(Model!R65:S65)</f>
        <v>2.6949086203005912</v>
      </c>
      <c r="O30" s="32">
        <f>-Model!T27/AVERAGE(Model!S65:T65)</f>
        <v>2.6892983977404743</v>
      </c>
      <c r="P30" s="32">
        <f>-Model!U27/AVERAGE(Model!T65:U65)</f>
        <v>2.6841434551991465</v>
      </c>
      <c r="Q30" s="32">
        <f>-Model!V27/AVERAGE(Model!U65:V65)</f>
        <v>2.6794084985578581</v>
      </c>
      <c r="R30" s="11"/>
      <c r="T30" s="155" t="s">
        <v>502</v>
      </c>
    </row>
    <row r="31" spans="2:20" ht="86.4" customHeight="1" x14ac:dyDescent="0.35">
      <c r="B31" s="167" t="s">
        <v>387</v>
      </c>
      <c r="C31" s="32">
        <f>Model!H17+Model!H18-Model!H19</f>
        <v>19.363165918948908</v>
      </c>
      <c r="D31" s="32">
        <f>Model!I17+Model!I18-Model!I19</f>
        <v>17.619869205310295</v>
      </c>
      <c r="E31" s="32">
        <f>Model!J17+Model!J18-Model!J19</f>
        <v>9.1551197309456995</v>
      </c>
      <c r="F31" s="32">
        <f>Model!K17+Model!K18-Model!K19</f>
        <v>4.2760322299348275</v>
      </c>
      <c r="G31" s="32">
        <f>Model!L17+Model!L18-Model!L19</f>
        <v>8.3017879414796596</v>
      </c>
      <c r="H31" s="32">
        <f>Model!M17+Model!M18-Model!M19</f>
        <v>11.743195005323884</v>
      </c>
      <c r="I31" s="32">
        <f>Model!N17+Model!N18-Model!N19</f>
        <v>11.743195005323884</v>
      </c>
      <c r="J31" s="32">
        <f>Model!O17+Model!O18-Model!O19</f>
        <v>11.743195005323884</v>
      </c>
      <c r="K31" s="32">
        <f>Model!P17+Model!P18-Model!P19</f>
        <v>11.743195005323884</v>
      </c>
      <c r="L31" s="32">
        <f>Model!Q17+Model!Q18-Model!Q19</f>
        <v>11.743195005323884</v>
      </c>
      <c r="M31" s="32">
        <f>Model!R17+Model!R18-Model!R19</f>
        <v>11.743195005323884</v>
      </c>
      <c r="N31" s="32">
        <f>Model!S17+Model!S18-Model!S19</f>
        <v>11.743195005323884</v>
      </c>
      <c r="O31" s="32">
        <f>Model!T17+Model!T18-Model!T19</f>
        <v>11.743195005323884</v>
      </c>
      <c r="P31" s="32">
        <f>Model!U17+Model!U18-Model!U19</f>
        <v>11.743195005323884</v>
      </c>
      <c r="Q31" s="32">
        <f>Model!V17+Model!V18-Model!V19</f>
        <v>11.743195005323884</v>
      </c>
      <c r="R31" s="11"/>
      <c r="T31" s="155" t="s">
        <v>506</v>
      </c>
    </row>
    <row r="32" spans="2:20" x14ac:dyDescent="0.3">
      <c r="E32" s="174"/>
      <c r="F32" s="175"/>
      <c r="H32" s="31"/>
      <c r="I32" s="31"/>
      <c r="J32" s="31"/>
      <c r="K32" s="31"/>
      <c r="L32" s="31"/>
    </row>
    <row r="33" spans="4:12" x14ac:dyDescent="0.3">
      <c r="E33" s="174"/>
      <c r="F33" s="175"/>
    </row>
    <row r="34" spans="4:12" x14ac:dyDescent="0.3">
      <c r="D34" s="173"/>
      <c r="E34" s="174"/>
      <c r="F34" s="175"/>
    </row>
    <row r="35" spans="4:12" x14ac:dyDescent="0.3">
      <c r="D35" s="173"/>
      <c r="E35" s="174"/>
      <c r="F35" s="175"/>
      <c r="J35" s="171"/>
    </row>
    <row r="36" spans="4:12" x14ac:dyDescent="0.3">
      <c r="D36" s="173"/>
      <c r="E36" s="174"/>
      <c r="F36" s="175"/>
      <c r="J36" s="171"/>
      <c r="L36" s="171"/>
    </row>
    <row r="37" spans="4:12" x14ac:dyDescent="0.3">
      <c r="D37" s="173"/>
      <c r="E37" s="174"/>
      <c r="F37" s="175"/>
    </row>
    <row r="38" spans="4:12" x14ac:dyDescent="0.3">
      <c r="D38" s="173"/>
      <c r="E38" s="174"/>
      <c r="F38" s="175"/>
      <c r="H38" s="81"/>
      <c r="J38" s="81"/>
      <c r="K38" s="81"/>
      <c r="L38" s="81"/>
    </row>
    <row r="39" spans="4:12" x14ac:dyDescent="0.3">
      <c r="D39" s="173"/>
      <c r="E39" s="174"/>
      <c r="F39" s="175"/>
      <c r="H39" s="81"/>
      <c r="I39" s="81"/>
      <c r="J39" s="81"/>
      <c r="K39" s="81"/>
      <c r="L39" s="81"/>
    </row>
    <row r="40" spans="4:12" x14ac:dyDescent="0.3">
      <c r="D40" s="173"/>
      <c r="E40" s="174"/>
      <c r="F40" s="175"/>
      <c r="J40" s="171"/>
      <c r="L40" s="171"/>
    </row>
    <row r="41" spans="4:12" x14ac:dyDescent="0.3">
      <c r="D41" s="173"/>
      <c r="E41" s="174"/>
      <c r="F41" s="175"/>
    </row>
    <row r="42" spans="4:12" x14ac:dyDescent="0.3">
      <c r="D42" s="173"/>
      <c r="E42" s="174"/>
      <c r="F42" s="175"/>
    </row>
    <row r="43" spans="4:12" x14ac:dyDescent="0.3">
      <c r="D43" s="173"/>
      <c r="E43" s="174"/>
      <c r="F43" s="175"/>
      <c r="J43" s="171"/>
      <c r="L43" s="171"/>
    </row>
    <row r="44" spans="4:12" x14ac:dyDescent="0.3">
      <c r="D44" s="173"/>
      <c r="E44" s="174"/>
      <c r="F44" s="175"/>
    </row>
    <row r="45" spans="4:12" x14ac:dyDescent="0.3">
      <c r="D45" s="173"/>
      <c r="E45" s="174"/>
      <c r="F45" s="175"/>
    </row>
    <row r="46" spans="4:12" x14ac:dyDescent="0.3">
      <c r="D46" s="173"/>
      <c r="E46" s="174"/>
      <c r="F46" s="175"/>
      <c r="J46" s="171"/>
      <c r="L46" s="171"/>
    </row>
    <row r="47" spans="4:12" x14ac:dyDescent="0.3">
      <c r="D47" s="173"/>
      <c r="E47" s="174"/>
      <c r="F47" s="175"/>
    </row>
    <row r="48" spans="4:12" x14ac:dyDescent="0.3">
      <c r="D48" s="173"/>
      <c r="E48" s="174"/>
      <c r="F48" s="175"/>
    </row>
    <row r="49" spans="2:12" x14ac:dyDescent="0.3">
      <c r="D49" s="173"/>
      <c r="E49" s="174"/>
      <c r="F49" s="175"/>
      <c r="J49" s="171"/>
      <c r="L49" s="171"/>
    </row>
    <row r="50" spans="2:12" x14ac:dyDescent="0.3">
      <c r="D50" s="173"/>
      <c r="E50" s="174"/>
      <c r="F50" s="175"/>
    </row>
    <row r="51" spans="2:12" x14ac:dyDescent="0.3">
      <c r="D51" s="173"/>
      <c r="E51" s="174"/>
      <c r="F51" s="175"/>
    </row>
    <row r="52" spans="2:12" x14ac:dyDescent="0.3">
      <c r="D52" s="173"/>
      <c r="E52" s="174"/>
      <c r="F52" s="175"/>
    </row>
    <row r="53" spans="2:12" x14ac:dyDescent="0.3">
      <c r="D53" s="173"/>
      <c r="E53" s="174"/>
      <c r="F53" s="175"/>
    </row>
    <row r="54" spans="2:12" x14ac:dyDescent="0.3">
      <c r="D54" s="173"/>
      <c r="E54" s="174"/>
      <c r="F54" s="175"/>
    </row>
    <row r="55" spans="2:12" x14ac:dyDescent="0.3">
      <c r="B55" s="33"/>
      <c r="D55" s="173"/>
      <c r="E55" s="174"/>
      <c r="F55" s="175"/>
    </row>
    <row r="56" spans="2:12" x14ac:dyDescent="0.3">
      <c r="C56" s="176"/>
      <c r="D56" s="173"/>
      <c r="E56" s="174"/>
      <c r="F56" s="175"/>
    </row>
    <row r="57" spans="2:12" x14ac:dyDescent="0.3">
      <c r="D57" s="173"/>
      <c r="E57" s="174"/>
      <c r="F57" s="175"/>
    </row>
    <row r="58" spans="2:12" x14ac:dyDescent="0.3">
      <c r="D58" s="173"/>
      <c r="E58" s="174"/>
      <c r="F58" s="175"/>
    </row>
    <row r="59" spans="2:12" x14ac:dyDescent="0.3">
      <c r="D59" s="173"/>
      <c r="E59" s="174"/>
      <c r="F59" s="175"/>
    </row>
    <row r="60" spans="2:12" x14ac:dyDescent="0.3">
      <c r="D60" s="173"/>
      <c r="E60" s="174"/>
      <c r="F60" s="175"/>
    </row>
    <row r="61" spans="2:12" x14ac:dyDescent="0.3">
      <c r="D61" s="173"/>
      <c r="E61" s="174"/>
      <c r="F61" s="175"/>
    </row>
    <row r="62" spans="2:12" x14ac:dyDescent="0.3">
      <c r="D62" s="173"/>
      <c r="E62" s="174"/>
      <c r="F62" s="175"/>
    </row>
    <row r="63" spans="2:12" x14ac:dyDescent="0.3">
      <c r="D63" s="173"/>
      <c r="E63" s="174"/>
      <c r="F63" s="175"/>
    </row>
    <row r="64" spans="2:12" x14ac:dyDescent="0.3">
      <c r="D64" s="173"/>
      <c r="E64" s="174"/>
      <c r="F64" s="175"/>
    </row>
    <row r="65" spans="4:12" x14ac:dyDescent="0.3">
      <c r="D65" s="173"/>
      <c r="E65" s="174"/>
      <c r="F65" s="175"/>
    </row>
    <row r="66" spans="4:12" x14ac:dyDescent="0.3">
      <c r="D66" s="173"/>
      <c r="E66" s="174"/>
      <c r="F66" s="175"/>
    </row>
    <row r="67" spans="4:12" x14ac:dyDescent="0.3">
      <c r="D67" s="173"/>
      <c r="E67" s="174"/>
      <c r="F67" s="175"/>
    </row>
    <row r="68" spans="4:12" x14ac:dyDescent="0.3">
      <c r="D68" s="173"/>
      <c r="E68" s="174"/>
      <c r="F68" s="175"/>
    </row>
    <row r="69" spans="4:12" x14ac:dyDescent="0.3">
      <c r="D69" s="173"/>
      <c r="E69" s="174"/>
      <c r="F69" s="175"/>
    </row>
    <row r="70" spans="4:12" x14ac:dyDescent="0.3">
      <c r="D70" s="173"/>
      <c r="E70" s="174"/>
      <c r="F70" s="175"/>
    </row>
    <row r="71" spans="4:12" x14ac:dyDescent="0.3">
      <c r="D71" s="173"/>
      <c r="E71" s="174"/>
      <c r="F71" s="175"/>
    </row>
    <row r="72" spans="4:12" x14ac:dyDescent="0.3">
      <c r="D72" s="173"/>
      <c r="E72" s="174"/>
      <c r="F72" s="175"/>
      <c r="H72" s="81"/>
      <c r="I72" s="81"/>
      <c r="J72" s="81"/>
      <c r="K72" s="81"/>
      <c r="L72" s="81"/>
    </row>
    <row r="73" spans="4:12" x14ac:dyDescent="0.3">
      <c r="D73" s="173"/>
      <c r="E73" s="174"/>
      <c r="F73" s="175"/>
    </row>
    <row r="74" spans="4:12" x14ac:dyDescent="0.3">
      <c r="D74" s="173"/>
      <c r="E74" s="174"/>
      <c r="F74" s="175"/>
    </row>
    <row r="75" spans="4:12" x14ac:dyDescent="0.3">
      <c r="D75" s="173"/>
      <c r="E75" s="174"/>
      <c r="F75" s="175"/>
      <c r="L75" s="171"/>
    </row>
    <row r="76" spans="4:12" x14ac:dyDescent="0.3">
      <c r="D76" s="173"/>
      <c r="E76" s="174"/>
      <c r="F76" s="175"/>
    </row>
    <row r="77" spans="4:12" x14ac:dyDescent="0.3">
      <c r="D77" s="173"/>
      <c r="E77" s="174"/>
      <c r="F77" s="175"/>
    </row>
    <row r="78" spans="4:12" x14ac:dyDescent="0.3">
      <c r="D78" s="173"/>
      <c r="E78" s="174"/>
      <c r="F78" s="175"/>
    </row>
    <row r="79" spans="4:12" x14ac:dyDescent="0.3">
      <c r="D79" s="173"/>
      <c r="E79" s="174"/>
      <c r="F79" s="175"/>
    </row>
    <row r="80" spans="4:12" x14ac:dyDescent="0.3">
      <c r="D80" s="173"/>
      <c r="E80" s="174"/>
      <c r="F80" s="175"/>
    </row>
    <row r="81" spans="3:18" x14ac:dyDescent="0.3">
      <c r="D81" s="173"/>
      <c r="E81" s="174"/>
      <c r="F81" s="175"/>
    </row>
    <row r="82" spans="3:18" x14ac:dyDescent="0.3">
      <c r="D82" s="173"/>
      <c r="E82" s="174"/>
      <c r="F82" s="175"/>
    </row>
    <row r="83" spans="3:18" x14ac:dyDescent="0.3">
      <c r="D83" s="173"/>
      <c r="E83" s="174"/>
      <c r="F83" s="175"/>
    </row>
    <row r="84" spans="3:18" x14ac:dyDescent="0.3">
      <c r="D84" s="173"/>
      <c r="E84" s="174"/>
      <c r="F84" s="175"/>
      <c r="H84" s="81"/>
      <c r="I84" s="81"/>
      <c r="J84" s="81"/>
      <c r="K84" s="81"/>
      <c r="L84" s="81"/>
    </row>
    <row r="85" spans="3:18" x14ac:dyDescent="0.3">
      <c r="D85" s="173"/>
      <c r="E85" s="174"/>
      <c r="F85" s="175"/>
      <c r="H85" s="81"/>
      <c r="I85" s="81"/>
      <c r="J85" s="81"/>
      <c r="K85" s="81"/>
      <c r="L85" s="81"/>
    </row>
    <row r="86" spans="3:18" x14ac:dyDescent="0.3">
      <c r="C86" s="176"/>
      <c r="D86" s="173"/>
      <c r="E86" s="174"/>
      <c r="F86" s="175"/>
    </row>
    <row r="87" spans="3:18" x14ac:dyDescent="0.3">
      <c r="D87" s="173"/>
      <c r="E87" s="174"/>
      <c r="F87" s="175"/>
    </row>
    <row r="88" spans="3:18" x14ac:dyDescent="0.3">
      <c r="D88" s="173"/>
      <c r="E88" s="174"/>
      <c r="F88" s="175"/>
    </row>
    <row r="89" spans="3:18" x14ac:dyDescent="0.3">
      <c r="D89" s="173"/>
      <c r="E89" s="174"/>
      <c r="F89" s="175"/>
      <c r="N89" s="32"/>
      <c r="O89" s="32"/>
      <c r="P89" s="32"/>
      <c r="Q89" s="32"/>
      <c r="R89" s="15"/>
    </row>
    <row r="90" spans="3:18" x14ac:dyDescent="0.3">
      <c r="D90" s="173"/>
      <c r="E90" s="174"/>
      <c r="F90" s="175"/>
    </row>
    <row r="91" spans="3:18" x14ac:dyDescent="0.3">
      <c r="D91" s="173"/>
      <c r="E91" s="174"/>
      <c r="F91" s="175"/>
    </row>
    <row r="92" spans="3:18" x14ac:dyDescent="0.3">
      <c r="D92" s="173"/>
      <c r="E92" s="174"/>
      <c r="F92" s="175"/>
      <c r="H92" s="81"/>
      <c r="I92" s="81"/>
      <c r="J92" s="81"/>
      <c r="K92" s="81"/>
      <c r="L92" s="81"/>
    </row>
    <row r="93" spans="3:18" x14ac:dyDescent="0.3">
      <c r="D93" s="173"/>
      <c r="E93" s="174"/>
      <c r="F93" s="175"/>
    </row>
    <row r="94" spans="3:18" x14ac:dyDescent="0.3">
      <c r="D94" s="173"/>
      <c r="E94" s="174"/>
      <c r="F94" s="175"/>
    </row>
    <row r="95" spans="3:18" x14ac:dyDescent="0.3">
      <c r="D95" s="173"/>
      <c r="E95" s="174"/>
      <c r="F95" s="175"/>
    </row>
    <row r="96" spans="3:18" x14ac:dyDescent="0.3">
      <c r="D96" s="173"/>
      <c r="E96" s="174"/>
      <c r="F96" s="175"/>
    </row>
    <row r="97" spans="4:12" x14ac:dyDescent="0.3">
      <c r="D97" s="173"/>
      <c r="E97" s="174"/>
      <c r="F97" s="175"/>
    </row>
    <row r="98" spans="4:12" x14ac:dyDescent="0.3">
      <c r="D98" s="173"/>
      <c r="E98" s="174"/>
      <c r="F98" s="175"/>
    </row>
    <row r="99" spans="4:12" x14ac:dyDescent="0.3">
      <c r="D99" s="173"/>
      <c r="E99" s="174"/>
      <c r="F99" s="175"/>
    </row>
    <row r="100" spans="4:12" x14ac:dyDescent="0.3">
      <c r="D100" s="173"/>
      <c r="E100" s="174"/>
      <c r="F100" s="175"/>
    </row>
    <row r="101" spans="4:12" x14ac:dyDescent="0.3">
      <c r="D101" s="173"/>
      <c r="E101" s="174"/>
      <c r="F101" s="175"/>
      <c r="H101" s="81"/>
      <c r="I101" s="81"/>
      <c r="J101" s="81"/>
      <c r="K101" s="81"/>
      <c r="L101" s="81"/>
    </row>
    <row r="102" spans="4:12" x14ac:dyDescent="0.3">
      <c r="D102" s="173"/>
      <c r="E102" s="174"/>
      <c r="F102" s="175"/>
    </row>
    <row r="103" spans="4:12" x14ac:dyDescent="0.3">
      <c r="D103" s="173"/>
      <c r="E103" s="174"/>
      <c r="F103" s="175"/>
    </row>
    <row r="104" spans="4:12" x14ac:dyDescent="0.3">
      <c r="D104" s="173"/>
      <c r="E104" s="174"/>
      <c r="F104" s="175"/>
    </row>
    <row r="105" spans="4:12" x14ac:dyDescent="0.3">
      <c r="D105" s="173"/>
      <c r="E105" s="174"/>
      <c r="F105" s="175"/>
    </row>
    <row r="106" spans="4:12" x14ac:dyDescent="0.3">
      <c r="D106" s="173"/>
      <c r="E106" s="174"/>
      <c r="F106" s="175"/>
      <c r="L106" s="171"/>
    </row>
    <row r="107" spans="4:12" x14ac:dyDescent="0.3">
      <c r="D107" s="173"/>
      <c r="E107" s="174"/>
      <c r="F107" s="175"/>
    </row>
    <row r="108" spans="4:12" x14ac:dyDescent="0.3">
      <c r="D108" s="173"/>
      <c r="E108" s="174"/>
      <c r="F108" s="175"/>
    </row>
    <row r="109" spans="4:12" x14ac:dyDescent="0.3">
      <c r="D109" s="173"/>
      <c r="E109" s="174"/>
      <c r="F109" s="175"/>
    </row>
    <row r="110" spans="4:12" x14ac:dyDescent="0.3">
      <c r="D110" s="173"/>
      <c r="E110" s="174"/>
      <c r="F110" s="175"/>
    </row>
    <row r="111" spans="4:12" x14ac:dyDescent="0.3">
      <c r="D111" s="173"/>
      <c r="E111" s="174"/>
      <c r="F111" s="175"/>
    </row>
    <row r="112" spans="4:12" x14ac:dyDescent="0.3">
      <c r="D112" s="173"/>
      <c r="E112" s="174"/>
      <c r="F112" s="175"/>
    </row>
    <row r="113" spans="2:12" x14ac:dyDescent="0.3">
      <c r="D113" s="173"/>
      <c r="E113" s="174"/>
      <c r="F113" s="175"/>
      <c r="H113" s="81"/>
      <c r="I113" s="81"/>
      <c r="J113" s="81"/>
      <c r="K113" s="81"/>
      <c r="L113" s="81"/>
    </row>
    <row r="114" spans="2:12" x14ac:dyDescent="0.3">
      <c r="D114" s="173"/>
      <c r="E114" s="174"/>
      <c r="F114" s="175"/>
      <c r="H114" s="81"/>
      <c r="I114" s="81"/>
      <c r="J114" s="81"/>
      <c r="K114" s="81"/>
      <c r="L114" s="81"/>
    </row>
    <row r="115" spans="2:12" x14ac:dyDescent="0.3">
      <c r="D115" s="173"/>
      <c r="E115" s="174"/>
      <c r="F115" s="175"/>
    </row>
    <row r="116" spans="2:12" x14ac:dyDescent="0.3">
      <c r="D116" s="173"/>
      <c r="E116" s="174"/>
      <c r="F116" s="175"/>
    </row>
    <row r="117" spans="2:12" x14ac:dyDescent="0.3">
      <c r="D117" s="173"/>
      <c r="E117" s="174"/>
      <c r="F117" s="175"/>
    </row>
    <row r="118" spans="2:12" x14ac:dyDescent="0.3">
      <c r="B118" s="33"/>
      <c r="D118" s="173"/>
      <c r="E118" s="174"/>
      <c r="F118" s="175"/>
    </row>
    <row r="119" spans="2:12" x14ac:dyDescent="0.3">
      <c r="C119" s="176"/>
      <c r="D119" s="173"/>
      <c r="E119" s="174"/>
      <c r="F119" s="175"/>
    </row>
    <row r="120" spans="2:12" x14ac:dyDescent="0.3">
      <c r="D120" s="173"/>
      <c r="E120" s="174"/>
      <c r="F120" s="175"/>
    </row>
    <row r="121" spans="2:12" x14ac:dyDescent="0.3">
      <c r="D121" s="173"/>
      <c r="E121" s="174"/>
      <c r="F121" s="175"/>
    </row>
    <row r="122" spans="2:12" x14ac:dyDescent="0.3">
      <c r="D122" s="173"/>
      <c r="E122" s="174"/>
      <c r="F122" s="175"/>
    </row>
    <row r="123" spans="2:12" x14ac:dyDescent="0.3">
      <c r="D123" s="173"/>
      <c r="E123" s="174"/>
      <c r="F123" s="175"/>
    </row>
    <row r="124" spans="2:12" x14ac:dyDescent="0.3">
      <c r="D124" s="173"/>
      <c r="E124" s="174"/>
      <c r="F124" s="175"/>
    </row>
    <row r="125" spans="2:12" x14ac:dyDescent="0.3">
      <c r="D125" s="173"/>
      <c r="E125" s="174"/>
      <c r="F125" s="175"/>
    </row>
    <row r="126" spans="2:12" x14ac:dyDescent="0.3">
      <c r="D126" s="173"/>
      <c r="E126" s="174"/>
      <c r="F126" s="175"/>
    </row>
    <row r="127" spans="2:12" x14ac:dyDescent="0.3">
      <c r="D127" s="173"/>
      <c r="E127" s="174"/>
      <c r="F127" s="175"/>
    </row>
    <row r="128" spans="2:12" x14ac:dyDescent="0.3">
      <c r="D128" s="173"/>
      <c r="E128" s="174"/>
      <c r="F128" s="175"/>
    </row>
    <row r="129" spans="4:13" x14ac:dyDescent="0.3">
      <c r="D129" s="173"/>
      <c r="E129" s="174"/>
      <c r="F129" s="175"/>
    </row>
    <row r="130" spans="4:13" x14ac:dyDescent="0.3">
      <c r="D130" s="173"/>
      <c r="E130" s="174"/>
      <c r="F130" s="175"/>
      <c r="J130" s="171"/>
      <c r="K130" s="171"/>
      <c r="L130" s="171"/>
    </row>
    <row r="131" spans="4:13" x14ac:dyDescent="0.3">
      <c r="D131" s="173"/>
      <c r="E131" s="174"/>
      <c r="F131" s="175"/>
    </row>
    <row r="132" spans="4:13" x14ac:dyDescent="0.3">
      <c r="D132" s="173"/>
      <c r="E132" s="174"/>
      <c r="F132" s="175"/>
      <c r="J132" s="171"/>
    </row>
    <row r="133" spans="4:13" x14ac:dyDescent="0.3">
      <c r="D133" s="173"/>
      <c r="E133" s="174"/>
      <c r="F133" s="175"/>
      <c r="J133" s="171"/>
      <c r="K133" s="171"/>
      <c r="L133" s="171"/>
    </row>
    <row r="134" spans="4:13" x14ac:dyDescent="0.3">
      <c r="D134" s="173"/>
      <c r="E134" s="174"/>
      <c r="F134" s="175"/>
      <c r="K134" s="171"/>
      <c r="L134" s="171"/>
    </row>
    <row r="135" spans="4:13" x14ac:dyDescent="0.3">
      <c r="D135" s="173"/>
      <c r="E135" s="174"/>
      <c r="F135" s="175"/>
      <c r="K135" s="171"/>
      <c r="L135" s="171"/>
    </row>
    <row r="136" spans="4:13" x14ac:dyDescent="0.3">
      <c r="D136" s="173"/>
      <c r="E136" s="174"/>
      <c r="F136" s="175"/>
      <c r="J136" s="171"/>
    </row>
    <row r="137" spans="4:13" x14ac:dyDescent="0.3">
      <c r="D137" s="173"/>
      <c r="E137" s="174"/>
      <c r="F137" s="175"/>
      <c r="J137" s="171"/>
      <c r="K137" s="171"/>
      <c r="L137" s="171"/>
    </row>
    <row r="138" spans="4:13" x14ac:dyDescent="0.3">
      <c r="D138" s="173"/>
      <c r="E138" s="174"/>
      <c r="F138" s="175"/>
      <c r="K138" s="171"/>
      <c r="L138" s="171"/>
    </row>
    <row r="139" spans="4:13" x14ac:dyDescent="0.3">
      <c r="D139" s="173"/>
      <c r="E139" s="174"/>
      <c r="F139" s="175"/>
      <c r="J139" s="171"/>
      <c r="L139" s="171"/>
    </row>
    <row r="140" spans="4:13" x14ac:dyDescent="0.3">
      <c r="D140" s="173"/>
      <c r="E140" s="174"/>
      <c r="F140" s="175"/>
      <c r="H140" s="81"/>
      <c r="I140" s="81"/>
      <c r="J140" s="81"/>
      <c r="K140" s="81"/>
      <c r="L140" s="81"/>
      <c r="M140" s="81"/>
    </row>
    <row r="141" spans="4:13" x14ac:dyDescent="0.3">
      <c r="D141" s="173"/>
      <c r="E141" s="174"/>
      <c r="F141" s="175"/>
    </row>
    <row r="142" spans="4:13" x14ac:dyDescent="0.3">
      <c r="D142" s="173"/>
      <c r="E142" s="174"/>
      <c r="F142" s="175"/>
    </row>
    <row r="143" spans="4:13" x14ac:dyDescent="0.3">
      <c r="D143" s="173"/>
      <c r="E143" s="174"/>
      <c r="F143" s="175"/>
    </row>
    <row r="144" spans="4:13" x14ac:dyDescent="0.3">
      <c r="D144" s="173"/>
      <c r="E144" s="174"/>
      <c r="F144" s="175"/>
    </row>
    <row r="145" spans="3:17" x14ac:dyDescent="0.3">
      <c r="D145" s="173"/>
      <c r="E145" s="174"/>
      <c r="F145" s="175"/>
    </row>
    <row r="146" spans="3:17" x14ac:dyDescent="0.3">
      <c r="D146" s="173"/>
      <c r="E146" s="174"/>
      <c r="F146" s="175"/>
    </row>
    <row r="147" spans="3:17" x14ac:dyDescent="0.3">
      <c r="D147" s="173"/>
      <c r="E147" s="174"/>
      <c r="F147" s="175"/>
    </row>
    <row r="148" spans="3:17" x14ac:dyDescent="0.3">
      <c r="D148" s="173"/>
      <c r="E148" s="174"/>
      <c r="F148" s="175"/>
    </row>
    <row r="149" spans="3:17" x14ac:dyDescent="0.3">
      <c r="D149" s="173"/>
      <c r="E149" s="174"/>
      <c r="F149" s="175"/>
      <c r="H149" s="81"/>
      <c r="I149" s="81"/>
      <c r="J149" s="81"/>
      <c r="K149" s="81"/>
      <c r="L149" s="81"/>
    </row>
    <row r="150" spans="3:17" x14ac:dyDescent="0.3">
      <c r="D150" s="173"/>
      <c r="E150" s="174"/>
      <c r="F150" s="175"/>
      <c r="H150" s="81"/>
      <c r="I150" s="81"/>
      <c r="J150" s="81"/>
      <c r="K150" s="81"/>
      <c r="L150" s="81"/>
    </row>
    <row r="151" spans="3:17" x14ac:dyDescent="0.3">
      <c r="D151" s="173"/>
      <c r="E151" s="174"/>
      <c r="F151" s="175"/>
    </row>
    <row r="152" spans="3:17" x14ac:dyDescent="0.3">
      <c r="D152" s="173"/>
      <c r="E152" s="174"/>
      <c r="F152" s="175"/>
      <c r="H152" s="81"/>
      <c r="I152" s="81"/>
      <c r="J152" s="81"/>
      <c r="K152" s="81"/>
      <c r="L152" s="81"/>
    </row>
    <row r="153" spans="3:17" x14ac:dyDescent="0.3">
      <c r="D153" s="173"/>
      <c r="E153" s="174"/>
      <c r="F153" s="175"/>
    </row>
    <row r="154" spans="3:17" x14ac:dyDescent="0.3">
      <c r="C154" s="176"/>
      <c r="D154" s="173"/>
      <c r="E154" s="174"/>
      <c r="F154" s="175"/>
    </row>
    <row r="155" spans="3:17" x14ac:dyDescent="0.3">
      <c r="D155" s="173"/>
      <c r="E155" s="174"/>
      <c r="F155" s="175"/>
    </row>
    <row r="156" spans="3:17" x14ac:dyDescent="0.3">
      <c r="D156" s="173"/>
      <c r="E156" s="174"/>
      <c r="F156" s="175"/>
    </row>
    <row r="157" spans="3:17" x14ac:dyDescent="0.3">
      <c r="D157" s="173"/>
      <c r="E157" s="174"/>
      <c r="F157" s="175"/>
      <c r="N157" s="32"/>
    </row>
    <row r="158" spans="3:17" x14ac:dyDescent="0.3">
      <c r="D158" s="173"/>
      <c r="E158" s="174"/>
      <c r="F158" s="175"/>
      <c r="M158" s="32"/>
      <c r="N158" s="32"/>
      <c r="O158" s="32"/>
      <c r="P158" s="32"/>
      <c r="Q158" s="32"/>
    </row>
    <row r="159" spans="3:17" x14ac:dyDescent="0.3">
      <c r="D159" s="173"/>
      <c r="E159" s="174"/>
      <c r="F159" s="175"/>
      <c r="L159" s="171"/>
    </row>
    <row r="160" spans="3:17" x14ac:dyDescent="0.3">
      <c r="D160" s="173"/>
      <c r="E160" s="174"/>
      <c r="F160" s="175"/>
      <c r="H160" s="171"/>
      <c r="K160" s="171"/>
    </row>
    <row r="161" spans="3:12" x14ac:dyDescent="0.3">
      <c r="D161" s="173"/>
      <c r="E161" s="174"/>
      <c r="F161" s="175"/>
      <c r="K161" s="171"/>
    </row>
    <row r="162" spans="3:12" x14ac:dyDescent="0.3">
      <c r="D162" s="173"/>
      <c r="E162" s="174"/>
      <c r="F162" s="175"/>
      <c r="K162" s="171"/>
    </row>
    <row r="163" spans="3:12" x14ac:dyDescent="0.3">
      <c r="D163" s="173"/>
      <c r="E163" s="174"/>
      <c r="F163" s="175"/>
    </row>
    <row r="164" spans="3:12" x14ac:dyDescent="0.3">
      <c r="D164" s="173"/>
      <c r="E164" s="174"/>
      <c r="F164" s="175"/>
    </row>
    <row r="165" spans="3:12" x14ac:dyDescent="0.3">
      <c r="D165" s="173"/>
      <c r="E165" s="174"/>
      <c r="F165" s="175"/>
    </row>
    <row r="166" spans="3:12" x14ac:dyDescent="0.3">
      <c r="D166" s="173"/>
      <c r="E166" s="174"/>
      <c r="F166" s="175"/>
    </row>
    <row r="167" spans="3:12" x14ac:dyDescent="0.3">
      <c r="D167" s="173"/>
      <c r="E167" s="174"/>
      <c r="F167" s="175"/>
    </row>
    <row r="168" spans="3:12" x14ac:dyDescent="0.3">
      <c r="D168" s="173"/>
      <c r="E168" s="174"/>
      <c r="F168" s="175"/>
      <c r="L168" s="171"/>
    </row>
    <row r="169" spans="3:12" x14ac:dyDescent="0.3">
      <c r="D169" s="173"/>
      <c r="E169" s="174"/>
      <c r="F169" s="175"/>
    </row>
    <row r="170" spans="3:12" x14ac:dyDescent="0.3">
      <c r="D170" s="173"/>
      <c r="E170" s="174"/>
      <c r="F170" s="175"/>
    </row>
    <row r="171" spans="3:12" x14ac:dyDescent="0.3">
      <c r="D171" s="173"/>
      <c r="E171" s="174"/>
      <c r="F171" s="175"/>
      <c r="H171" s="81"/>
      <c r="I171" s="81"/>
      <c r="J171" s="81"/>
      <c r="K171" s="81"/>
      <c r="L171" s="81"/>
    </row>
    <row r="172" spans="3:12" x14ac:dyDescent="0.3">
      <c r="D172" s="173"/>
      <c r="E172" s="174"/>
      <c r="F172" s="175"/>
    </row>
    <row r="173" spans="3:12" x14ac:dyDescent="0.3">
      <c r="C173" s="176"/>
      <c r="D173" s="173"/>
      <c r="E173" s="174"/>
      <c r="F173" s="175"/>
    </row>
    <row r="174" spans="3:12" x14ac:dyDescent="0.3">
      <c r="D174" s="173"/>
      <c r="E174" s="174"/>
      <c r="F174" s="175"/>
    </row>
    <row r="175" spans="3:12" x14ac:dyDescent="0.3">
      <c r="D175" s="173"/>
      <c r="E175" s="174"/>
      <c r="F175" s="175"/>
    </row>
    <row r="176" spans="3:12" x14ac:dyDescent="0.3">
      <c r="D176" s="173"/>
      <c r="E176" s="174"/>
      <c r="F176" s="175"/>
      <c r="H176" s="171"/>
      <c r="K176" s="171"/>
    </row>
    <row r="177" spans="3:12" x14ac:dyDescent="0.3">
      <c r="D177" s="173"/>
      <c r="E177" s="174"/>
      <c r="F177" s="175"/>
      <c r="L177" s="171"/>
    </row>
    <row r="178" spans="3:12" x14ac:dyDescent="0.3">
      <c r="D178" s="173"/>
      <c r="E178" s="174"/>
      <c r="F178" s="175"/>
    </row>
    <row r="179" spans="3:12" x14ac:dyDescent="0.3">
      <c r="D179" s="173"/>
      <c r="E179" s="174"/>
      <c r="F179" s="175"/>
    </row>
    <row r="180" spans="3:12" x14ac:dyDescent="0.3">
      <c r="D180" s="173"/>
      <c r="E180" s="174"/>
      <c r="F180" s="175"/>
    </row>
    <row r="181" spans="3:12" x14ac:dyDescent="0.3">
      <c r="D181" s="173"/>
      <c r="E181" s="174"/>
      <c r="F181" s="175"/>
    </row>
    <row r="182" spans="3:12" x14ac:dyDescent="0.3">
      <c r="D182" s="173"/>
      <c r="E182" s="174"/>
      <c r="F182" s="175"/>
    </row>
    <row r="183" spans="3:12" x14ac:dyDescent="0.3">
      <c r="D183" s="173"/>
      <c r="E183" s="174"/>
      <c r="F183" s="175"/>
      <c r="H183" s="171"/>
      <c r="K183" s="171"/>
    </row>
    <row r="184" spans="3:12" x14ac:dyDescent="0.3">
      <c r="D184" s="173"/>
      <c r="E184" s="174"/>
      <c r="F184" s="175"/>
      <c r="L184" s="171"/>
    </row>
    <row r="185" spans="3:12" x14ac:dyDescent="0.3">
      <c r="D185" s="173"/>
      <c r="E185" s="174"/>
      <c r="F185" s="175"/>
      <c r="H185" s="81"/>
      <c r="I185" s="81"/>
      <c r="J185" s="81"/>
      <c r="K185" s="81"/>
      <c r="L185" s="177"/>
    </row>
    <row r="186" spans="3:12" x14ac:dyDescent="0.3">
      <c r="D186" s="173"/>
      <c r="E186" s="174"/>
      <c r="F186" s="175"/>
    </row>
    <row r="187" spans="3:12" x14ac:dyDescent="0.3">
      <c r="C187" s="176"/>
      <c r="D187" s="173"/>
      <c r="E187" s="174"/>
      <c r="F187" s="175"/>
    </row>
    <row r="188" spans="3:12" x14ac:dyDescent="0.3">
      <c r="D188" s="173"/>
      <c r="E188" s="174"/>
      <c r="F188" s="175"/>
      <c r="H188" s="81"/>
      <c r="I188" s="81"/>
      <c r="J188" s="81"/>
      <c r="K188" s="81"/>
      <c r="L188" s="81"/>
    </row>
    <row r="189" spans="3:12" x14ac:dyDescent="0.3">
      <c r="D189" s="173"/>
      <c r="E189" s="174"/>
      <c r="F189" s="175"/>
    </row>
    <row r="190" spans="3:12" x14ac:dyDescent="0.3">
      <c r="D190" s="173"/>
      <c r="E190" s="174"/>
      <c r="F190" s="175"/>
    </row>
    <row r="191" spans="3:12" x14ac:dyDescent="0.3">
      <c r="D191" s="173"/>
      <c r="E191" s="174"/>
      <c r="F191" s="175"/>
    </row>
    <row r="192" spans="3:12" x14ac:dyDescent="0.3">
      <c r="D192" s="173"/>
      <c r="E192" s="174"/>
      <c r="F192" s="175"/>
      <c r="I192" s="171"/>
      <c r="J192" s="171"/>
    </row>
    <row r="193" spans="4:12" x14ac:dyDescent="0.3">
      <c r="D193" s="173"/>
      <c r="E193" s="174"/>
      <c r="F193" s="175"/>
    </row>
    <row r="194" spans="4:12" x14ac:dyDescent="0.3">
      <c r="D194" s="173"/>
      <c r="E194" s="174"/>
      <c r="F194" s="175"/>
    </row>
    <row r="195" spans="4:12" x14ac:dyDescent="0.3">
      <c r="D195" s="173"/>
      <c r="E195" s="174"/>
      <c r="F195" s="175"/>
    </row>
    <row r="196" spans="4:12" x14ac:dyDescent="0.3">
      <c r="D196" s="173"/>
      <c r="E196" s="174"/>
      <c r="F196" s="175"/>
    </row>
    <row r="197" spans="4:12" x14ac:dyDescent="0.3">
      <c r="D197" s="173"/>
      <c r="E197" s="174"/>
      <c r="F197" s="175"/>
    </row>
    <row r="198" spans="4:12" x14ac:dyDescent="0.3">
      <c r="D198" s="173"/>
      <c r="E198" s="174"/>
      <c r="F198" s="175"/>
      <c r="H198" s="81"/>
      <c r="I198" s="81"/>
      <c r="J198" s="81"/>
      <c r="K198" s="81"/>
      <c r="L198" s="81"/>
    </row>
    <row r="199" spans="4:12" x14ac:dyDescent="0.3">
      <c r="D199" s="173"/>
      <c r="E199" s="174"/>
      <c r="F199" s="175"/>
    </row>
    <row r="200" spans="4:12" x14ac:dyDescent="0.3">
      <c r="D200" s="173"/>
      <c r="E200" s="174"/>
      <c r="F200" s="175"/>
    </row>
    <row r="201" spans="4:12" x14ac:dyDescent="0.3">
      <c r="D201" s="173"/>
      <c r="E201" s="174"/>
      <c r="F201" s="175"/>
    </row>
    <row r="202" spans="4:12" x14ac:dyDescent="0.3">
      <c r="D202" s="173"/>
      <c r="E202" s="174"/>
      <c r="F202" s="175"/>
    </row>
    <row r="203" spans="4:12" x14ac:dyDescent="0.3">
      <c r="D203" s="173"/>
      <c r="E203" s="174"/>
      <c r="F203" s="175"/>
    </row>
    <row r="204" spans="4:12" x14ac:dyDescent="0.3">
      <c r="D204" s="173"/>
      <c r="E204" s="174"/>
      <c r="F204" s="175"/>
    </row>
    <row r="205" spans="4:12" x14ac:dyDescent="0.3">
      <c r="D205" s="173"/>
      <c r="E205" s="174"/>
      <c r="F205" s="175"/>
    </row>
    <row r="206" spans="4:12" x14ac:dyDescent="0.3">
      <c r="D206" s="173"/>
      <c r="E206" s="174"/>
      <c r="F206" s="175"/>
    </row>
    <row r="207" spans="4:12" x14ac:dyDescent="0.3">
      <c r="D207" s="173"/>
      <c r="E207" s="174"/>
      <c r="F207" s="175"/>
    </row>
    <row r="208" spans="4:12" x14ac:dyDescent="0.3">
      <c r="D208" s="173"/>
      <c r="E208" s="174"/>
      <c r="F208" s="175"/>
    </row>
    <row r="209" spans="4:6" x14ac:dyDescent="0.3">
      <c r="D209" s="173"/>
      <c r="E209" s="174"/>
      <c r="F209" s="175"/>
    </row>
    <row r="210" spans="4:6" x14ac:dyDescent="0.3">
      <c r="D210" s="173"/>
      <c r="E210" s="174"/>
      <c r="F210" s="175"/>
    </row>
    <row r="211" spans="4:6" x14ac:dyDescent="0.3">
      <c r="D211" s="173"/>
      <c r="E211" s="174"/>
      <c r="F211" s="175"/>
    </row>
    <row r="212" spans="4:6" x14ac:dyDescent="0.3">
      <c r="D212" s="173"/>
      <c r="E212" s="174"/>
      <c r="F212" s="175"/>
    </row>
    <row r="213" spans="4:6" x14ac:dyDescent="0.3">
      <c r="D213" s="173"/>
      <c r="E213" s="174"/>
      <c r="F213" s="175"/>
    </row>
    <row r="214" spans="4:6" x14ac:dyDescent="0.3">
      <c r="D214" s="173"/>
      <c r="E214" s="174"/>
      <c r="F214" s="175"/>
    </row>
    <row r="215" spans="4:6" x14ac:dyDescent="0.3">
      <c r="D215" s="173"/>
      <c r="E215" s="174"/>
      <c r="F215" s="175"/>
    </row>
    <row r="216" spans="4:6" x14ac:dyDescent="0.3">
      <c r="D216" s="173"/>
      <c r="E216" s="174"/>
      <c r="F216" s="175"/>
    </row>
    <row r="217" spans="4:6" x14ac:dyDescent="0.3">
      <c r="D217" s="173"/>
      <c r="E217" s="174"/>
      <c r="F217" s="175"/>
    </row>
    <row r="218" spans="4:6" x14ac:dyDescent="0.3">
      <c r="D218" s="173"/>
      <c r="E218" s="174"/>
      <c r="F218" s="175"/>
    </row>
    <row r="219" spans="4:6" x14ac:dyDescent="0.3">
      <c r="D219" s="173"/>
      <c r="E219" s="174"/>
      <c r="F219" s="175"/>
    </row>
    <row r="220" spans="4:6" x14ac:dyDescent="0.3">
      <c r="D220" s="173"/>
      <c r="E220" s="174"/>
      <c r="F220" s="175"/>
    </row>
    <row r="221" spans="4:6" x14ac:dyDescent="0.3">
      <c r="D221" s="173"/>
      <c r="E221" s="174"/>
      <c r="F221" s="175"/>
    </row>
    <row r="222" spans="4:6" x14ac:dyDescent="0.3">
      <c r="D222" s="173"/>
      <c r="E222" s="174"/>
      <c r="F222" s="175"/>
    </row>
    <row r="223" spans="4:6" x14ac:dyDescent="0.3">
      <c r="D223" s="173"/>
      <c r="E223" s="174"/>
      <c r="F223" s="175"/>
    </row>
    <row r="224" spans="4:6" x14ac:dyDescent="0.3">
      <c r="D224" s="173"/>
      <c r="E224" s="174"/>
      <c r="F224" s="175"/>
    </row>
    <row r="225" spans="4:6" x14ac:dyDescent="0.3">
      <c r="D225" s="173"/>
      <c r="E225" s="174"/>
      <c r="F225" s="175"/>
    </row>
    <row r="226" spans="4:6" x14ac:dyDescent="0.3">
      <c r="D226" s="173"/>
      <c r="E226" s="174"/>
      <c r="F226" s="175"/>
    </row>
    <row r="227" spans="4:6" x14ac:dyDescent="0.3">
      <c r="D227" s="173"/>
      <c r="E227" s="174"/>
      <c r="F227" s="175"/>
    </row>
    <row r="228" spans="4:6" x14ac:dyDescent="0.3">
      <c r="D228" s="173"/>
      <c r="E228" s="174"/>
      <c r="F228" s="175"/>
    </row>
    <row r="229" spans="4:6" x14ac:dyDescent="0.3">
      <c r="D229" s="173"/>
      <c r="E229" s="174"/>
      <c r="F229" s="175"/>
    </row>
    <row r="230" spans="4:6" x14ac:dyDescent="0.3">
      <c r="D230" s="173"/>
      <c r="E230" s="174"/>
      <c r="F230" s="175"/>
    </row>
    <row r="231" spans="4:6" x14ac:dyDescent="0.3">
      <c r="D231" s="173"/>
      <c r="E231" s="174"/>
      <c r="F231" s="175"/>
    </row>
    <row r="232" spans="4:6" x14ac:dyDescent="0.3">
      <c r="D232" s="173"/>
      <c r="E232" s="174"/>
      <c r="F232" s="175"/>
    </row>
    <row r="233" spans="4:6" x14ac:dyDescent="0.3">
      <c r="D233" s="173"/>
      <c r="E233" s="174"/>
      <c r="F233" s="175"/>
    </row>
    <row r="234" spans="4:6" x14ac:dyDescent="0.3">
      <c r="D234" s="173"/>
      <c r="E234" s="174"/>
      <c r="F234" s="175"/>
    </row>
    <row r="235" spans="4:6" x14ac:dyDescent="0.3">
      <c r="D235" s="173"/>
      <c r="E235" s="174"/>
      <c r="F235" s="175"/>
    </row>
    <row r="236" spans="4:6" x14ac:dyDescent="0.3">
      <c r="D236" s="173"/>
      <c r="E236" s="174"/>
      <c r="F236" s="175"/>
    </row>
    <row r="237" spans="4:6" x14ac:dyDescent="0.3">
      <c r="D237" s="173"/>
      <c r="E237" s="174"/>
      <c r="F237" s="175"/>
    </row>
    <row r="238" spans="4:6" x14ac:dyDescent="0.3">
      <c r="D238" s="173"/>
      <c r="E238" s="174"/>
      <c r="F238" s="175"/>
    </row>
    <row r="239" spans="4:6" x14ac:dyDescent="0.3">
      <c r="D239" s="173"/>
      <c r="E239" s="174"/>
      <c r="F239" s="175"/>
    </row>
    <row r="240" spans="4:6" x14ac:dyDescent="0.3">
      <c r="D240" s="173"/>
      <c r="E240" s="174"/>
      <c r="F240" s="175"/>
    </row>
    <row r="241" spans="4:6" x14ac:dyDescent="0.3">
      <c r="D241" s="173"/>
      <c r="E241" s="174"/>
      <c r="F241" s="175"/>
    </row>
    <row r="242" spans="4:6" x14ac:dyDescent="0.3">
      <c r="D242" s="173"/>
      <c r="E242" s="174"/>
      <c r="F242" s="175"/>
    </row>
    <row r="243" spans="4:6" x14ac:dyDescent="0.3">
      <c r="D243" s="173"/>
      <c r="E243" s="174"/>
      <c r="F243" s="175"/>
    </row>
    <row r="244" spans="4:6" x14ac:dyDescent="0.3">
      <c r="D244" s="173"/>
      <c r="E244" s="174"/>
      <c r="F244" s="175"/>
    </row>
    <row r="245" spans="4:6" x14ac:dyDescent="0.3">
      <c r="D245" s="173"/>
      <c r="E245" s="174"/>
      <c r="F245" s="175"/>
    </row>
    <row r="246" spans="4:6" x14ac:dyDescent="0.3">
      <c r="D246" s="173"/>
      <c r="E246" s="174"/>
      <c r="F246" s="175"/>
    </row>
    <row r="247" spans="4:6" x14ac:dyDescent="0.3">
      <c r="D247" s="173"/>
      <c r="E247" s="174"/>
      <c r="F247" s="175"/>
    </row>
    <row r="248" spans="4:6" x14ac:dyDescent="0.3">
      <c r="D248" s="173"/>
      <c r="E248" s="174"/>
      <c r="F248" s="175"/>
    </row>
    <row r="249" spans="4:6" x14ac:dyDescent="0.3">
      <c r="D249" s="173"/>
      <c r="E249" s="174"/>
      <c r="F249" s="175"/>
    </row>
    <row r="250" spans="4:6" x14ac:dyDescent="0.3">
      <c r="D250" s="173"/>
      <c r="E250" s="174"/>
      <c r="F250" s="175"/>
    </row>
    <row r="251" spans="4:6" x14ac:dyDescent="0.3">
      <c r="D251" s="173"/>
      <c r="E251" s="174"/>
      <c r="F251" s="175"/>
    </row>
    <row r="252" spans="4:6" x14ac:dyDescent="0.3">
      <c r="D252" s="173"/>
      <c r="E252" s="174"/>
      <c r="F252" s="175"/>
    </row>
    <row r="253" spans="4:6" x14ac:dyDescent="0.3">
      <c r="D253" s="173"/>
      <c r="E253" s="174"/>
      <c r="F253" s="175"/>
    </row>
    <row r="254" spans="4:6" x14ac:dyDescent="0.3">
      <c r="D254" s="173"/>
      <c r="E254" s="174"/>
      <c r="F254" s="175"/>
    </row>
    <row r="255" spans="4:6" x14ac:dyDescent="0.3">
      <c r="D255" s="173"/>
      <c r="E255" s="174"/>
      <c r="F255" s="175"/>
    </row>
    <row r="256" spans="4:6" x14ac:dyDescent="0.3">
      <c r="D256" s="173"/>
      <c r="E256" s="174"/>
      <c r="F256" s="175"/>
    </row>
    <row r="257" spans="4:6" x14ac:dyDescent="0.3">
      <c r="D257" s="173"/>
      <c r="E257" s="174"/>
      <c r="F257" s="175"/>
    </row>
    <row r="258" spans="4:6" x14ac:dyDescent="0.3">
      <c r="D258" s="173"/>
      <c r="E258" s="174"/>
      <c r="F258" s="175"/>
    </row>
    <row r="259" spans="4:6" x14ac:dyDescent="0.3">
      <c r="D259" s="173"/>
      <c r="E259" s="174"/>
      <c r="F259" s="175"/>
    </row>
    <row r="260" spans="4:6" x14ac:dyDescent="0.3">
      <c r="D260" s="173"/>
      <c r="E260" s="174"/>
      <c r="F260" s="175"/>
    </row>
    <row r="261" spans="4:6" x14ac:dyDescent="0.3">
      <c r="D261" s="173"/>
      <c r="E261" s="174"/>
      <c r="F261" s="175"/>
    </row>
    <row r="262" spans="4:6" x14ac:dyDescent="0.3">
      <c r="D262" s="173"/>
      <c r="E262" s="174"/>
      <c r="F262" s="175"/>
    </row>
    <row r="263" spans="4:6" x14ac:dyDescent="0.3">
      <c r="D263" s="173"/>
      <c r="E263" s="174"/>
      <c r="F263" s="175"/>
    </row>
    <row r="264" spans="4:6" x14ac:dyDescent="0.3">
      <c r="D264" s="173"/>
      <c r="E264" s="174"/>
      <c r="F264" s="175"/>
    </row>
    <row r="265" spans="4:6" x14ac:dyDescent="0.3">
      <c r="D265" s="173"/>
      <c r="E265" s="174"/>
      <c r="F265" s="175"/>
    </row>
    <row r="266" spans="4:6" x14ac:dyDescent="0.3">
      <c r="D266" s="173"/>
      <c r="E266" s="174"/>
      <c r="F266" s="175"/>
    </row>
    <row r="267" spans="4:6" x14ac:dyDescent="0.3">
      <c r="D267" s="173"/>
      <c r="E267" s="174"/>
      <c r="F267" s="175"/>
    </row>
    <row r="268" spans="4:6" x14ac:dyDescent="0.3">
      <c r="D268" s="173"/>
      <c r="E268" s="174"/>
      <c r="F268" s="175"/>
    </row>
    <row r="269" spans="4:6" x14ac:dyDescent="0.3">
      <c r="D269" s="173"/>
      <c r="E269" s="174"/>
      <c r="F269" s="175"/>
    </row>
    <row r="270" spans="4:6" x14ac:dyDescent="0.3">
      <c r="D270" s="173"/>
      <c r="E270" s="174"/>
      <c r="F270" s="175"/>
    </row>
    <row r="271" spans="4:6" x14ac:dyDescent="0.3">
      <c r="D271" s="173"/>
      <c r="E271" s="174"/>
      <c r="F271" s="175"/>
    </row>
    <row r="272" spans="4:6" x14ac:dyDescent="0.3">
      <c r="D272" s="173"/>
      <c r="E272" s="174"/>
      <c r="F272" s="175"/>
    </row>
    <row r="273" spans="4:6" x14ac:dyDescent="0.3">
      <c r="D273" s="173"/>
      <c r="E273" s="174"/>
      <c r="F273" s="175"/>
    </row>
    <row r="274" spans="4:6" x14ac:dyDescent="0.3">
      <c r="D274" s="173"/>
      <c r="E274" s="174"/>
      <c r="F274" s="175"/>
    </row>
    <row r="275" spans="4:6" x14ac:dyDescent="0.3">
      <c r="D275" s="173"/>
      <c r="E275" s="174"/>
      <c r="F275" s="175"/>
    </row>
    <row r="276" spans="4:6" x14ac:dyDescent="0.3">
      <c r="D276" s="173"/>
      <c r="E276" s="174"/>
      <c r="F276" s="175"/>
    </row>
    <row r="277" spans="4:6" x14ac:dyDescent="0.3">
      <c r="D277" s="173"/>
      <c r="E277" s="174"/>
      <c r="F277" s="175"/>
    </row>
    <row r="278" spans="4:6" x14ac:dyDescent="0.3">
      <c r="D278" s="173"/>
      <c r="E278" s="174"/>
      <c r="F278" s="175"/>
    </row>
    <row r="279" spans="4:6" x14ac:dyDescent="0.3">
      <c r="D279" s="173"/>
      <c r="E279" s="174"/>
      <c r="F279" s="175"/>
    </row>
    <row r="280" spans="4:6" x14ac:dyDescent="0.3">
      <c r="D280" s="173"/>
      <c r="E280" s="174"/>
      <c r="F280" s="175"/>
    </row>
    <row r="281" spans="4:6" x14ac:dyDescent="0.3">
      <c r="D281" s="173"/>
      <c r="E281" s="174"/>
      <c r="F281" s="175"/>
    </row>
    <row r="282" spans="4:6" x14ac:dyDescent="0.3">
      <c r="D282" s="173"/>
      <c r="E282" s="174"/>
      <c r="F282" s="175"/>
    </row>
    <row r="283" spans="4:6" x14ac:dyDescent="0.3">
      <c r="D283" s="173"/>
      <c r="E283" s="174"/>
      <c r="F283" s="175"/>
    </row>
    <row r="284" spans="4:6" x14ac:dyDescent="0.3">
      <c r="D284" s="173"/>
      <c r="E284" s="174"/>
      <c r="F284" s="175"/>
    </row>
    <row r="285" spans="4:6" x14ac:dyDescent="0.3">
      <c r="D285" s="173"/>
      <c r="E285" s="174"/>
      <c r="F285" s="175"/>
    </row>
    <row r="286" spans="4:6" x14ac:dyDescent="0.3">
      <c r="D286" s="173"/>
      <c r="E286" s="174"/>
      <c r="F286" s="175"/>
    </row>
    <row r="287" spans="4:6" x14ac:dyDescent="0.3">
      <c r="D287" s="173"/>
      <c r="E287" s="174"/>
      <c r="F287" s="175"/>
    </row>
    <row r="288" spans="4:6" x14ac:dyDescent="0.3">
      <c r="D288" s="173"/>
      <c r="E288" s="174"/>
      <c r="F288" s="175"/>
    </row>
    <row r="289" spans="4:6" x14ac:dyDescent="0.3">
      <c r="D289" s="173"/>
      <c r="E289" s="174"/>
      <c r="F289" s="175"/>
    </row>
    <row r="290" spans="4:6" x14ac:dyDescent="0.3">
      <c r="D290" s="173"/>
      <c r="E290" s="174"/>
      <c r="F290" s="175"/>
    </row>
    <row r="291" spans="4:6" x14ac:dyDescent="0.3">
      <c r="D291" s="173"/>
      <c r="E291" s="174"/>
      <c r="F291" s="175"/>
    </row>
    <row r="292" spans="4:6" x14ac:dyDescent="0.3">
      <c r="D292" s="173"/>
      <c r="E292" s="174"/>
      <c r="F292" s="175"/>
    </row>
    <row r="293" spans="4:6" x14ac:dyDescent="0.3">
      <c r="D293" s="173"/>
      <c r="E293" s="174"/>
      <c r="F293" s="175"/>
    </row>
    <row r="294" spans="4:6" x14ac:dyDescent="0.3">
      <c r="D294" s="173"/>
      <c r="E294" s="174"/>
      <c r="F294" s="175"/>
    </row>
    <row r="295" spans="4:6" x14ac:dyDescent="0.3">
      <c r="D295" s="173"/>
      <c r="E295" s="174"/>
      <c r="F295" s="175"/>
    </row>
    <row r="296" spans="4:6" x14ac:dyDescent="0.3">
      <c r="D296" s="173"/>
      <c r="E296" s="174"/>
      <c r="F296" s="175"/>
    </row>
    <row r="297" spans="4:6" x14ac:dyDescent="0.3">
      <c r="D297" s="173"/>
      <c r="E297" s="174"/>
      <c r="F297" s="175"/>
    </row>
    <row r="298" spans="4:6" x14ac:dyDescent="0.3">
      <c r="D298" s="173"/>
      <c r="E298" s="174"/>
      <c r="F298" s="175"/>
    </row>
    <row r="299" spans="4:6" x14ac:dyDescent="0.3">
      <c r="D299" s="173"/>
      <c r="E299" s="174"/>
      <c r="F299" s="175"/>
    </row>
    <row r="300" spans="4:6" x14ac:dyDescent="0.3">
      <c r="D300" s="173"/>
      <c r="E300" s="174"/>
      <c r="F300" s="175"/>
    </row>
    <row r="301" spans="4:6" x14ac:dyDescent="0.3">
      <c r="D301" s="173"/>
      <c r="E301" s="174"/>
      <c r="F301" s="175"/>
    </row>
    <row r="302" spans="4:6" x14ac:dyDescent="0.3">
      <c r="D302" s="173"/>
      <c r="E302" s="174"/>
      <c r="F302" s="175"/>
    </row>
    <row r="303" spans="4:6" x14ac:dyDescent="0.3">
      <c r="D303" s="173"/>
      <c r="E303" s="174"/>
      <c r="F303" s="175"/>
    </row>
    <row r="304" spans="4:6" x14ac:dyDescent="0.3">
      <c r="D304" s="173"/>
      <c r="E304" s="174"/>
      <c r="F304" s="175"/>
    </row>
    <row r="305" spans="4:6" x14ac:dyDescent="0.3">
      <c r="D305" s="173"/>
      <c r="E305" s="174"/>
      <c r="F305" s="175"/>
    </row>
    <row r="306" spans="4:6" x14ac:dyDescent="0.3">
      <c r="D306" s="173"/>
      <c r="E306" s="174"/>
      <c r="F306" s="175"/>
    </row>
    <row r="307" spans="4:6" x14ac:dyDescent="0.3">
      <c r="D307" s="173"/>
      <c r="E307" s="174"/>
      <c r="F307" s="175"/>
    </row>
    <row r="308" spans="4:6" x14ac:dyDescent="0.3">
      <c r="D308" s="173"/>
      <c r="E308" s="174"/>
      <c r="F308" s="175"/>
    </row>
    <row r="309" spans="4:6" x14ac:dyDescent="0.3">
      <c r="D309" s="173"/>
      <c r="E309" s="174"/>
      <c r="F309" s="175"/>
    </row>
    <row r="310" spans="4:6" x14ac:dyDescent="0.3">
      <c r="D310" s="173"/>
      <c r="E310" s="174"/>
      <c r="F310" s="175"/>
    </row>
    <row r="311" spans="4:6" x14ac:dyDescent="0.3">
      <c r="D311" s="173"/>
      <c r="E311" s="174"/>
      <c r="F311" s="175"/>
    </row>
    <row r="312" spans="4:6" x14ac:dyDescent="0.3">
      <c r="D312" s="173"/>
      <c r="E312" s="174"/>
      <c r="F312" s="175"/>
    </row>
    <row r="313" spans="4:6" x14ac:dyDescent="0.3">
      <c r="D313" s="173"/>
      <c r="E313" s="174"/>
      <c r="F313" s="175"/>
    </row>
    <row r="314" spans="4:6" x14ac:dyDescent="0.3">
      <c r="D314" s="173"/>
      <c r="E314" s="174"/>
      <c r="F314" s="175"/>
    </row>
    <row r="315" spans="4:6" x14ac:dyDescent="0.3">
      <c r="D315" s="173"/>
      <c r="E315" s="174"/>
      <c r="F315" s="175"/>
    </row>
    <row r="316" spans="4:6" x14ac:dyDescent="0.3">
      <c r="D316" s="173"/>
      <c r="E316" s="174"/>
      <c r="F316" s="175"/>
    </row>
    <row r="317" spans="4:6" x14ac:dyDescent="0.3">
      <c r="D317" s="173"/>
      <c r="E317" s="174"/>
      <c r="F317" s="175"/>
    </row>
    <row r="318" spans="4:6" x14ac:dyDescent="0.3">
      <c r="D318" s="173"/>
      <c r="E318" s="174"/>
      <c r="F318" s="175"/>
    </row>
    <row r="319" spans="4:6" x14ac:dyDescent="0.3">
      <c r="D319" s="173"/>
      <c r="E319" s="174"/>
      <c r="F319" s="175"/>
    </row>
    <row r="320" spans="4:6" x14ac:dyDescent="0.3">
      <c r="D320" s="173"/>
      <c r="E320" s="174"/>
      <c r="F320" s="175"/>
    </row>
    <row r="321" spans="4:6" x14ac:dyDescent="0.3">
      <c r="D321" s="173"/>
      <c r="E321" s="174"/>
      <c r="F321" s="175"/>
    </row>
    <row r="322" spans="4:6" x14ac:dyDescent="0.3">
      <c r="D322" s="173"/>
      <c r="E322" s="174"/>
      <c r="F322" s="175"/>
    </row>
    <row r="323" spans="4:6" x14ac:dyDescent="0.3">
      <c r="D323" s="173"/>
      <c r="E323" s="174"/>
      <c r="F323" s="175"/>
    </row>
    <row r="324" spans="4:6" x14ac:dyDescent="0.3">
      <c r="D324" s="173"/>
      <c r="E324" s="174"/>
      <c r="F324" s="175"/>
    </row>
    <row r="325" spans="4:6" x14ac:dyDescent="0.3">
      <c r="D325" s="173"/>
      <c r="E325" s="174"/>
      <c r="F325" s="175"/>
    </row>
    <row r="326" spans="4:6" x14ac:dyDescent="0.3">
      <c r="D326" s="173"/>
      <c r="E326" s="174"/>
      <c r="F326" s="175"/>
    </row>
    <row r="327" spans="4:6" x14ac:dyDescent="0.3">
      <c r="D327" s="173"/>
      <c r="E327" s="174"/>
      <c r="F327" s="175"/>
    </row>
    <row r="328" spans="4:6" x14ac:dyDescent="0.3">
      <c r="D328" s="173"/>
      <c r="E328" s="174"/>
      <c r="F328" s="175"/>
    </row>
    <row r="329" spans="4:6" x14ac:dyDescent="0.3">
      <c r="D329" s="173"/>
      <c r="E329" s="174"/>
      <c r="F329" s="175"/>
    </row>
    <row r="330" spans="4:6" x14ac:dyDescent="0.3">
      <c r="D330" s="173"/>
      <c r="E330" s="174"/>
      <c r="F330" s="175"/>
    </row>
    <row r="331" spans="4:6" x14ac:dyDescent="0.3">
      <c r="D331" s="173"/>
      <c r="E331" s="174"/>
      <c r="F331" s="175"/>
    </row>
    <row r="332" spans="4:6" x14ac:dyDescent="0.3">
      <c r="D332" s="173"/>
      <c r="E332" s="174"/>
      <c r="F332" s="175"/>
    </row>
    <row r="333" spans="4:6" x14ac:dyDescent="0.3">
      <c r="D333" s="173"/>
      <c r="E333" s="174"/>
      <c r="F333" s="175"/>
    </row>
    <row r="334" spans="4:6" x14ac:dyDescent="0.3">
      <c r="D334" s="173"/>
      <c r="E334" s="174"/>
      <c r="F334" s="175"/>
    </row>
    <row r="335" spans="4:6" x14ac:dyDescent="0.3">
      <c r="D335" s="173"/>
      <c r="E335" s="174"/>
      <c r="F335" s="175"/>
    </row>
    <row r="336" spans="4:6" x14ac:dyDescent="0.3">
      <c r="D336" s="173"/>
      <c r="E336" s="174"/>
      <c r="F336" s="175"/>
    </row>
    <row r="337" spans="4:6" x14ac:dyDescent="0.3">
      <c r="D337" s="173"/>
      <c r="E337" s="174"/>
      <c r="F337" s="175"/>
    </row>
    <row r="338" spans="4:6" x14ac:dyDescent="0.3">
      <c r="D338" s="173"/>
      <c r="E338" s="174"/>
      <c r="F338" s="175"/>
    </row>
    <row r="339" spans="4:6" x14ac:dyDescent="0.3">
      <c r="D339" s="173"/>
      <c r="E339" s="174"/>
      <c r="F339" s="175"/>
    </row>
    <row r="340" spans="4:6" x14ac:dyDescent="0.3">
      <c r="D340" s="173"/>
      <c r="E340" s="174"/>
      <c r="F340" s="175"/>
    </row>
    <row r="341" spans="4:6" x14ac:dyDescent="0.3">
      <c r="D341" s="173"/>
      <c r="E341" s="174"/>
      <c r="F341" s="175"/>
    </row>
    <row r="342" spans="4:6" x14ac:dyDescent="0.3">
      <c r="D342" s="173"/>
      <c r="E342" s="174"/>
      <c r="F342" s="175"/>
    </row>
    <row r="343" spans="4:6" x14ac:dyDescent="0.3">
      <c r="D343" s="173"/>
      <c r="E343" s="174"/>
      <c r="F343" s="175"/>
    </row>
    <row r="344" spans="4:6" x14ac:dyDescent="0.3">
      <c r="D344" s="173"/>
      <c r="E344" s="174"/>
      <c r="F344" s="175"/>
    </row>
    <row r="345" spans="4:6" x14ac:dyDescent="0.3">
      <c r="D345" s="173"/>
      <c r="E345" s="174"/>
      <c r="F345" s="175"/>
    </row>
    <row r="346" spans="4:6" x14ac:dyDescent="0.3">
      <c r="D346" s="173"/>
      <c r="E346" s="174"/>
      <c r="F346" s="175"/>
    </row>
    <row r="347" spans="4:6" x14ac:dyDescent="0.3">
      <c r="D347" s="173"/>
      <c r="E347" s="174"/>
      <c r="F347" s="175"/>
    </row>
    <row r="348" spans="4:6" x14ac:dyDescent="0.3">
      <c r="D348" s="173"/>
      <c r="E348" s="174"/>
      <c r="F348" s="175"/>
    </row>
    <row r="349" spans="4:6" x14ac:dyDescent="0.3">
      <c r="D349" s="173"/>
      <c r="E349" s="174"/>
      <c r="F349" s="175"/>
    </row>
    <row r="350" spans="4:6" x14ac:dyDescent="0.3">
      <c r="D350" s="173"/>
      <c r="E350" s="174"/>
      <c r="F350" s="175"/>
    </row>
    <row r="351" spans="4:6" x14ac:dyDescent="0.3">
      <c r="D351" s="173"/>
      <c r="E351" s="174"/>
      <c r="F351" s="175"/>
    </row>
    <row r="352" spans="4:6" x14ac:dyDescent="0.3">
      <c r="D352" s="173"/>
      <c r="E352" s="174"/>
      <c r="F352" s="175"/>
    </row>
    <row r="353" spans="4:6" x14ac:dyDescent="0.3">
      <c r="D353" s="173"/>
      <c r="E353" s="174"/>
      <c r="F353" s="175"/>
    </row>
    <row r="354" spans="4:6" x14ac:dyDescent="0.3">
      <c r="D354" s="173"/>
      <c r="E354" s="174"/>
      <c r="F354" s="175"/>
    </row>
    <row r="355" spans="4:6" x14ac:dyDescent="0.3">
      <c r="D355" s="173"/>
      <c r="E355" s="174"/>
      <c r="F355" s="175"/>
    </row>
    <row r="356" spans="4:6" x14ac:dyDescent="0.3">
      <c r="D356" s="173"/>
      <c r="E356" s="174"/>
      <c r="F356" s="175"/>
    </row>
    <row r="357" spans="4:6" x14ac:dyDescent="0.3">
      <c r="D357" s="173"/>
      <c r="E357" s="174"/>
      <c r="F357" s="175"/>
    </row>
    <row r="358" spans="4:6" x14ac:dyDescent="0.3">
      <c r="D358" s="173"/>
      <c r="E358" s="174"/>
      <c r="F358" s="175"/>
    </row>
    <row r="359" spans="4:6" x14ac:dyDescent="0.3">
      <c r="D359" s="173"/>
      <c r="E359" s="174"/>
      <c r="F359" s="175"/>
    </row>
    <row r="360" spans="4:6" x14ac:dyDescent="0.3">
      <c r="D360" s="173"/>
      <c r="E360" s="174"/>
      <c r="F360" s="175"/>
    </row>
    <row r="361" spans="4:6" x14ac:dyDescent="0.3">
      <c r="D361" s="173"/>
      <c r="E361" s="174"/>
      <c r="F361" s="175"/>
    </row>
    <row r="362" spans="4:6" x14ac:dyDescent="0.3">
      <c r="D362" s="173"/>
      <c r="E362" s="174"/>
      <c r="F362" s="175"/>
    </row>
    <row r="363" spans="4:6" x14ac:dyDescent="0.3">
      <c r="D363" s="173"/>
      <c r="E363" s="174"/>
      <c r="F363" s="175"/>
    </row>
    <row r="364" spans="4:6" x14ac:dyDescent="0.3">
      <c r="D364" s="173"/>
      <c r="E364" s="174"/>
      <c r="F364" s="175"/>
    </row>
    <row r="365" spans="4:6" x14ac:dyDescent="0.3">
      <c r="D365" s="173"/>
      <c r="E365" s="174"/>
      <c r="F365" s="175"/>
    </row>
    <row r="366" spans="4:6" x14ac:dyDescent="0.3">
      <c r="D366" s="173"/>
      <c r="E366" s="174"/>
      <c r="F366" s="175"/>
    </row>
    <row r="367" spans="4:6" x14ac:dyDescent="0.3">
      <c r="D367" s="173"/>
      <c r="E367" s="174"/>
      <c r="F367" s="175"/>
    </row>
    <row r="368" spans="4:6" x14ac:dyDescent="0.3">
      <c r="D368" s="173"/>
      <c r="E368" s="174"/>
      <c r="F368" s="175"/>
    </row>
    <row r="369" spans="4:6" x14ac:dyDescent="0.3">
      <c r="D369" s="173"/>
      <c r="E369" s="174"/>
      <c r="F369" s="175"/>
    </row>
    <row r="370" spans="4:6" x14ac:dyDescent="0.3">
      <c r="D370" s="173"/>
      <c r="E370" s="174"/>
      <c r="F370" s="175"/>
    </row>
    <row r="371" spans="4:6" x14ac:dyDescent="0.3">
      <c r="D371" s="173"/>
      <c r="E371" s="174"/>
      <c r="F371" s="175"/>
    </row>
    <row r="372" spans="4:6" x14ac:dyDescent="0.3">
      <c r="D372" s="173"/>
      <c r="E372" s="174"/>
      <c r="F372" s="175"/>
    </row>
    <row r="373" spans="4:6" x14ac:dyDescent="0.3">
      <c r="D373" s="173"/>
      <c r="E373" s="174"/>
      <c r="F373" s="175"/>
    </row>
    <row r="374" spans="4:6" x14ac:dyDescent="0.3">
      <c r="D374" s="173"/>
      <c r="E374" s="174"/>
      <c r="F374" s="175"/>
    </row>
    <row r="375" spans="4:6" x14ac:dyDescent="0.3">
      <c r="D375" s="173"/>
      <c r="E375" s="174"/>
      <c r="F375" s="175"/>
    </row>
    <row r="376" spans="4:6" x14ac:dyDescent="0.3">
      <c r="D376" s="173"/>
      <c r="E376" s="174"/>
      <c r="F376" s="175"/>
    </row>
    <row r="377" spans="4:6" x14ac:dyDescent="0.3">
      <c r="D377" s="173"/>
      <c r="E377" s="174"/>
      <c r="F377" s="175"/>
    </row>
    <row r="378" spans="4:6" x14ac:dyDescent="0.3">
      <c r="D378" s="173"/>
      <c r="E378" s="174"/>
      <c r="F378" s="175"/>
    </row>
    <row r="379" spans="4:6" x14ac:dyDescent="0.3">
      <c r="D379" s="173"/>
      <c r="E379" s="174"/>
      <c r="F379" s="175"/>
    </row>
    <row r="380" spans="4:6" x14ac:dyDescent="0.3">
      <c r="D380" s="173"/>
      <c r="E380" s="174"/>
      <c r="F380" s="175"/>
    </row>
    <row r="381" spans="4:6" x14ac:dyDescent="0.3">
      <c r="D381" s="173"/>
      <c r="E381" s="174"/>
      <c r="F381" s="175"/>
    </row>
    <row r="382" spans="4:6" x14ac:dyDescent="0.3">
      <c r="D382" s="173"/>
      <c r="E382" s="174"/>
      <c r="F382" s="175"/>
    </row>
    <row r="383" spans="4:6" x14ac:dyDescent="0.3">
      <c r="D383" s="173"/>
      <c r="E383" s="174"/>
      <c r="F383" s="175"/>
    </row>
    <row r="384" spans="4:6" x14ac:dyDescent="0.3">
      <c r="D384" s="173"/>
      <c r="E384" s="174"/>
      <c r="F384" s="175"/>
    </row>
    <row r="385" spans="4:6" x14ac:dyDescent="0.3">
      <c r="D385" s="173"/>
      <c r="E385" s="174"/>
      <c r="F385" s="175"/>
    </row>
    <row r="386" spans="4:6" x14ac:dyDescent="0.3">
      <c r="D386" s="173"/>
      <c r="E386" s="174"/>
      <c r="F386" s="175"/>
    </row>
    <row r="387" spans="4:6" x14ac:dyDescent="0.3">
      <c r="D387" s="173"/>
      <c r="E387" s="174"/>
      <c r="F387" s="175"/>
    </row>
    <row r="388" spans="4:6" x14ac:dyDescent="0.3">
      <c r="D388" s="173"/>
      <c r="E388" s="174"/>
      <c r="F388" s="175"/>
    </row>
    <row r="389" spans="4:6" x14ac:dyDescent="0.3">
      <c r="D389" s="173"/>
      <c r="E389" s="174"/>
      <c r="F389" s="175"/>
    </row>
    <row r="390" spans="4:6" x14ac:dyDescent="0.3">
      <c r="D390" s="173"/>
      <c r="E390" s="174"/>
      <c r="F390" s="175"/>
    </row>
    <row r="391" spans="4:6" x14ac:dyDescent="0.3">
      <c r="D391" s="173"/>
      <c r="E391" s="174"/>
      <c r="F391" s="175"/>
    </row>
    <row r="392" spans="4:6" x14ac:dyDescent="0.3">
      <c r="D392" s="173"/>
      <c r="E392" s="174"/>
      <c r="F392" s="175"/>
    </row>
    <row r="393" spans="4:6" x14ac:dyDescent="0.3">
      <c r="D393" s="173"/>
      <c r="E393" s="174"/>
      <c r="F393" s="175"/>
    </row>
    <row r="394" spans="4:6" x14ac:dyDescent="0.3">
      <c r="D394" s="173"/>
      <c r="E394" s="174"/>
      <c r="F394" s="175"/>
    </row>
    <row r="395" spans="4:6" x14ac:dyDescent="0.3">
      <c r="D395" s="173"/>
      <c r="E395" s="174"/>
      <c r="F395" s="175"/>
    </row>
    <row r="396" spans="4:6" x14ac:dyDescent="0.3">
      <c r="D396" s="173"/>
      <c r="E396" s="174"/>
      <c r="F396" s="175"/>
    </row>
    <row r="397" spans="4:6" x14ac:dyDescent="0.3">
      <c r="D397" s="173"/>
      <c r="E397" s="174"/>
      <c r="F397" s="175"/>
    </row>
    <row r="398" spans="4:6" x14ac:dyDescent="0.3">
      <c r="D398" s="173"/>
      <c r="E398" s="174"/>
      <c r="F398" s="175"/>
    </row>
    <row r="399" spans="4:6" x14ac:dyDescent="0.3">
      <c r="D399" s="173"/>
      <c r="E399" s="174"/>
      <c r="F399" s="175"/>
    </row>
    <row r="400" spans="4:6" x14ac:dyDescent="0.3">
      <c r="D400" s="173"/>
      <c r="E400" s="174"/>
      <c r="F400" s="175"/>
    </row>
    <row r="401" spans="4:6" x14ac:dyDescent="0.3">
      <c r="D401" s="173"/>
      <c r="E401" s="174"/>
      <c r="F401" s="175"/>
    </row>
    <row r="402" spans="4:6" x14ac:dyDescent="0.3">
      <c r="D402" s="173"/>
      <c r="E402" s="174"/>
      <c r="F402" s="175"/>
    </row>
    <row r="403" spans="4:6" x14ac:dyDescent="0.3">
      <c r="D403" s="173"/>
      <c r="E403" s="174"/>
      <c r="F403" s="175"/>
    </row>
    <row r="404" spans="4:6" x14ac:dyDescent="0.3">
      <c r="D404" s="173"/>
      <c r="E404" s="174"/>
      <c r="F404" s="175"/>
    </row>
    <row r="405" spans="4:6" x14ac:dyDescent="0.3">
      <c r="D405" s="173"/>
      <c r="E405" s="174"/>
      <c r="F405" s="175"/>
    </row>
    <row r="406" spans="4:6" x14ac:dyDescent="0.3">
      <c r="D406" s="173"/>
      <c r="E406" s="174"/>
      <c r="F406" s="175"/>
    </row>
    <row r="407" spans="4:6" x14ac:dyDescent="0.3">
      <c r="D407" s="173"/>
      <c r="E407" s="174"/>
      <c r="F407" s="175"/>
    </row>
    <row r="408" spans="4:6" x14ac:dyDescent="0.3">
      <c r="D408" s="173"/>
      <c r="E408" s="174"/>
      <c r="F408" s="175"/>
    </row>
    <row r="409" spans="4:6" x14ac:dyDescent="0.3">
      <c r="D409" s="173"/>
      <c r="E409" s="174"/>
      <c r="F409" s="175"/>
    </row>
    <row r="410" spans="4:6" x14ac:dyDescent="0.3">
      <c r="D410" s="173"/>
      <c r="E410" s="174"/>
      <c r="F410" s="175"/>
    </row>
    <row r="411" spans="4:6" x14ac:dyDescent="0.3">
      <c r="D411" s="173"/>
      <c r="E411" s="174"/>
      <c r="F411" s="175"/>
    </row>
    <row r="412" spans="4:6" x14ac:dyDescent="0.3">
      <c r="D412" s="173"/>
      <c r="E412" s="174"/>
      <c r="F412" s="175"/>
    </row>
    <row r="413" spans="4:6" x14ac:dyDescent="0.3">
      <c r="D413" s="173"/>
      <c r="E413" s="174"/>
      <c r="F413" s="175"/>
    </row>
    <row r="414" spans="4:6" x14ac:dyDescent="0.3">
      <c r="D414" s="173"/>
      <c r="E414" s="174"/>
      <c r="F414" s="175"/>
    </row>
    <row r="415" spans="4:6" x14ac:dyDescent="0.3">
      <c r="D415" s="173"/>
      <c r="E415" s="174"/>
      <c r="F415" s="175"/>
    </row>
    <row r="416" spans="4:6" x14ac:dyDescent="0.3">
      <c r="D416" s="173"/>
      <c r="E416" s="174"/>
      <c r="F416" s="175"/>
    </row>
    <row r="417" spans="4:6" x14ac:dyDescent="0.3">
      <c r="D417" s="173"/>
      <c r="E417" s="174"/>
      <c r="F417" s="175"/>
    </row>
    <row r="418" spans="4:6" x14ac:dyDescent="0.3">
      <c r="D418" s="173"/>
      <c r="E418" s="174"/>
      <c r="F418" s="175"/>
    </row>
    <row r="419" spans="4:6" x14ac:dyDescent="0.3">
      <c r="D419" s="173"/>
      <c r="E419" s="174"/>
      <c r="F419" s="175"/>
    </row>
    <row r="420" spans="4:6" x14ac:dyDescent="0.3">
      <c r="D420" s="173"/>
      <c r="E420" s="174"/>
      <c r="F420" s="175"/>
    </row>
    <row r="421" spans="4:6" x14ac:dyDescent="0.3">
      <c r="D421" s="173"/>
      <c r="E421" s="174"/>
      <c r="F421" s="175"/>
    </row>
    <row r="422" spans="4:6" x14ac:dyDescent="0.3">
      <c r="D422" s="173"/>
      <c r="E422" s="174"/>
      <c r="F422" s="175"/>
    </row>
    <row r="423" spans="4:6" x14ac:dyDescent="0.3">
      <c r="D423" s="173"/>
      <c r="E423" s="174"/>
      <c r="F423" s="175"/>
    </row>
    <row r="424" spans="4:6" x14ac:dyDescent="0.3">
      <c r="D424" s="173"/>
      <c r="E424" s="174"/>
      <c r="F424" s="175"/>
    </row>
    <row r="425" spans="4:6" x14ac:dyDescent="0.3">
      <c r="D425" s="173"/>
      <c r="E425" s="174"/>
      <c r="F425" s="175"/>
    </row>
    <row r="426" spans="4:6" x14ac:dyDescent="0.3">
      <c r="D426" s="173"/>
      <c r="E426" s="174"/>
      <c r="F426" s="175"/>
    </row>
    <row r="427" spans="4:6" x14ac:dyDescent="0.3">
      <c r="D427" s="173"/>
      <c r="E427" s="174"/>
      <c r="F427" s="175"/>
    </row>
    <row r="428" spans="4:6" x14ac:dyDescent="0.3">
      <c r="D428" s="173"/>
      <c r="E428" s="174"/>
      <c r="F428" s="175"/>
    </row>
    <row r="429" spans="4:6" x14ac:dyDescent="0.3">
      <c r="D429" s="173"/>
      <c r="E429" s="174"/>
      <c r="F429" s="175"/>
    </row>
    <row r="430" spans="4:6" x14ac:dyDescent="0.3">
      <c r="D430" s="173"/>
      <c r="E430" s="174"/>
      <c r="F430" s="175"/>
    </row>
    <row r="431" spans="4:6" x14ac:dyDescent="0.3">
      <c r="D431" s="173"/>
      <c r="E431" s="174"/>
      <c r="F431" s="175"/>
    </row>
    <row r="432" spans="4:6" x14ac:dyDescent="0.3">
      <c r="D432" s="173"/>
      <c r="E432" s="174"/>
      <c r="F432" s="175"/>
    </row>
    <row r="433" spans="4:6" x14ac:dyDescent="0.3">
      <c r="D433" s="173"/>
      <c r="E433" s="174"/>
      <c r="F433" s="175"/>
    </row>
    <row r="434" spans="4:6" x14ac:dyDescent="0.3">
      <c r="D434" s="173"/>
      <c r="E434" s="174"/>
      <c r="F434" s="175"/>
    </row>
    <row r="435" spans="4:6" x14ac:dyDescent="0.3">
      <c r="D435" s="173"/>
      <c r="E435" s="174"/>
      <c r="F435" s="175"/>
    </row>
    <row r="436" spans="4:6" x14ac:dyDescent="0.3">
      <c r="D436" s="173"/>
      <c r="E436" s="174"/>
      <c r="F436" s="175"/>
    </row>
    <row r="437" spans="4:6" x14ac:dyDescent="0.3">
      <c r="D437" s="173"/>
      <c r="E437" s="174"/>
      <c r="F437" s="175"/>
    </row>
    <row r="438" spans="4:6" x14ac:dyDescent="0.3">
      <c r="D438" s="173"/>
      <c r="E438" s="174"/>
      <c r="F438" s="175"/>
    </row>
    <row r="439" spans="4:6" x14ac:dyDescent="0.3">
      <c r="D439" s="173"/>
      <c r="E439" s="174"/>
      <c r="F439" s="175"/>
    </row>
    <row r="440" spans="4:6" x14ac:dyDescent="0.3">
      <c r="D440" s="173"/>
      <c r="E440" s="174"/>
      <c r="F440" s="175"/>
    </row>
    <row r="441" spans="4:6" x14ac:dyDescent="0.3">
      <c r="D441" s="173"/>
      <c r="E441" s="174"/>
      <c r="F441" s="175"/>
    </row>
    <row r="442" spans="4:6" x14ac:dyDescent="0.3">
      <c r="D442" s="173"/>
      <c r="E442" s="174"/>
      <c r="F442" s="175"/>
    </row>
    <row r="443" spans="4:6" x14ac:dyDescent="0.3">
      <c r="D443" s="173"/>
      <c r="E443" s="174"/>
      <c r="F443" s="175"/>
    </row>
    <row r="444" spans="4:6" x14ac:dyDescent="0.3">
      <c r="D444" s="173"/>
      <c r="E444" s="174"/>
      <c r="F444" s="175"/>
    </row>
    <row r="445" spans="4:6" x14ac:dyDescent="0.3">
      <c r="D445" s="173"/>
      <c r="E445" s="174"/>
      <c r="F445" s="175"/>
    </row>
    <row r="446" spans="4:6" x14ac:dyDescent="0.3">
      <c r="D446" s="173"/>
      <c r="E446" s="174"/>
      <c r="F446" s="175"/>
    </row>
    <row r="447" spans="4:6" x14ac:dyDescent="0.3">
      <c r="D447" s="173"/>
      <c r="E447" s="174"/>
      <c r="F447" s="175"/>
    </row>
    <row r="448" spans="4:6" x14ac:dyDescent="0.3">
      <c r="D448" s="173"/>
      <c r="E448" s="174"/>
      <c r="F448" s="175"/>
    </row>
    <row r="449" spans="4:6" x14ac:dyDescent="0.3">
      <c r="D449" s="173"/>
      <c r="E449" s="174"/>
      <c r="F449" s="175"/>
    </row>
    <row r="450" spans="4:6" x14ac:dyDescent="0.3">
      <c r="D450" s="173"/>
      <c r="E450" s="174"/>
      <c r="F450" s="175"/>
    </row>
    <row r="451" spans="4:6" x14ac:dyDescent="0.3">
      <c r="D451" s="173"/>
      <c r="E451" s="174"/>
      <c r="F451" s="175"/>
    </row>
    <row r="452" spans="4:6" x14ac:dyDescent="0.3">
      <c r="D452" s="173"/>
      <c r="E452" s="174"/>
      <c r="F452" s="175"/>
    </row>
    <row r="453" spans="4:6" x14ac:dyDescent="0.3">
      <c r="D453" s="173"/>
      <c r="E453" s="174"/>
      <c r="F453" s="175"/>
    </row>
    <row r="454" spans="4:6" x14ac:dyDescent="0.3">
      <c r="D454" s="173"/>
      <c r="E454" s="174"/>
      <c r="F454" s="175"/>
    </row>
    <row r="455" spans="4:6" x14ac:dyDescent="0.3">
      <c r="D455" s="173"/>
      <c r="E455" s="174"/>
      <c r="F455" s="175"/>
    </row>
    <row r="456" spans="4:6" x14ac:dyDescent="0.3">
      <c r="D456" s="173"/>
      <c r="E456" s="174"/>
      <c r="F456" s="175"/>
    </row>
    <row r="457" spans="4:6" x14ac:dyDescent="0.3">
      <c r="D457" s="173"/>
      <c r="E457" s="174"/>
      <c r="F457" s="175"/>
    </row>
    <row r="458" spans="4:6" x14ac:dyDescent="0.3">
      <c r="D458" s="173"/>
      <c r="E458" s="174"/>
      <c r="F458" s="175"/>
    </row>
    <row r="459" spans="4:6" x14ac:dyDescent="0.3">
      <c r="D459" s="173"/>
      <c r="E459" s="174"/>
      <c r="F459" s="175"/>
    </row>
    <row r="460" spans="4:6" x14ac:dyDescent="0.3">
      <c r="D460" s="173"/>
      <c r="E460" s="174"/>
      <c r="F460" s="175"/>
    </row>
    <row r="461" spans="4:6" x14ac:dyDescent="0.3">
      <c r="D461" s="173"/>
      <c r="E461" s="174"/>
      <c r="F461" s="175"/>
    </row>
    <row r="462" spans="4:6" x14ac:dyDescent="0.3">
      <c r="D462" s="173"/>
      <c r="E462" s="174"/>
      <c r="F462" s="175"/>
    </row>
    <row r="463" spans="4:6" x14ac:dyDescent="0.3">
      <c r="D463" s="173"/>
      <c r="E463" s="174"/>
      <c r="F463" s="175"/>
    </row>
    <row r="464" spans="4:6" x14ac:dyDescent="0.3">
      <c r="D464" s="173"/>
      <c r="E464" s="174"/>
      <c r="F464" s="175"/>
    </row>
    <row r="465" spans="4:6" x14ac:dyDescent="0.3">
      <c r="D465" s="173"/>
      <c r="E465" s="174"/>
      <c r="F465" s="175"/>
    </row>
    <row r="466" spans="4:6" x14ac:dyDescent="0.3">
      <c r="D466" s="173"/>
      <c r="E466" s="174"/>
      <c r="F466" s="175"/>
    </row>
    <row r="467" spans="4:6" x14ac:dyDescent="0.3">
      <c r="D467" s="173"/>
      <c r="E467" s="174"/>
      <c r="F467" s="175"/>
    </row>
    <row r="468" spans="4:6" x14ac:dyDescent="0.3">
      <c r="D468" s="173"/>
      <c r="E468" s="174"/>
      <c r="F468" s="175"/>
    </row>
    <row r="469" spans="4:6" x14ac:dyDescent="0.3">
      <c r="D469" s="173"/>
      <c r="E469" s="174"/>
      <c r="F469" s="175"/>
    </row>
    <row r="470" spans="4:6" x14ac:dyDescent="0.3">
      <c r="D470" s="173"/>
      <c r="E470" s="174"/>
      <c r="F470" s="175"/>
    </row>
    <row r="471" spans="4:6" x14ac:dyDescent="0.3">
      <c r="D471" s="173"/>
      <c r="E471" s="174"/>
      <c r="F471" s="175"/>
    </row>
    <row r="472" spans="4:6" x14ac:dyDescent="0.3">
      <c r="D472" s="173"/>
      <c r="E472" s="174"/>
      <c r="F472" s="175"/>
    </row>
    <row r="473" spans="4:6" x14ac:dyDescent="0.3">
      <c r="D473" s="173"/>
      <c r="E473" s="174"/>
      <c r="F473" s="175"/>
    </row>
    <row r="474" spans="4:6" x14ac:dyDescent="0.3">
      <c r="D474" s="173"/>
      <c r="E474" s="174"/>
      <c r="F474" s="175"/>
    </row>
    <row r="475" spans="4:6" x14ac:dyDescent="0.3">
      <c r="D475" s="173"/>
      <c r="E475" s="174"/>
      <c r="F475" s="175"/>
    </row>
    <row r="476" spans="4:6" x14ac:dyDescent="0.3">
      <c r="D476" s="173"/>
      <c r="E476" s="174"/>
      <c r="F476" s="175"/>
    </row>
    <row r="477" spans="4:6" x14ac:dyDescent="0.3">
      <c r="D477" s="173"/>
      <c r="E477" s="174"/>
      <c r="F477" s="175"/>
    </row>
    <row r="478" spans="4:6" x14ac:dyDescent="0.3">
      <c r="D478" s="173"/>
      <c r="E478" s="174"/>
      <c r="F478" s="175"/>
    </row>
    <row r="479" spans="4:6" x14ac:dyDescent="0.3">
      <c r="D479" s="173"/>
      <c r="E479" s="174"/>
      <c r="F479" s="175"/>
    </row>
    <row r="480" spans="4:6" x14ac:dyDescent="0.3">
      <c r="D480" s="173"/>
      <c r="E480" s="174"/>
      <c r="F480" s="175"/>
    </row>
    <row r="481" spans="4:6" x14ac:dyDescent="0.3">
      <c r="D481" s="173"/>
      <c r="E481" s="174"/>
      <c r="F481" s="175"/>
    </row>
    <row r="482" spans="4:6" x14ac:dyDescent="0.3">
      <c r="D482" s="173"/>
      <c r="E482" s="174"/>
      <c r="F482" s="175"/>
    </row>
    <row r="483" spans="4:6" x14ac:dyDescent="0.3">
      <c r="D483" s="173"/>
      <c r="E483" s="174"/>
      <c r="F483" s="175"/>
    </row>
    <row r="484" spans="4:6" x14ac:dyDescent="0.3">
      <c r="D484" s="173"/>
      <c r="E484" s="174"/>
      <c r="F484" s="175"/>
    </row>
    <row r="485" spans="4:6" x14ac:dyDescent="0.3">
      <c r="D485" s="173"/>
      <c r="E485" s="174"/>
      <c r="F485" s="175"/>
    </row>
    <row r="486" spans="4:6" x14ac:dyDescent="0.3">
      <c r="D486" s="173"/>
      <c r="E486" s="174"/>
      <c r="F486" s="175"/>
    </row>
    <row r="487" spans="4:6" x14ac:dyDescent="0.3">
      <c r="D487" s="173"/>
      <c r="E487" s="174"/>
      <c r="F487" s="175"/>
    </row>
    <row r="488" spans="4:6" x14ac:dyDescent="0.3">
      <c r="D488" s="173"/>
      <c r="E488" s="174"/>
      <c r="F488" s="175"/>
    </row>
    <row r="489" spans="4:6" x14ac:dyDescent="0.3">
      <c r="D489" s="173"/>
      <c r="E489" s="174"/>
      <c r="F489" s="175"/>
    </row>
    <row r="490" spans="4:6" x14ac:dyDescent="0.3">
      <c r="D490" s="173"/>
      <c r="E490" s="174"/>
      <c r="F490" s="175"/>
    </row>
    <row r="491" spans="4:6" x14ac:dyDescent="0.3">
      <c r="D491" s="173"/>
      <c r="E491" s="174"/>
      <c r="F491" s="175"/>
    </row>
    <row r="492" spans="4:6" x14ac:dyDescent="0.3">
      <c r="D492" s="173"/>
      <c r="E492" s="174"/>
      <c r="F492" s="175"/>
    </row>
    <row r="493" spans="4:6" x14ac:dyDescent="0.3">
      <c r="D493" s="173"/>
      <c r="E493" s="174"/>
      <c r="F493" s="175"/>
    </row>
    <row r="494" spans="4:6" x14ac:dyDescent="0.3">
      <c r="D494" s="173"/>
      <c r="E494" s="174"/>
      <c r="F494" s="175"/>
    </row>
    <row r="495" spans="4:6" x14ac:dyDescent="0.3">
      <c r="D495" s="173"/>
      <c r="E495" s="174"/>
      <c r="F495" s="175"/>
    </row>
    <row r="496" spans="4:6" x14ac:dyDescent="0.3">
      <c r="D496" s="173"/>
      <c r="E496" s="174"/>
      <c r="F496" s="175"/>
    </row>
    <row r="497" spans="4:6" x14ac:dyDescent="0.3">
      <c r="D497" s="173"/>
      <c r="E497" s="174"/>
      <c r="F497" s="175"/>
    </row>
    <row r="498" spans="4:6" x14ac:dyDescent="0.3">
      <c r="D498" s="173"/>
      <c r="E498" s="174"/>
      <c r="F498" s="175"/>
    </row>
    <row r="499" spans="4:6" x14ac:dyDescent="0.3">
      <c r="D499" s="173"/>
      <c r="E499" s="174"/>
      <c r="F499" s="175"/>
    </row>
    <row r="500" spans="4:6" x14ac:dyDescent="0.3">
      <c r="D500" s="173"/>
      <c r="E500" s="174"/>
      <c r="F500" s="175"/>
    </row>
    <row r="501" spans="4:6" x14ac:dyDescent="0.3">
      <c r="D501" s="173"/>
      <c r="E501" s="174"/>
      <c r="F501" s="175"/>
    </row>
    <row r="502" spans="4:6" x14ac:dyDescent="0.3">
      <c r="D502" s="173"/>
      <c r="E502" s="174"/>
      <c r="F502" s="175"/>
    </row>
    <row r="503" spans="4:6" x14ac:dyDescent="0.3">
      <c r="D503" s="173"/>
      <c r="E503" s="174"/>
      <c r="F503" s="175"/>
    </row>
    <row r="504" spans="4:6" x14ac:dyDescent="0.3">
      <c r="D504" s="173"/>
      <c r="E504" s="174"/>
      <c r="F504" s="175"/>
    </row>
    <row r="505" spans="4:6" x14ac:dyDescent="0.3">
      <c r="D505" s="173"/>
      <c r="E505" s="174"/>
      <c r="F505" s="175"/>
    </row>
    <row r="506" spans="4:6" x14ac:dyDescent="0.3">
      <c r="D506" s="173"/>
      <c r="E506" s="174"/>
      <c r="F506" s="175"/>
    </row>
    <row r="507" spans="4:6" x14ac:dyDescent="0.3">
      <c r="D507" s="173"/>
      <c r="E507" s="174"/>
      <c r="F507" s="175"/>
    </row>
    <row r="508" spans="4:6" x14ac:dyDescent="0.3">
      <c r="D508" s="173"/>
      <c r="E508" s="174"/>
      <c r="F508" s="175"/>
    </row>
    <row r="509" spans="4:6" x14ac:dyDescent="0.3">
      <c r="D509" s="173"/>
      <c r="E509" s="174"/>
      <c r="F509" s="175"/>
    </row>
    <row r="510" spans="4:6" x14ac:dyDescent="0.3">
      <c r="D510" s="173"/>
      <c r="E510" s="174"/>
      <c r="F510" s="175"/>
    </row>
    <row r="511" spans="4:6" x14ac:dyDescent="0.3">
      <c r="D511" s="173"/>
      <c r="E511" s="174"/>
      <c r="F511" s="175"/>
    </row>
    <row r="512" spans="4:6" x14ac:dyDescent="0.3">
      <c r="D512" s="173"/>
      <c r="E512" s="174"/>
      <c r="F512" s="175"/>
    </row>
    <row r="513" spans="4:6" x14ac:dyDescent="0.3">
      <c r="D513" s="173"/>
      <c r="E513" s="174"/>
      <c r="F513" s="175"/>
    </row>
    <row r="514" spans="4:6" x14ac:dyDescent="0.3">
      <c r="D514" s="173"/>
      <c r="E514" s="174"/>
      <c r="F514" s="175"/>
    </row>
    <row r="515" spans="4:6" x14ac:dyDescent="0.3">
      <c r="D515" s="173"/>
      <c r="E515" s="174"/>
      <c r="F515" s="175"/>
    </row>
    <row r="516" spans="4:6" x14ac:dyDescent="0.3">
      <c r="D516" s="173"/>
      <c r="E516" s="174"/>
      <c r="F516" s="175"/>
    </row>
    <row r="517" spans="4:6" x14ac:dyDescent="0.3">
      <c r="D517" s="173"/>
      <c r="E517" s="174"/>
      <c r="F517" s="175"/>
    </row>
    <row r="518" spans="4:6" x14ac:dyDescent="0.3">
      <c r="D518" s="173"/>
      <c r="E518" s="174"/>
      <c r="F518" s="175"/>
    </row>
    <row r="519" spans="4:6" x14ac:dyDescent="0.3">
      <c r="D519" s="173"/>
      <c r="E519" s="174"/>
      <c r="F519" s="175"/>
    </row>
    <row r="520" spans="4:6" x14ac:dyDescent="0.3">
      <c r="D520" s="173"/>
      <c r="E520" s="174"/>
      <c r="F520" s="175"/>
    </row>
    <row r="521" spans="4:6" x14ac:dyDescent="0.3">
      <c r="D521" s="173"/>
      <c r="E521" s="174"/>
      <c r="F521" s="175"/>
    </row>
    <row r="522" spans="4:6" x14ac:dyDescent="0.3">
      <c r="D522" s="173"/>
      <c r="E522" s="174"/>
      <c r="F522" s="175"/>
    </row>
    <row r="523" spans="4:6" x14ac:dyDescent="0.3">
      <c r="D523" s="173"/>
      <c r="E523" s="174"/>
      <c r="F523" s="175"/>
    </row>
    <row r="524" spans="4:6" x14ac:dyDescent="0.3">
      <c r="D524" s="173"/>
      <c r="E524" s="174"/>
      <c r="F524" s="175"/>
    </row>
    <row r="525" spans="4:6" x14ac:dyDescent="0.3">
      <c r="D525" s="173"/>
      <c r="E525" s="174"/>
      <c r="F525" s="175"/>
    </row>
    <row r="526" spans="4:6" x14ac:dyDescent="0.3">
      <c r="D526" s="173"/>
      <c r="E526" s="174"/>
      <c r="F526" s="175"/>
    </row>
    <row r="527" spans="4:6" x14ac:dyDescent="0.3">
      <c r="D527" s="173"/>
      <c r="E527" s="174"/>
      <c r="F527" s="175"/>
    </row>
    <row r="528" spans="4:6" x14ac:dyDescent="0.3">
      <c r="D528" s="173"/>
      <c r="E528" s="174"/>
      <c r="F528" s="175"/>
    </row>
    <row r="529" spans="4:6" x14ac:dyDescent="0.3">
      <c r="D529" s="173"/>
      <c r="E529" s="174"/>
      <c r="F529" s="175"/>
    </row>
    <row r="530" spans="4:6" x14ac:dyDescent="0.3">
      <c r="D530" s="173"/>
      <c r="E530" s="174"/>
      <c r="F530" s="175"/>
    </row>
    <row r="531" spans="4:6" x14ac:dyDescent="0.3">
      <c r="D531" s="173"/>
      <c r="E531" s="174"/>
      <c r="F531" s="175"/>
    </row>
    <row r="532" spans="4:6" x14ac:dyDescent="0.3">
      <c r="D532" s="173"/>
      <c r="E532" s="174"/>
      <c r="F532" s="175"/>
    </row>
    <row r="533" spans="4:6" x14ac:dyDescent="0.3">
      <c r="D533" s="173"/>
      <c r="E533" s="174"/>
      <c r="F533" s="175"/>
    </row>
    <row r="534" spans="4:6" x14ac:dyDescent="0.3">
      <c r="D534" s="173"/>
      <c r="E534" s="174"/>
      <c r="F534" s="175"/>
    </row>
    <row r="535" spans="4:6" x14ac:dyDescent="0.3">
      <c r="D535" s="173"/>
      <c r="E535" s="174"/>
      <c r="F535" s="175"/>
    </row>
    <row r="536" spans="4:6" x14ac:dyDescent="0.3">
      <c r="D536" s="173"/>
      <c r="E536" s="174"/>
      <c r="F536" s="175"/>
    </row>
    <row r="537" spans="4:6" x14ac:dyDescent="0.3">
      <c r="D537" s="173"/>
      <c r="E537" s="174"/>
      <c r="F537" s="175"/>
    </row>
    <row r="538" spans="4:6" x14ac:dyDescent="0.3">
      <c r="D538" s="173"/>
      <c r="E538" s="174"/>
      <c r="F538" s="175"/>
    </row>
    <row r="539" spans="4:6" x14ac:dyDescent="0.3">
      <c r="D539" s="173"/>
      <c r="E539" s="174"/>
      <c r="F539" s="175"/>
    </row>
    <row r="540" spans="4:6" x14ac:dyDescent="0.3">
      <c r="D540" s="173"/>
      <c r="E540" s="174"/>
      <c r="F540" s="175"/>
    </row>
    <row r="541" spans="4:6" x14ac:dyDescent="0.3">
      <c r="D541" s="173"/>
      <c r="E541" s="174"/>
      <c r="F541" s="175"/>
    </row>
    <row r="542" spans="4:6" x14ac:dyDescent="0.3">
      <c r="D542" s="173"/>
      <c r="E542" s="174"/>
      <c r="F542" s="175"/>
    </row>
    <row r="543" spans="4:6" x14ac:dyDescent="0.3">
      <c r="D543" s="173"/>
      <c r="E543" s="174"/>
      <c r="F543" s="175"/>
    </row>
    <row r="544" spans="4:6" x14ac:dyDescent="0.3">
      <c r="D544" s="173"/>
      <c r="E544" s="174"/>
      <c r="F544" s="175"/>
    </row>
    <row r="545" spans="4:6" x14ac:dyDescent="0.3">
      <c r="D545" s="173"/>
      <c r="E545" s="174"/>
      <c r="F545" s="175"/>
    </row>
    <row r="546" spans="4:6" x14ac:dyDescent="0.3">
      <c r="D546" s="173"/>
      <c r="E546" s="174"/>
      <c r="F546" s="175"/>
    </row>
    <row r="547" spans="4:6" x14ac:dyDescent="0.3">
      <c r="D547" s="173"/>
      <c r="E547" s="174"/>
      <c r="F547" s="175"/>
    </row>
    <row r="548" spans="4:6" x14ac:dyDescent="0.3">
      <c r="D548" s="173"/>
      <c r="E548" s="174"/>
      <c r="F548" s="175"/>
    </row>
    <row r="549" spans="4:6" x14ac:dyDescent="0.3">
      <c r="D549" s="173"/>
      <c r="E549" s="174"/>
      <c r="F549" s="175"/>
    </row>
    <row r="550" spans="4:6" x14ac:dyDescent="0.3">
      <c r="D550" s="173"/>
      <c r="E550" s="174"/>
      <c r="F550" s="175"/>
    </row>
    <row r="551" spans="4:6" x14ac:dyDescent="0.3">
      <c r="D551" s="173"/>
      <c r="E551" s="174"/>
      <c r="F551" s="175"/>
    </row>
    <row r="552" spans="4:6" x14ac:dyDescent="0.3">
      <c r="D552" s="173"/>
      <c r="E552" s="174"/>
      <c r="F552" s="175"/>
    </row>
    <row r="553" spans="4:6" x14ac:dyDescent="0.3">
      <c r="D553" s="173"/>
      <c r="E553" s="174"/>
      <c r="F553" s="175"/>
    </row>
    <row r="554" spans="4:6" x14ac:dyDescent="0.3">
      <c r="D554" s="173"/>
      <c r="E554" s="174"/>
      <c r="F554" s="175"/>
    </row>
    <row r="555" spans="4:6" x14ac:dyDescent="0.3">
      <c r="D555" s="173"/>
      <c r="E555" s="174"/>
      <c r="F555" s="175"/>
    </row>
    <row r="556" spans="4:6" x14ac:dyDescent="0.3">
      <c r="D556" s="173"/>
      <c r="E556" s="174"/>
      <c r="F556" s="175"/>
    </row>
    <row r="557" spans="4:6" x14ac:dyDescent="0.3">
      <c r="D557" s="173"/>
      <c r="E557" s="174"/>
      <c r="F557" s="175"/>
    </row>
    <row r="558" spans="4:6" x14ac:dyDescent="0.3">
      <c r="D558" s="173"/>
      <c r="E558" s="174"/>
      <c r="F558" s="175"/>
    </row>
    <row r="559" spans="4:6" x14ac:dyDescent="0.3">
      <c r="D559" s="173"/>
      <c r="E559" s="174"/>
      <c r="F559" s="175"/>
    </row>
    <row r="560" spans="4:6" x14ac:dyDescent="0.3">
      <c r="D560" s="173"/>
      <c r="E560" s="174"/>
      <c r="F560" s="175"/>
    </row>
    <row r="561" spans="4:6" x14ac:dyDescent="0.3">
      <c r="D561" s="173"/>
      <c r="E561" s="174"/>
      <c r="F561" s="175"/>
    </row>
    <row r="562" spans="4:6" x14ac:dyDescent="0.3">
      <c r="D562" s="173"/>
      <c r="E562" s="174"/>
      <c r="F562" s="175"/>
    </row>
    <row r="563" spans="4:6" x14ac:dyDescent="0.3">
      <c r="D563" s="173"/>
      <c r="E563" s="174"/>
      <c r="F563" s="175"/>
    </row>
    <row r="564" spans="4:6" x14ac:dyDescent="0.3">
      <c r="D564" s="173"/>
      <c r="E564" s="174"/>
      <c r="F564" s="175"/>
    </row>
    <row r="565" spans="4:6" x14ac:dyDescent="0.3">
      <c r="D565" s="173"/>
      <c r="E565" s="174"/>
      <c r="F565" s="175"/>
    </row>
    <row r="566" spans="4:6" x14ac:dyDescent="0.3">
      <c r="D566" s="173"/>
      <c r="E566" s="174"/>
      <c r="F566" s="175"/>
    </row>
    <row r="567" spans="4:6" x14ac:dyDescent="0.3">
      <c r="D567" s="173"/>
      <c r="E567" s="174"/>
      <c r="F567" s="175"/>
    </row>
    <row r="568" spans="4:6" x14ac:dyDescent="0.3">
      <c r="D568" s="173"/>
      <c r="E568" s="174"/>
      <c r="F568" s="175"/>
    </row>
    <row r="569" spans="4:6" x14ac:dyDescent="0.3">
      <c r="D569" s="173"/>
      <c r="E569" s="174"/>
      <c r="F569" s="175"/>
    </row>
    <row r="570" spans="4:6" x14ac:dyDescent="0.3">
      <c r="D570" s="173"/>
      <c r="E570" s="174"/>
      <c r="F570" s="175"/>
    </row>
    <row r="571" spans="4:6" x14ac:dyDescent="0.3">
      <c r="D571" s="173"/>
      <c r="E571" s="174"/>
      <c r="F571" s="175"/>
    </row>
    <row r="572" spans="4:6" x14ac:dyDescent="0.3">
      <c r="D572" s="173"/>
      <c r="E572" s="174"/>
      <c r="F572" s="175"/>
    </row>
    <row r="573" spans="4:6" x14ac:dyDescent="0.3">
      <c r="D573" s="173"/>
      <c r="E573" s="174"/>
      <c r="F573" s="175"/>
    </row>
    <row r="574" spans="4:6" x14ac:dyDescent="0.3">
      <c r="D574" s="173"/>
      <c r="E574" s="174"/>
      <c r="F574" s="175"/>
    </row>
    <row r="575" spans="4:6" x14ac:dyDescent="0.3">
      <c r="D575" s="173"/>
      <c r="E575" s="174"/>
      <c r="F575" s="175"/>
    </row>
    <row r="576" spans="4:6" x14ac:dyDescent="0.3">
      <c r="D576" s="173"/>
      <c r="E576" s="174"/>
      <c r="F576" s="175"/>
    </row>
    <row r="577" spans="4:6" x14ac:dyDescent="0.3">
      <c r="D577" s="173"/>
      <c r="E577" s="174"/>
      <c r="F577" s="175"/>
    </row>
    <row r="578" spans="4:6" x14ac:dyDescent="0.3">
      <c r="D578" s="173"/>
      <c r="E578" s="174"/>
      <c r="F578" s="175"/>
    </row>
    <row r="579" spans="4:6" x14ac:dyDescent="0.3">
      <c r="D579" s="173"/>
      <c r="E579" s="174"/>
      <c r="F579" s="175"/>
    </row>
    <row r="580" spans="4:6" x14ac:dyDescent="0.3">
      <c r="D580" s="173"/>
      <c r="E580" s="174"/>
      <c r="F580" s="175"/>
    </row>
    <row r="581" spans="4:6" x14ac:dyDescent="0.3">
      <c r="D581" s="173"/>
      <c r="E581" s="174"/>
      <c r="F581" s="175"/>
    </row>
    <row r="582" spans="4:6" x14ac:dyDescent="0.3">
      <c r="D582" s="173"/>
      <c r="E582" s="174"/>
      <c r="F582" s="175"/>
    </row>
    <row r="583" spans="4:6" x14ac:dyDescent="0.3">
      <c r="D583" s="173"/>
      <c r="E583" s="174"/>
      <c r="F583" s="175"/>
    </row>
    <row r="584" spans="4:6" x14ac:dyDescent="0.3">
      <c r="D584" s="173"/>
      <c r="E584" s="174"/>
      <c r="F584" s="175"/>
    </row>
    <row r="585" spans="4:6" x14ac:dyDescent="0.3">
      <c r="D585" s="173"/>
      <c r="E585" s="174"/>
      <c r="F585" s="175"/>
    </row>
    <row r="586" spans="4:6" x14ac:dyDescent="0.3">
      <c r="D586" s="173"/>
      <c r="E586" s="174"/>
      <c r="F586" s="175"/>
    </row>
    <row r="587" spans="4:6" x14ac:dyDescent="0.3">
      <c r="D587" s="173"/>
      <c r="E587" s="174"/>
      <c r="F587" s="175"/>
    </row>
    <row r="588" spans="4:6" x14ac:dyDescent="0.3">
      <c r="D588" s="173"/>
      <c r="E588" s="174"/>
      <c r="F588" s="175"/>
    </row>
    <row r="589" spans="4:6" x14ac:dyDescent="0.3">
      <c r="D589" s="173"/>
      <c r="E589" s="174"/>
      <c r="F589" s="175"/>
    </row>
    <row r="590" spans="4:6" x14ac:dyDescent="0.3">
      <c r="D590" s="173"/>
      <c r="E590" s="174"/>
      <c r="F590" s="175"/>
    </row>
    <row r="591" spans="4:6" x14ac:dyDescent="0.3">
      <c r="D591" s="173"/>
      <c r="E591" s="174"/>
      <c r="F591" s="175"/>
    </row>
    <row r="592" spans="4:6" x14ac:dyDescent="0.3">
      <c r="D592" s="173"/>
      <c r="E592" s="174"/>
      <c r="F592" s="175"/>
    </row>
    <row r="593" spans="4:6" x14ac:dyDescent="0.3">
      <c r="D593" s="173"/>
      <c r="E593" s="174"/>
      <c r="F593" s="175"/>
    </row>
    <row r="594" spans="4:6" x14ac:dyDescent="0.3">
      <c r="D594" s="173"/>
      <c r="E594" s="174"/>
      <c r="F594" s="175"/>
    </row>
    <row r="595" spans="4:6" x14ac:dyDescent="0.3">
      <c r="D595" s="173"/>
      <c r="E595" s="174"/>
      <c r="F595" s="175"/>
    </row>
    <row r="596" spans="4:6" x14ac:dyDescent="0.3">
      <c r="D596" s="173"/>
      <c r="E596" s="174"/>
      <c r="F596" s="175"/>
    </row>
    <row r="597" spans="4:6" x14ac:dyDescent="0.3">
      <c r="D597" s="173"/>
      <c r="E597" s="174"/>
      <c r="F597" s="175"/>
    </row>
    <row r="598" spans="4:6" x14ac:dyDescent="0.3">
      <c r="D598" s="173"/>
      <c r="E598" s="174"/>
      <c r="F598" s="175"/>
    </row>
    <row r="599" spans="4:6" x14ac:dyDescent="0.3">
      <c r="D599" s="173"/>
      <c r="E599" s="174"/>
      <c r="F599" s="175"/>
    </row>
    <row r="600" spans="4:6" x14ac:dyDescent="0.3">
      <c r="D600" s="173"/>
      <c r="E600" s="174"/>
      <c r="F600" s="175"/>
    </row>
    <row r="601" spans="4:6" x14ac:dyDescent="0.3">
      <c r="D601" s="173"/>
      <c r="E601" s="174"/>
      <c r="F601" s="175"/>
    </row>
    <row r="602" spans="4:6" x14ac:dyDescent="0.3">
      <c r="D602" s="173"/>
      <c r="E602" s="174"/>
      <c r="F602" s="175"/>
    </row>
    <row r="603" spans="4:6" x14ac:dyDescent="0.3">
      <c r="D603" s="173"/>
      <c r="E603" s="174"/>
      <c r="F603" s="175"/>
    </row>
    <row r="604" spans="4:6" x14ac:dyDescent="0.3">
      <c r="D604" s="173"/>
      <c r="E604" s="174"/>
      <c r="F604" s="175"/>
    </row>
    <row r="605" spans="4:6" x14ac:dyDescent="0.3">
      <c r="D605" s="173"/>
      <c r="E605" s="174"/>
      <c r="F605" s="175"/>
    </row>
    <row r="606" spans="4:6" x14ac:dyDescent="0.3">
      <c r="D606" s="173"/>
      <c r="E606" s="174"/>
      <c r="F606" s="175"/>
    </row>
    <row r="607" spans="4:6" x14ac:dyDescent="0.3">
      <c r="D607" s="173"/>
      <c r="E607" s="174"/>
      <c r="F607" s="175"/>
    </row>
    <row r="608" spans="4:6" x14ac:dyDescent="0.3">
      <c r="D608" s="173"/>
      <c r="E608" s="174"/>
      <c r="F608" s="175"/>
    </row>
    <row r="609" spans="4:6" x14ac:dyDescent="0.3">
      <c r="D609" s="173"/>
      <c r="E609" s="174"/>
      <c r="F609" s="175"/>
    </row>
    <row r="610" spans="4:6" x14ac:dyDescent="0.3">
      <c r="D610" s="173"/>
      <c r="E610" s="174"/>
      <c r="F610" s="175"/>
    </row>
    <row r="611" spans="4:6" x14ac:dyDescent="0.3">
      <c r="D611" s="173"/>
      <c r="E611" s="174"/>
      <c r="F611" s="175"/>
    </row>
    <row r="612" spans="4:6" x14ac:dyDescent="0.3">
      <c r="D612" s="173"/>
      <c r="E612" s="174"/>
      <c r="F612" s="175"/>
    </row>
    <row r="613" spans="4:6" x14ac:dyDescent="0.3">
      <c r="D613" s="173"/>
      <c r="E613" s="174"/>
      <c r="F613" s="175"/>
    </row>
    <row r="614" spans="4:6" x14ac:dyDescent="0.3">
      <c r="D614" s="173"/>
      <c r="E614" s="174"/>
      <c r="F614" s="175"/>
    </row>
    <row r="615" spans="4:6" x14ac:dyDescent="0.3">
      <c r="D615" s="173"/>
      <c r="E615" s="174"/>
      <c r="F615" s="175"/>
    </row>
    <row r="616" spans="4:6" x14ac:dyDescent="0.3">
      <c r="D616" s="173"/>
      <c r="E616" s="174"/>
      <c r="F616" s="175"/>
    </row>
    <row r="617" spans="4:6" x14ac:dyDescent="0.3">
      <c r="D617" s="173"/>
      <c r="E617" s="174"/>
      <c r="F617" s="175"/>
    </row>
    <row r="618" spans="4:6" x14ac:dyDescent="0.3">
      <c r="D618" s="173"/>
      <c r="E618" s="174"/>
      <c r="F618" s="175"/>
    </row>
    <row r="619" spans="4:6" x14ac:dyDescent="0.3">
      <c r="D619" s="173"/>
      <c r="E619" s="174"/>
      <c r="F619" s="175"/>
    </row>
    <row r="620" spans="4:6" x14ac:dyDescent="0.3">
      <c r="D620" s="173"/>
      <c r="E620" s="174"/>
      <c r="F620" s="175"/>
    </row>
    <row r="621" spans="4:6" x14ac:dyDescent="0.3">
      <c r="D621" s="173"/>
      <c r="E621" s="174"/>
      <c r="F621" s="175"/>
    </row>
    <row r="622" spans="4:6" x14ac:dyDescent="0.3">
      <c r="D622" s="173"/>
      <c r="E622" s="174"/>
      <c r="F622" s="175"/>
    </row>
    <row r="623" spans="4:6" x14ac:dyDescent="0.3">
      <c r="D623" s="173"/>
      <c r="E623" s="174"/>
      <c r="F623" s="175"/>
    </row>
    <row r="624" spans="4:6" x14ac:dyDescent="0.3">
      <c r="D624" s="173"/>
      <c r="E624" s="174"/>
      <c r="F624" s="175"/>
    </row>
    <row r="625" spans="4:6" x14ac:dyDescent="0.3">
      <c r="D625" s="173"/>
      <c r="E625" s="174"/>
      <c r="F625" s="175"/>
    </row>
    <row r="626" spans="4:6" x14ac:dyDescent="0.3">
      <c r="D626" s="173"/>
      <c r="E626" s="174"/>
      <c r="F626" s="175"/>
    </row>
    <row r="627" spans="4:6" x14ac:dyDescent="0.3">
      <c r="D627" s="173"/>
      <c r="E627" s="174"/>
      <c r="F627" s="175"/>
    </row>
    <row r="628" spans="4:6" x14ac:dyDescent="0.3">
      <c r="D628" s="173"/>
      <c r="E628" s="174"/>
      <c r="F628" s="175"/>
    </row>
    <row r="629" spans="4:6" x14ac:dyDescent="0.3">
      <c r="D629" s="173"/>
      <c r="E629" s="174"/>
      <c r="F629" s="175"/>
    </row>
    <row r="630" spans="4:6" x14ac:dyDescent="0.3">
      <c r="D630" s="173"/>
      <c r="E630" s="174"/>
      <c r="F630" s="175"/>
    </row>
    <row r="631" spans="4:6" x14ac:dyDescent="0.3">
      <c r="D631" s="173"/>
      <c r="E631" s="174"/>
      <c r="F631" s="175"/>
    </row>
    <row r="632" spans="4:6" x14ac:dyDescent="0.3">
      <c r="D632" s="173"/>
      <c r="E632" s="174"/>
      <c r="F632" s="175"/>
    </row>
    <row r="633" spans="4:6" x14ac:dyDescent="0.3">
      <c r="D633" s="173"/>
      <c r="E633" s="174"/>
      <c r="F633" s="175"/>
    </row>
    <row r="634" spans="4:6" x14ac:dyDescent="0.3">
      <c r="D634" s="173"/>
      <c r="E634" s="174"/>
      <c r="F634" s="175"/>
    </row>
    <row r="635" spans="4:6" x14ac:dyDescent="0.3">
      <c r="D635" s="173"/>
      <c r="E635" s="174"/>
      <c r="F635" s="175"/>
    </row>
    <row r="636" spans="4:6" x14ac:dyDescent="0.3">
      <c r="D636" s="173"/>
      <c r="E636" s="174"/>
      <c r="F636" s="175"/>
    </row>
    <row r="637" spans="4:6" x14ac:dyDescent="0.3">
      <c r="D637" s="173"/>
      <c r="E637" s="174"/>
      <c r="F637" s="175"/>
    </row>
    <row r="638" spans="4:6" x14ac:dyDescent="0.3">
      <c r="D638" s="173"/>
      <c r="E638" s="174"/>
      <c r="F638" s="175"/>
    </row>
    <row r="639" spans="4:6" x14ac:dyDescent="0.3">
      <c r="D639" s="173"/>
      <c r="E639" s="174"/>
      <c r="F639" s="175"/>
    </row>
    <row r="640" spans="4:6" x14ac:dyDescent="0.3">
      <c r="D640" s="173"/>
      <c r="E640" s="174"/>
      <c r="F640" s="175"/>
    </row>
    <row r="641" spans="4:6" x14ac:dyDescent="0.3">
      <c r="D641" s="173"/>
      <c r="E641" s="174"/>
      <c r="F641" s="175"/>
    </row>
    <row r="642" spans="4:6" x14ac:dyDescent="0.3">
      <c r="D642" s="173"/>
      <c r="E642" s="174"/>
      <c r="F642" s="175"/>
    </row>
    <row r="643" spans="4:6" x14ac:dyDescent="0.3">
      <c r="D643" s="173"/>
      <c r="E643" s="174"/>
      <c r="F643" s="175"/>
    </row>
    <row r="644" spans="4:6" x14ac:dyDescent="0.3">
      <c r="D644" s="173"/>
      <c r="E644" s="174"/>
      <c r="F644" s="175"/>
    </row>
    <row r="645" spans="4:6" x14ac:dyDescent="0.3">
      <c r="D645" s="173"/>
      <c r="E645" s="174"/>
      <c r="F645" s="175"/>
    </row>
    <row r="646" spans="4:6" x14ac:dyDescent="0.3">
      <c r="D646" s="173"/>
      <c r="E646" s="174"/>
      <c r="F646" s="175"/>
    </row>
    <row r="647" spans="4:6" x14ac:dyDescent="0.3">
      <c r="D647" s="173"/>
      <c r="E647" s="174"/>
      <c r="F647" s="175"/>
    </row>
    <row r="648" spans="4:6" x14ac:dyDescent="0.3">
      <c r="D648" s="173"/>
      <c r="E648" s="174"/>
      <c r="F648" s="175"/>
    </row>
    <row r="649" spans="4:6" x14ac:dyDescent="0.3">
      <c r="D649" s="173"/>
      <c r="E649" s="174"/>
      <c r="F649" s="175"/>
    </row>
    <row r="650" spans="4:6" x14ac:dyDescent="0.3">
      <c r="D650" s="173"/>
      <c r="E650" s="174"/>
      <c r="F650" s="175"/>
    </row>
    <row r="651" spans="4:6" x14ac:dyDescent="0.3">
      <c r="D651" s="173"/>
      <c r="E651" s="174"/>
      <c r="F651" s="175"/>
    </row>
    <row r="652" spans="4:6" x14ac:dyDescent="0.3">
      <c r="D652" s="173"/>
      <c r="E652" s="174"/>
      <c r="F652" s="175"/>
    </row>
    <row r="653" spans="4:6" x14ac:dyDescent="0.3">
      <c r="D653" s="173"/>
      <c r="E653" s="174"/>
      <c r="F653" s="175"/>
    </row>
    <row r="654" spans="4:6" x14ac:dyDescent="0.3">
      <c r="D654" s="173"/>
      <c r="E654" s="174"/>
      <c r="F654" s="175"/>
    </row>
    <row r="655" spans="4:6" x14ac:dyDescent="0.3">
      <c r="D655" s="173"/>
      <c r="E655" s="174"/>
      <c r="F655" s="175"/>
    </row>
    <row r="656" spans="4:6" x14ac:dyDescent="0.3">
      <c r="D656" s="173"/>
      <c r="E656" s="174"/>
      <c r="F656" s="175"/>
    </row>
    <row r="657" spans="4:6" x14ac:dyDescent="0.3">
      <c r="D657" s="173"/>
      <c r="E657" s="174"/>
      <c r="F657" s="175"/>
    </row>
    <row r="658" spans="4:6" x14ac:dyDescent="0.3">
      <c r="D658" s="173"/>
      <c r="E658" s="174"/>
      <c r="F658" s="175"/>
    </row>
    <row r="659" spans="4:6" x14ac:dyDescent="0.3">
      <c r="D659" s="173"/>
      <c r="E659" s="174"/>
      <c r="F659" s="175"/>
    </row>
    <row r="660" spans="4:6" x14ac:dyDescent="0.3">
      <c r="D660" s="173"/>
      <c r="E660" s="174"/>
      <c r="F660" s="175"/>
    </row>
    <row r="661" spans="4:6" x14ac:dyDescent="0.3">
      <c r="D661" s="173"/>
      <c r="E661" s="174"/>
      <c r="F661" s="175"/>
    </row>
    <row r="662" spans="4:6" x14ac:dyDescent="0.3">
      <c r="D662" s="173"/>
      <c r="E662" s="174"/>
      <c r="F662" s="175"/>
    </row>
    <row r="663" spans="4:6" x14ac:dyDescent="0.3">
      <c r="D663" s="173"/>
      <c r="E663" s="174"/>
      <c r="F663" s="175"/>
    </row>
    <row r="664" spans="4:6" x14ac:dyDescent="0.3">
      <c r="D664" s="173"/>
      <c r="E664" s="174"/>
      <c r="F664" s="175"/>
    </row>
    <row r="665" spans="4:6" x14ac:dyDescent="0.3">
      <c r="D665" s="173"/>
      <c r="E665" s="174"/>
      <c r="F665" s="175"/>
    </row>
    <row r="666" spans="4:6" x14ac:dyDescent="0.3">
      <c r="D666" s="173"/>
      <c r="E666" s="174"/>
      <c r="F666" s="175"/>
    </row>
    <row r="667" spans="4:6" x14ac:dyDescent="0.3">
      <c r="D667" s="173"/>
      <c r="E667" s="174"/>
      <c r="F667" s="175"/>
    </row>
    <row r="668" spans="4:6" x14ac:dyDescent="0.3">
      <c r="D668" s="173"/>
      <c r="E668" s="174"/>
      <c r="F668" s="175"/>
    </row>
    <row r="669" spans="4:6" x14ac:dyDescent="0.3">
      <c r="D669" s="173"/>
      <c r="E669" s="174"/>
      <c r="F669" s="175"/>
    </row>
    <row r="670" spans="4:6" x14ac:dyDescent="0.3">
      <c r="D670" s="173"/>
      <c r="E670" s="174"/>
      <c r="F670" s="175"/>
    </row>
    <row r="671" spans="4:6" x14ac:dyDescent="0.3">
      <c r="D671" s="173"/>
      <c r="E671" s="174"/>
      <c r="F671" s="175"/>
    </row>
    <row r="672" spans="4:6" x14ac:dyDescent="0.3">
      <c r="D672" s="173"/>
      <c r="E672" s="174"/>
      <c r="F672" s="175"/>
    </row>
    <row r="673" spans="4:6" x14ac:dyDescent="0.3">
      <c r="D673" s="173"/>
      <c r="E673" s="174"/>
      <c r="F673" s="175"/>
    </row>
    <row r="674" spans="4:6" x14ac:dyDescent="0.3">
      <c r="D674" s="173"/>
      <c r="E674" s="174"/>
      <c r="F674" s="175"/>
    </row>
    <row r="675" spans="4:6" x14ac:dyDescent="0.3">
      <c r="D675" s="173"/>
      <c r="E675" s="174"/>
      <c r="F675" s="175"/>
    </row>
    <row r="676" spans="4:6" x14ac:dyDescent="0.3">
      <c r="D676" s="173"/>
      <c r="E676" s="174"/>
      <c r="F676" s="175"/>
    </row>
    <row r="677" spans="4:6" x14ac:dyDescent="0.3">
      <c r="D677" s="173"/>
      <c r="E677" s="174"/>
      <c r="F677" s="175"/>
    </row>
    <row r="678" spans="4:6" x14ac:dyDescent="0.3">
      <c r="D678" s="173"/>
      <c r="E678" s="174"/>
      <c r="F678" s="175"/>
    </row>
    <row r="679" spans="4:6" x14ac:dyDescent="0.3">
      <c r="D679" s="173"/>
      <c r="E679" s="174"/>
      <c r="F679" s="175"/>
    </row>
    <row r="680" spans="4:6" x14ac:dyDescent="0.3">
      <c r="D680" s="173"/>
      <c r="E680" s="174"/>
      <c r="F680" s="175"/>
    </row>
    <row r="681" spans="4:6" x14ac:dyDescent="0.3">
      <c r="D681" s="178"/>
      <c r="E681" s="179"/>
      <c r="F681" s="180"/>
    </row>
    <row r="682" spans="4:6" x14ac:dyDescent="0.3">
      <c r="D682" s="181"/>
      <c r="E682" s="182"/>
      <c r="F682" s="183"/>
    </row>
    <row r="683" spans="4:6" x14ac:dyDescent="0.3">
      <c r="D683" s="181"/>
      <c r="E683" s="182"/>
      <c r="F683" s="183"/>
    </row>
    <row r="684" spans="4:6" x14ac:dyDescent="0.3">
      <c r="D684" s="181"/>
      <c r="E684" s="182"/>
      <c r="F684" s="183"/>
    </row>
    <row r="685" spans="4:6" x14ac:dyDescent="0.3">
      <c r="D685" s="181"/>
      <c r="E685" s="182"/>
      <c r="F685" s="183"/>
    </row>
    <row r="686" spans="4:6" x14ac:dyDescent="0.3">
      <c r="D686" s="181"/>
      <c r="E686" s="182"/>
      <c r="F686" s="183"/>
    </row>
    <row r="687" spans="4:6" x14ac:dyDescent="0.3">
      <c r="D687" s="181"/>
      <c r="E687" s="182"/>
      <c r="F687" s="183"/>
    </row>
    <row r="688" spans="4:6" x14ac:dyDescent="0.3">
      <c r="D688" s="181"/>
      <c r="E688" s="182"/>
      <c r="F688" s="183"/>
    </row>
    <row r="689" spans="4:6" x14ac:dyDescent="0.3">
      <c r="D689" s="181"/>
      <c r="E689" s="182"/>
      <c r="F689" s="183"/>
    </row>
    <row r="690" spans="4:6" x14ac:dyDescent="0.3">
      <c r="D690" s="181"/>
      <c r="E690" s="182"/>
      <c r="F690" s="183"/>
    </row>
    <row r="691" spans="4:6" x14ac:dyDescent="0.3">
      <c r="D691" s="181"/>
      <c r="E691" s="182"/>
      <c r="F691" s="183"/>
    </row>
    <row r="692" spans="4:6" x14ac:dyDescent="0.3">
      <c r="D692" s="181"/>
      <c r="E692" s="182"/>
      <c r="F692" s="183"/>
    </row>
    <row r="693" spans="4:6" x14ac:dyDescent="0.3">
      <c r="D693" s="181"/>
      <c r="E693" s="182"/>
      <c r="F693" s="183"/>
    </row>
    <row r="694" spans="4:6" x14ac:dyDescent="0.3">
      <c r="D694" s="181"/>
      <c r="E694" s="182"/>
      <c r="F694" s="183"/>
    </row>
    <row r="695" spans="4:6" x14ac:dyDescent="0.3">
      <c r="D695" s="181"/>
      <c r="E695" s="182"/>
      <c r="F695" s="183"/>
    </row>
    <row r="696" spans="4:6" x14ac:dyDescent="0.3">
      <c r="D696" s="181"/>
      <c r="E696" s="182"/>
      <c r="F696" s="183"/>
    </row>
    <row r="697" spans="4:6" x14ac:dyDescent="0.3">
      <c r="D697" s="181"/>
      <c r="E697" s="182"/>
      <c r="F697" s="183"/>
    </row>
    <row r="698" spans="4:6" x14ac:dyDescent="0.3">
      <c r="D698" s="181"/>
      <c r="E698" s="182"/>
      <c r="F698" s="183"/>
    </row>
    <row r="699" spans="4:6" x14ac:dyDescent="0.3">
      <c r="D699" s="181"/>
      <c r="E699" s="182"/>
      <c r="F699" s="183"/>
    </row>
    <row r="700" spans="4:6" x14ac:dyDescent="0.3">
      <c r="D700" s="181"/>
      <c r="E700" s="182"/>
      <c r="F700" s="183"/>
    </row>
    <row r="701" spans="4:6" x14ac:dyDescent="0.3">
      <c r="D701" s="181"/>
      <c r="E701" s="182"/>
      <c r="F701" s="183"/>
    </row>
    <row r="702" spans="4:6" x14ac:dyDescent="0.3">
      <c r="D702" s="181"/>
      <c r="E702" s="182"/>
      <c r="F702" s="183"/>
    </row>
    <row r="703" spans="4:6" x14ac:dyDescent="0.3">
      <c r="D703" s="181"/>
      <c r="E703" s="182"/>
      <c r="F703" s="183"/>
    </row>
    <row r="704" spans="4:6" x14ac:dyDescent="0.3">
      <c r="D704" s="181"/>
      <c r="E704" s="182"/>
      <c r="F704" s="183"/>
    </row>
    <row r="705" spans="4:6" x14ac:dyDescent="0.3">
      <c r="D705" s="181"/>
      <c r="E705" s="182"/>
      <c r="F705" s="183"/>
    </row>
    <row r="706" spans="4:6" x14ac:dyDescent="0.3">
      <c r="D706" s="181"/>
      <c r="E706" s="182"/>
      <c r="F706" s="183"/>
    </row>
    <row r="707" spans="4:6" x14ac:dyDescent="0.3">
      <c r="D707" s="181"/>
      <c r="E707" s="182"/>
      <c r="F707" s="183"/>
    </row>
    <row r="708" spans="4:6" x14ac:dyDescent="0.3">
      <c r="D708" s="181"/>
      <c r="E708" s="182"/>
      <c r="F708" s="183"/>
    </row>
    <row r="709" spans="4:6" x14ac:dyDescent="0.3">
      <c r="D709" s="181"/>
      <c r="E709" s="182"/>
      <c r="F709" s="183"/>
    </row>
    <row r="710" spans="4:6" x14ac:dyDescent="0.3">
      <c r="D710" s="181"/>
      <c r="E710" s="182"/>
      <c r="F710" s="183"/>
    </row>
    <row r="711" spans="4:6" x14ac:dyDescent="0.3">
      <c r="D711" s="181"/>
      <c r="E711" s="182"/>
      <c r="F711" s="183"/>
    </row>
    <row r="712" spans="4:6" x14ac:dyDescent="0.3">
      <c r="D712" s="181"/>
      <c r="E712" s="182"/>
      <c r="F712" s="183"/>
    </row>
    <row r="713" spans="4:6" x14ac:dyDescent="0.3">
      <c r="D713" s="181"/>
      <c r="E713" s="182"/>
      <c r="F713" s="183"/>
    </row>
    <row r="714" spans="4:6" x14ac:dyDescent="0.3">
      <c r="D714" s="181"/>
      <c r="E714" s="182"/>
      <c r="F714" s="183"/>
    </row>
    <row r="715" spans="4:6" x14ac:dyDescent="0.3">
      <c r="D715" s="181"/>
      <c r="E715" s="182"/>
      <c r="F715" s="183"/>
    </row>
    <row r="716" spans="4:6" x14ac:dyDescent="0.3">
      <c r="D716" s="181"/>
      <c r="E716" s="182"/>
      <c r="F716" s="183"/>
    </row>
    <row r="717" spans="4:6" x14ac:dyDescent="0.3">
      <c r="D717" s="181"/>
      <c r="E717" s="182"/>
      <c r="F717" s="183"/>
    </row>
    <row r="718" spans="4:6" x14ac:dyDescent="0.3">
      <c r="D718" s="181"/>
      <c r="E718" s="182"/>
      <c r="F718" s="183"/>
    </row>
    <row r="719" spans="4:6" x14ac:dyDescent="0.3">
      <c r="D719" s="181"/>
      <c r="E719" s="182"/>
      <c r="F719" s="183"/>
    </row>
    <row r="720" spans="4:6" x14ac:dyDescent="0.3">
      <c r="D720" s="181"/>
      <c r="E720" s="182"/>
      <c r="F720" s="183"/>
    </row>
    <row r="721" spans="4:6" x14ac:dyDescent="0.3">
      <c r="D721" s="181"/>
      <c r="E721" s="182"/>
      <c r="F721" s="183"/>
    </row>
    <row r="722" spans="4:6" x14ac:dyDescent="0.3">
      <c r="D722" s="181"/>
      <c r="E722" s="182"/>
      <c r="F722" s="183"/>
    </row>
    <row r="723" spans="4:6" x14ac:dyDescent="0.3">
      <c r="D723" s="181"/>
      <c r="E723" s="182"/>
      <c r="F723" s="183"/>
    </row>
    <row r="724" spans="4:6" x14ac:dyDescent="0.3">
      <c r="D724" s="181"/>
      <c r="E724" s="182"/>
      <c r="F724" s="183"/>
    </row>
    <row r="725" spans="4:6" x14ac:dyDescent="0.3">
      <c r="D725" s="181"/>
      <c r="E725" s="182"/>
      <c r="F725" s="183"/>
    </row>
    <row r="726" spans="4:6" x14ac:dyDescent="0.3">
      <c r="D726" s="181"/>
      <c r="E726" s="182"/>
      <c r="F726" s="183"/>
    </row>
    <row r="727" spans="4:6" x14ac:dyDescent="0.3">
      <c r="D727" s="181"/>
      <c r="E727" s="182"/>
      <c r="F727" s="183"/>
    </row>
    <row r="728" spans="4:6" x14ac:dyDescent="0.3">
      <c r="D728" s="181"/>
      <c r="E728" s="182"/>
      <c r="F728" s="183"/>
    </row>
    <row r="729" spans="4:6" x14ac:dyDescent="0.3">
      <c r="D729" s="181"/>
      <c r="E729" s="182"/>
      <c r="F729" s="183"/>
    </row>
    <row r="730" spans="4:6" x14ac:dyDescent="0.3">
      <c r="D730" s="181"/>
      <c r="E730" s="182"/>
      <c r="F730" s="183"/>
    </row>
    <row r="731" spans="4:6" x14ac:dyDescent="0.3">
      <c r="D731" s="181"/>
      <c r="E731" s="182"/>
      <c r="F731" s="183"/>
    </row>
    <row r="732" spans="4:6" x14ac:dyDescent="0.3">
      <c r="D732" s="181"/>
      <c r="E732" s="182"/>
      <c r="F732" s="183"/>
    </row>
    <row r="733" spans="4:6" x14ac:dyDescent="0.3">
      <c r="D733" s="181"/>
      <c r="E733" s="182"/>
      <c r="F733" s="183"/>
    </row>
    <row r="734" spans="4:6" x14ac:dyDescent="0.3">
      <c r="D734" s="181"/>
      <c r="E734" s="182"/>
      <c r="F734" s="183"/>
    </row>
    <row r="735" spans="4:6" x14ac:dyDescent="0.3">
      <c r="D735" s="181"/>
      <c r="E735" s="182"/>
      <c r="F735" s="183"/>
    </row>
    <row r="736" spans="4:6" x14ac:dyDescent="0.3">
      <c r="D736" s="181"/>
      <c r="E736" s="182"/>
      <c r="F736" s="183"/>
    </row>
    <row r="737" spans="4:6" x14ac:dyDescent="0.3">
      <c r="D737" s="181"/>
      <c r="E737" s="182"/>
      <c r="F737" s="183"/>
    </row>
    <row r="738" spans="4:6" x14ac:dyDescent="0.3">
      <c r="D738" s="181"/>
      <c r="E738" s="182"/>
      <c r="F738" s="183"/>
    </row>
    <row r="739" spans="4:6" x14ac:dyDescent="0.3">
      <c r="D739" s="181"/>
      <c r="E739" s="182"/>
      <c r="F739" s="183"/>
    </row>
    <row r="740" spans="4:6" x14ac:dyDescent="0.3">
      <c r="D740" s="181"/>
      <c r="E740" s="182"/>
      <c r="F740" s="183"/>
    </row>
    <row r="741" spans="4:6" x14ac:dyDescent="0.3">
      <c r="D741" s="181"/>
      <c r="E741" s="182"/>
      <c r="F741" s="183"/>
    </row>
    <row r="742" spans="4:6" x14ac:dyDescent="0.3">
      <c r="D742" s="181"/>
      <c r="E742" s="182"/>
      <c r="F742" s="183"/>
    </row>
    <row r="743" spans="4:6" x14ac:dyDescent="0.3">
      <c r="D743" s="181"/>
      <c r="E743" s="182"/>
      <c r="F743" s="183"/>
    </row>
    <row r="744" spans="4:6" x14ac:dyDescent="0.3">
      <c r="D744" s="181"/>
      <c r="E744" s="182"/>
      <c r="F744" s="183"/>
    </row>
    <row r="745" spans="4:6" x14ac:dyDescent="0.3">
      <c r="D745" s="181"/>
      <c r="E745" s="182"/>
      <c r="F745" s="183"/>
    </row>
    <row r="746" spans="4:6" x14ac:dyDescent="0.3">
      <c r="D746" s="181"/>
      <c r="E746" s="182"/>
      <c r="F746" s="183"/>
    </row>
    <row r="747" spans="4:6" x14ac:dyDescent="0.3">
      <c r="D747" s="181"/>
      <c r="E747" s="182"/>
      <c r="F747" s="183"/>
    </row>
    <row r="748" spans="4:6" x14ac:dyDescent="0.3">
      <c r="D748" s="181"/>
      <c r="E748" s="182"/>
      <c r="F748" s="183"/>
    </row>
    <row r="749" spans="4:6" x14ac:dyDescent="0.3">
      <c r="D749" s="181"/>
      <c r="E749" s="182"/>
      <c r="F749" s="183"/>
    </row>
    <row r="750" spans="4:6" x14ac:dyDescent="0.3">
      <c r="D750" s="181"/>
      <c r="E750" s="182"/>
      <c r="F750" s="183"/>
    </row>
    <row r="751" spans="4:6" x14ac:dyDescent="0.3">
      <c r="D751" s="181"/>
      <c r="E751" s="182"/>
      <c r="F751" s="183"/>
    </row>
    <row r="752" spans="4:6" x14ac:dyDescent="0.3">
      <c r="D752" s="181"/>
      <c r="E752" s="182"/>
      <c r="F752" s="183"/>
    </row>
    <row r="753" spans="4:6" x14ac:dyDescent="0.3">
      <c r="D753" s="181"/>
      <c r="E753" s="182"/>
      <c r="F753" s="183"/>
    </row>
    <row r="754" spans="4:6" x14ac:dyDescent="0.3">
      <c r="D754" s="181"/>
      <c r="E754" s="182"/>
      <c r="F754" s="183"/>
    </row>
    <row r="755" spans="4:6" x14ac:dyDescent="0.3">
      <c r="D755" s="181"/>
      <c r="E755" s="182"/>
      <c r="F755" s="183"/>
    </row>
    <row r="756" spans="4:6" x14ac:dyDescent="0.3">
      <c r="D756" s="181"/>
      <c r="E756" s="182"/>
      <c r="F756" s="183"/>
    </row>
    <row r="757" spans="4:6" x14ac:dyDescent="0.3">
      <c r="D757" s="181"/>
      <c r="E757" s="182"/>
      <c r="F757" s="183"/>
    </row>
    <row r="758" spans="4:6" x14ac:dyDescent="0.3">
      <c r="D758" s="181"/>
      <c r="E758" s="182"/>
      <c r="F758" s="183"/>
    </row>
    <row r="759" spans="4:6" x14ac:dyDescent="0.3">
      <c r="D759" s="181"/>
      <c r="E759" s="182"/>
      <c r="F759" s="183"/>
    </row>
    <row r="760" spans="4:6" x14ac:dyDescent="0.3">
      <c r="D760" s="181"/>
      <c r="E760" s="182"/>
      <c r="F760" s="183"/>
    </row>
    <row r="761" spans="4:6" x14ac:dyDescent="0.3">
      <c r="D761" s="181"/>
      <c r="E761" s="182"/>
      <c r="F761" s="183"/>
    </row>
    <row r="762" spans="4:6" x14ac:dyDescent="0.3">
      <c r="D762" s="181"/>
      <c r="E762" s="182"/>
      <c r="F762" s="183"/>
    </row>
    <row r="763" spans="4:6" x14ac:dyDescent="0.3">
      <c r="D763" s="181"/>
      <c r="E763" s="182"/>
      <c r="F763" s="183"/>
    </row>
    <row r="764" spans="4:6" x14ac:dyDescent="0.3">
      <c r="D764" s="181"/>
      <c r="E764" s="182"/>
      <c r="F764" s="183"/>
    </row>
    <row r="765" spans="4:6" x14ac:dyDescent="0.3">
      <c r="D765" s="181"/>
      <c r="E765" s="182"/>
      <c r="F765" s="183"/>
    </row>
    <row r="766" spans="4:6" x14ac:dyDescent="0.3">
      <c r="D766" s="181"/>
      <c r="E766" s="182"/>
      <c r="F766" s="183"/>
    </row>
    <row r="767" spans="4:6" x14ac:dyDescent="0.3">
      <c r="D767" s="181"/>
      <c r="E767" s="182"/>
      <c r="F767" s="183"/>
    </row>
    <row r="768" spans="4:6" x14ac:dyDescent="0.3">
      <c r="D768" s="181"/>
      <c r="E768" s="182"/>
      <c r="F768" s="183"/>
    </row>
    <row r="769" spans="4:6" x14ac:dyDescent="0.3">
      <c r="D769" s="181"/>
      <c r="E769" s="182"/>
      <c r="F769" s="183"/>
    </row>
    <row r="770" spans="4:6" x14ac:dyDescent="0.3">
      <c r="D770" s="181"/>
      <c r="E770" s="182"/>
      <c r="F770" s="183"/>
    </row>
    <row r="771" spans="4:6" x14ac:dyDescent="0.3">
      <c r="D771" s="181"/>
      <c r="E771" s="182"/>
      <c r="F771" s="183"/>
    </row>
    <row r="772" spans="4:6" x14ac:dyDescent="0.3">
      <c r="D772" s="181"/>
      <c r="E772" s="182"/>
      <c r="F772" s="183"/>
    </row>
    <row r="773" spans="4:6" x14ac:dyDescent="0.3">
      <c r="D773" s="181"/>
      <c r="E773" s="182"/>
      <c r="F773" s="183"/>
    </row>
    <row r="774" spans="4:6" x14ac:dyDescent="0.3">
      <c r="D774" s="181"/>
      <c r="E774" s="182"/>
      <c r="F774" s="183"/>
    </row>
    <row r="775" spans="4:6" x14ac:dyDescent="0.3">
      <c r="D775" s="181"/>
      <c r="E775" s="182"/>
      <c r="F775" s="183"/>
    </row>
    <row r="776" spans="4:6" x14ac:dyDescent="0.3">
      <c r="D776" s="181"/>
      <c r="E776" s="182"/>
      <c r="F776" s="183"/>
    </row>
    <row r="777" spans="4:6" x14ac:dyDescent="0.3">
      <c r="D777" s="181"/>
      <c r="E777" s="182"/>
      <c r="F777" s="183"/>
    </row>
    <row r="778" spans="4:6" x14ac:dyDescent="0.3">
      <c r="D778" s="181"/>
      <c r="E778" s="182"/>
      <c r="F778" s="183"/>
    </row>
    <row r="779" spans="4:6" x14ac:dyDescent="0.3">
      <c r="D779" s="181"/>
      <c r="E779" s="182"/>
      <c r="F779" s="183"/>
    </row>
    <row r="780" spans="4:6" x14ac:dyDescent="0.3">
      <c r="D780" s="181"/>
      <c r="E780" s="182"/>
      <c r="F780" s="183"/>
    </row>
    <row r="781" spans="4:6" x14ac:dyDescent="0.3">
      <c r="D781" s="181"/>
      <c r="E781" s="182"/>
      <c r="F781" s="183"/>
    </row>
    <row r="782" spans="4:6" x14ac:dyDescent="0.3">
      <c r="D782" s="181"/>
      <c r="E782" s="182"/>
      <c r="F782" s="183"/>
    </row>
    <row r="783" spans="4:6" x14ac:dyDescent="0.3">
      <c r="D783" s="181"/>
      <c r="E783" s="182"/>
      <c r="F783" s="183"/>
    </row>
    <row r="784" spans="4:6" x14ac:dyDescent="0.3">
      <c r="D784" s="181"/>
      <c r="E784" s="182"/>
      <c r="F784" s="183"/>
    </row>
    <row r="785" spans="4:6" x14ac:dyDescent="0.3">
      <c r="D785" s="181"/>
      <c r="E785" s="182"/>
      <c r="F785" s="183"/>
    </row>
    <row r="786" spans="4:6" x14ac:dyDescent="0.3">
      <c r="D786" s="181"/>
      <c r="E786" s="182"/>
      <c r="F786" s="183"/>
    </row>
    <row r="787" spans="4:6" x14ac:dyDescent="0.3">
      <c r="D787" s="181"/>
      <c r="E787" s="182"/>
      <c r="F787" s="183"/>
    </row>
    <row r="788" spans="4:6" x14ac:dyDescent="0.3">
      <c r="D788" s="181"/>
      <c r="E788" s="182"/>
      <c r="F788" s="183"/>
    </row>
    <row r="789" spans="4:6" x14ac:dyDescent="0.3">
      <c r="D789" s="181"/>
      <c r="E789" s="182"/>
      <c r="F789" s="183"/>
    </row>
    <row r="790" spans="4:6" x14ac:dyDescent="0.3">
      <c r="D790" s="181"/>
      <c r="E790" s="182"/>
      <c r="F790" s="183"/>
    </row>
    <row r="791" spans="4:6" x14ac:dyDescent="0.3">
      <c r="D791" s="181"/>
      <c r="E791" s="182"/>
      <c r="F791" s="183"/>
    </row>
    <row r="792" spans="4:6" x14ac:dyDescent="0.3">
      <c r="D792" s="181"/>
      <c r="E792" s="182"/>
      <c r="F792" s="183"/>
    </row>
    <row r="793" spans="4:6" x14ac:dyDescent="0.3">
      <c r="D793" s="181"/>
      <c r="E793" s="182"/>
      <c r="F793" s="183"/>
    </row>
    <row r="794" spans="4:6" x14ac:dyDescent="0.3">
      <c r="D794" s="181"/>
      <c r="E794" s="182"/>
      <c r="F794" s="183"/>
    </row>
    <row r="795" spans="4:6" x14ac:dyDescent="0.3">
      <c r="D795" s="181"/>
      <c r="E795" s="182"/>
      <c r="F795" s="183"/>
    </row>
    <row r="796" spans="4:6" x14ac:dyDescent="0.3">
      <c r="D796" s="181"/>
      <c r="E796" s="182"/>
      <c r="F796" s="183"/>
    </row>
    <row r="797" spans="4:6" x14ac:dyDescent="0.3">
      <c r="D797" s="181"/>
      <c r="E797" s="182"/>
      <c r="F797" s="183"/>
    </row>
    <row r="798" spans="4:6" x14ac:dyDescent="0.3">
      <c r="D798" s="181"/>
      <c r="E798" s="182"/>
      <c r="F798" s="183"/>
    </row>
    <row r="799" spans="4:6" x14ac:dyDescent="0.3">
      <c r="D799" s="181"/>
      <c r="E799" s="182"/>
      <c r="F799" s="183"/>
    </row>
    <row r="800" spans="4:6" x14ac:dyDescent="0.3">
      <c r="D800" s="181"/>
      <c r="E800" s="182"/>
      <c r="F800" s="183"/>
    </row>
    <row r="801" spans="4:6" x14ac:dyDescent="0.3">
      <c r="D801" s="181"/>
      <c r="E801" s="182"/>
      <c r="F801" s="183"/>
    </row>
    <row r="802" spans="4:6" x14ac:dyDescent="0.3">
      <c r="D802" s="181"/>
      <c r="E802" s="182"/>
      <c r="F802" s="183"/>
    </row>
    <row r="803" spans="4:6" x14ac:dyDescent="0.3">
      <c r="D803" s="181"/>
      <c r="E803" s="182"/>
      <c r="F803" s="183"/>
    </row>
    <row r="804" spans="4:6" x14ac:dyDescent="0.3">
      <c r="D804" s="181"/>
      <c r="E804" s="182"/>
      <c r="F804" s="183"/>
    </row>
    <row r="805" spans="4:6" x14ac:dyDescent="0.3">
      <c r="D805" s="181"/>
      <c r="E805" s="182"/>
      <c r="F805" s="183"/>
    </row>
    <row r="806" spans="4:6" x14ac:dyDescent="0.3">
      <c r="D806" s="181"/>
      <c r="E806" s="182"/>
      <c r="F806" s="183"/>
    </row>
    <row r="807" spans="4:6" x14ac:dyDescent="0.3">
      <c r="D807" s="181"/>
      <c r="E807" s="182"/>
      <c r="F807" s="183"/>
    </row>
    <row r="808" spans="4:6" x14ac:dyDescent="0.3">
      <c r="D808" s="181"/>
      <c r="E808" s="182"/>
      <c r="F808" s="183"/>
    </row>
    <row r="809" spans="4:6" x14ac:dyDescent="0.3">
      <c r="D809" s="181"/>
      <c r="E809" s="182"/>
      <c r="F809" s="183"/>
    </row>
    <row r="810" spans="4:6" x14ac:dyDescent="0.3">
      <c r="D810" s="181"/>
      <c r="E810" s="182"/>
      <c r="F810" s="183"/>
    </row>
    <row r="811" spans="4:6" x14ac:dyDescent="0.3">
      <c r="D811" s="181"/>
      <c r="E811" s="182"/>
      <c r="F811" s="183"/>
    </row>
    <row r="812" spans="4:6" x14ac:dyDescent="0.3">
      <c r="D812" s="181"/>
      <c r="E812" s="182"/>
      <c r="F812" s="183"/>
    </row>
    <row r="813" spans="4:6" x14ac:dyDescent="0.3">
      <c r="D813" s="181"/>
      <c r="E813" s="182"/>
      <c r="F813" s="183"/>
    </row>
    <row r="814" spans="4:6" x14ac:dyDescent="0.3">
      <c r="D814" s="181"/>
      <c r="E814" s="182"/>
      <c r="F814" s="183"/>
    </row>
    <row r="815" spans="4:6" x14ac:dyDescent="0.3">
      <c r="D815" s="181"/>
      <c r="E815" s="182"/>
      <c r="F815" s="183"/>
    </row>
    <row r="816" spans="4:6" x14ac:dyDescent="0.3">
      <c r="D816" s="181"/>
      <c r="E816" s="182"/>
      <c r="F816" s="183"/>
    </row>
    <row r="817" spans="4:6" x14ac:dyDescent="0.3">
      <c r="D817" s="181"/>
      <c r="E817" s="182"/>
      <c r="F817" s="183"/>
    </row>
    <row r="818" spans="4:6" x14ac:dyDescent="0.3">
      <c r="D818" s="181"/>
      <c r="E818" s="182"/>
      <c r="F818" s="183"/>
    </row>
    <row r="819" spans="4:6" x14ac:dyDescent="0.3">
      <c r="D819" s="181"/>
      <c r="E819" s="182"/>
      <c r="F819" s="183"/>
    </row>
    <row r="820" spans="4:6" x14ac:dyDescent="0.3">
      <c r="D820" s="181"/>
      <c r="E820" s="182"/>
      <c r="F820" s="183"/>
    </row>
    <row r="821" spans="4:6" x14ac:dyDescent="0.3">
      <c r="D821" s="181"/>
      <c r="E821" s="182"/>
      <c r="F821" s="183"/>
    </row>
    <row r="822" spans="4:6" x14ac:dyDescent="0.3">
      <c r="D822" s="181"/>
      <c r="E822" s="182"/>
      <c r="F822" s="183"/>
    </row>
    <row r="823" spans="4:6" x14ac:dyDescent="0.3">
      <c r="D823" s="181"/>
      <c r="E823" s="182"/>
      <c r="F823" s="183"/>
    </row>
    <row r="824" spans="4:6" x14ac:dyDescent="0.3">
      <c r="D824" s="181"/>
      <c r="E824" s="182"/>
      <c r="F824" s="183"/>
    </row>
    <row r="825" spans="4:6" x14ac:dyDescent="0.3">
      <c r="D825" s="181"/>
      <c r="E825" s="182"/>
      <c r="F825" s="183"/>
    </row>
    <row r="826" spans="4:6" x14ac:dyDescent="0.3">
      <c r="D826" s="181"/>
      <c r="E826" s="182"/>
      <c r="F826" s="183"/>
    </row>
    <row r="827" spans="4:6" x14ac:dyDescent="0.3">
      <c r="D827" s="181"/>
      <c r="E827" s="182"/>
      <c r="F827" s="183"/>
    </row>
    <row r="828" spans="4:6" x14ac:dyDescent="0.3">
      <c r="D828" s="181"/>
      <c r="E828" s="182"/>
      <c r="F828" s="183"/>
    </row>
    <row r="829" spans="4:6" x14ac:dyDescent="0.3">
      <c r="D829" s="181"/>
      <c r="E829" s="182"/>
      <c r="F829" s="183"/>
    </row>
    <row r="830" spans="4:6" x14ac:dyDescent="0.3">
      <c r="D830" s="181"/>
      <c r="E830" s="182"/>
      <c r="F830" s="183"/>
    </row>
    <row r="831" spans="4:6" x14ac:dyDescent="0.3">
      <c r="D831" s="181"/>
      <c r="E831" s="182"/>
      <c r="F831" s="183"/>
    </row>
    <row r="832" spans="4:6" x14ac:dyDescent="0.3">
      <c r="D832" s="181"/>
      <c r="E832" s="182"/>
      <c r="F832" s="183"/>
    </row>
    <row r="833" spans="4:6" x14ac:dyDescent="0.3">
      <c r="D833" s="181"/>
      <c r="E833" s="182"/>
      <c r="F833" s="183"/>
    </row>
    <row r="834" spans="4:6" x14ac:dyDescent="0.3">
      <c r="D834" s="181"/>
      <c r="E834" s="182"/>
      <c r="F834" s="183"/>
    </row>
    <row r="835" spans="4:6" x14ac:dyDescent="0.3">
      <c r="D835" s="181"/>
      <c r="E835" s="182"/>
      <c r="F835" s="183"/>
    </row>
    <row r="836" spans="4:6" x14ac:dyDescent="0.3">
      <c r="D836" s="181"/>
      <c r="E836" s="182"/>
      <c r="F836" s="183"/>
    </row>
    <row r="837" spans="4:6" x14ac:dyDescent="0.3">
      <c r="D837" s="181"/>
      <c r="E837" s="182"/>
      <c r="F837" s="183"/>
    </row>
    <row r="838" spans="4:6" x14ac:dyDescent="0.3">
      <c r="D838" s="181"/>
      <c r="E838" s="182"/>
      <c r="F838" s="183"/>
    </row>
    <row r="839" spans="4:6" x14ac:dyDescent="0.3">
      <c r="D839" s="181"/>
      <c r="E839" s="182"/>
      <c r="F839" s="183"/>
    </row>
    <row r="840" spans="4:6" x14ac:dyDescent="0.3">
      <c r="D840" s="181"/>
      <c r="E840" s="182"/>
      <c r="F840" s="183"/>
    </row>
    <row r="841" spans="4:6" x14ac:dyDescent="0.3">
      <c r="D841" s="181"/>
      <c r="E841" s="182"/>
      <c r="F841" s="183"/>
    </row>
    <row r="842" spans="4:6" x14ac:dyDescent="0.3">
      <c r="D842" s="181"/>
      <c r="E842" s="182"/>
      <c r="F842" s="183"/>
    </row>
    <row r="843" spans="4:6" x14ac:dyDescent="0.3">
      <c r="D843" s="181"/>
      <c r="E843" s="182"/>
      <c r="F843" s="183"/>
    </row>
    <row r="844" spans="4:6" x14ac:dyDescent="0.3">
      <c r="D844" s="181"/>
      <c r="E844" s="182"/>
      <c r="F844" s="183"/>
    </row>
    <row r="845" spans="4:6" x14ac:dyDescent="0.3">
      <c r="D845" s="181"/>
      <c r="E845" s="182"/>
      <c r="F845" s="183"/>
    </row>
    <row r="846" spans="4:6" x14ac:dyDescent="0.3">
      <c r="D846" s="181"/>
      <c r="E846" s="182"/>
      <c r="F846" s="183"/>
    </row>
    <row r="847" spans="4:6" x14ac:dyDescent="0.3">
      <c r="D847" s="181"/>
      <c r="E847" s="182"/>
      <c r="F847" s="183"/>
    </row>
    <row r="848" spans="4:6" x14ac:dyDescent="0.3">
      <c r="D848" s="181"/>
      <c r="E848" s="182"/>
      <c r="F848" s="183"/>
    </row>
    <row r="849" spans="4:6" x14ac:dyDescent="0.3">
      <c r="D849" s="181"/>
      <c r="E849" s="182"/>
      <c r="F849" s="183"/>
    </row>
    <row r="850" spans="4:6" x14ac:dyDescent="0.3">
      <c r="D850" s="181"/>
      <c r="E850" s="182"/>
      <c r="F850" s="183"/>
    </row>
    <row r="851" spans="4:6" x14ac:dyDescent="0.3">
      <c r="D851" s="181"/>
      <c r="E851" s="182"/>
      <c r="F851" s="183"/>
    </row>
    <row r="852" spans="4:6" x14ac:dyDescent="0.3">
      <c r="D852" s="181"/>
      <c r="E852" s="182"/>
      <c r="F852" s="183"/>
    </row>
    <row r="853" spans="4:6" x14ac:dyDescent="0.3">
      <c r="D853" s="181"/>
      <c r="E853" s="182"/>
      <c r="F853" s="183"/>
    </row>
    <row r="854" spans="4:6" x14ac:dyDescent="0.3">
      <c r="D854" s="181"/>
      <c r="E854" s="182"/>
      <c r="F854" s="183"/>
    </row>
    <row r="855" spans="4:6" x14ac:dyDescent="0.3">
      <c r="D855" s="181"/>
      <c r="E855" s="182"/>
      <c r="F855" s="183"/>
    </row>
    <row r="856" spans="4:6" x14ac:dyDescent="0.3">
      <c r="D856" s="181"/>
      <c r="E856" s="182"/>
      <c r="F856" s="183"/>
    </row>
    <row r="857" spans="4:6" x14ac:dyDescent="0.3">
      <c r="D857" s="181"/>
      <c r="E857" s="182"/>
      <c r="F857" s="183"/>
    </row>
    <row r="858" spans="4:6" x14ac:dyDescent="0.3">
      <c r="D858" s="181"/>
      <c r="E858" s="182"/>
      <c r="F858" s="183"/>
    </row>
    <row r="859" spans="4:6" x14ac:dyDescent="0.3">
      <c r="D859" s="181"/>
      <c r="E859" s="182"/>
      <c r="F859" s="183"/>
    </row>
    <row r="860" spans="4:6" x14ac:dyDescent="0.3">
      <c r="D860" s="181"/>
      <c r="E860" s="182"/>
      <c r="F860" s="183"/>
    </row>
    <row r="861" spans="4:6" x14ac:dyDescent="0.3">
      <c r="D861" s="181"/>
      <c r="E861" s="182"/>
      <c r="F861" s="183"/>
    </row>
    <row r="862" spans="4:6" x14ac:dyDescent="0.3">
      <c r="D862" s="181"/>
      <c r="E862" s="182"/>
      <c r="F862" s="183"/>
    </row>
    <row r="863" spans="4:6" x14ac:dyDescent="0.3">
      <c r="D863" s="181"/>
      <c r="E863" s="182"/>
      <c r="F863" s="183"/>
    </row>
    <row r="864" spans="4:6" x14ac:dyDescent="0.3">
      <c r="D864" s="181"/>
      <c r="E864" s="182"/>
      <c r="F864" s="183"/>
    </row>
    <row r="865" spans="4:6" x14ac:dyDescent="0.3">
      <c r="D865" s="181"/>
      <c r="E865" s="182"/>
      <c r="F865" s="183"/>
    </row>
    <row r="866" spans="4:6" x14ac:dyDescent="0.3">
      <c r="D866" s="181"/>
      <c r="E866" s="182"/>
      <c r="F866" s="183"/>
    </row>
    <row r="867" spans="4:6" x14ac:dyDescent="0.3">
      <c r="D867" s="181"/>
      <c r="E867" s="182"/>
      <c r="F867" s="183"/>
    </row>
    <row r="868" spans="4:6" x14ac:dyDescent="0.3">
      <c r="D868" s="181"/>
      <c r="E868" s="182"/>
      <c r="F868" s="183"/>
    </row>
    <row r="869" spans="4:6" x14ac:dyDescent="0.3">
      <c r="D869" s="181"/>
      <c r="E869" s="182"/>
      <c r="F869" s="183"/>
    </row>
    <row r="870" spans="4:6" x14ac:dyDescent="0.3">
      <c r="D870" s="181"/>
      <c r="E870" s="182"/>
      <c r="F870" s="183"/>
    </row>
    <row r="871" spans="4:6" x14ac:dyDescent="0.3">
      <c r="D871" s="181"/>
      <c r="E871" s="182"/>
      <c r="F871" s="183"/>
    </row>
    <row r="872" spans="4:6" x14ac:dyDescent="0.3">
      <c r="D872" s="181"/>
      <c r="E872" s="182"/>
      <c r="F872" s="183"/>
    </row>
    <row r="873" spans="4:6" x14ac:dyDescent="0.3">
      <c r="D873" s="181"/>
      <c r="E873" s="182"/>
      <c r="F873" s="183"/>
    </row>
    <row r="874" spans="4:6" x14ac:dyDescent="0.3">
      <c r="D874" s="181"/>
      <c r="E874" s="182"/>
      <c r="F874" s="183"/>
    </row>
    <row r="875" spans="4:6" x14ac:dyDescent="0.3">
      <c r="D875" s="181"/>
      <c r="E875" s="182"/>
      <c r="F875" s="183"/>
    </row>
    <row r="876" spans="4:6" x14ac:dyDescent="0.3">
      <c r="D876" s="181"/>
      <c r="E876" s="182"/>
      <c r="F876" s="183"/>
    </row>
    <row r="877" spans="4:6" x14ac:dyDescent="0.3">
      <c r="D877" s="181"/>
      <c r="E877" s="182"/>
      <c r="F877" s="183"/>
    </row>
    <row r="878" spans="4:6" x14ac:dyDescent="0.3">
      <c r="D878" s="181"/>
      <c r="E878" s="182"/>
      <c r="F878" s="183"/>
    </row>
    <row r="879" spans="4:6" x14ac:dyDescent="0.3">
      <c r="D879" s="181"/>
      <c r="E879" s="182"/>
      <c r="F879" s="183"/>
    </row>
    <row r="880" spans="4:6" x14ac:dyDescent="0.3">
      <c r="D880" s="181"/>
      <c r="E880" s="182"/>
      <c r="F880" s="183"/>
    </row>
    <row r="881" spans="4:6" x14ac:dyDescent="0.3">
      <c r="D881" s="181"/>
      <c r="E881" s="182"/>
      <c r="F881" s="183"/>
    </row>
    <row r="882" spans="4:6" x14ac:dyDescent="0.3">
      <c r="D882" s="181"/>
      <c r="E882" s="182"/>
      <c r="F882" s="183"/>
    </row>
    <row r="883" spans="4:6" x14ac:dyDescent="0.3">
      <c r="D883" s="181"/>
      <c r="E883" s="182"/>
      <c r="F883" s="183"/>
    </row>
    <row r="884" spans="4:6" x14ac:dyDescent="0.3">
      <c r="D884" s="181"/>
      <c r="E884" s="182"/>
      <c r="F884" s="183"/>
    </row>
    <row r="885" spans="4:6" x14ac:dyDescent="0.3">
      <c r="D885" s="181"/>
      <c r="E885" s="182"/>
      <c r="F885" s="183"/>
    </row>
    <row r="886" spans="4:6" x14ac:dyDescent="0.3">
      <c r="D886" s="181"/>
      <c r="E886" s="182"/>
      <c r="F886" s="183"/>
    </row>
    <row r="887" spans="4:6" x14ac:dyDescent="0.3">
      <c r="D887" s="181"/>
      <c r="E887" s="182"/>
      <c r="F887" s="183"/>
    </row>
    <row r="888" spans="4:6" x14ac:dyDescent="0.3">
      <c r="D888" s="181"/>
      <c r="E888" s="182"/>
      <c r="F888" s="183"/>
    </row>
    <row r="889" spans="4:6" x14ac:dyDescent="0.3">
      <c r="D889" s="181"/>
      <c r="E889" s="182"/>
      <c r="F889" s="183"/>
    </row>
    <row r="890" spans="4:6" x14ac:dyDescent="0.3">
      <c r="D890" s="181"/>
      <c r="E890" s="182"/>
      <c r="F890" s="183"/>
    </row>
    <row r="891" spans="4:6" x14ac:dyDescent="0.3">
      <c r="D891" s="181"/>
      <c r="E891" s="182"/>
      <c r="F891" s="183"/>
    </row>
    <row r="892" spans="4:6" x14ac:dyDescent="0.3">
      <c r="D892" s="181"/>
      <c r="E892" s="182"/>
      <c r="F892" s="183"/>
    </row>
    <row r="893" spans="4:6" x14ac:dyDescent="0.3">
      <c r="D893" s="181"/>
      <c r="E893" s="182"/>
      <c r="F893" s="183"/>
    </row>
    <row r="894" spans="4:6" x14ac:dyDescent="0.3">
      <c r="D894" s="181"/>
      <c r="E894" s="182"/>
      <c r="F894" s="183"/>
    </row>
    <row r="895" spans="4:6" x14ac:dyDescent="0.3">
      <c r="D895" s="181"/>
      <c r="E895" s="182"/>
      <c r="F895" s="183"/>
    </row>
    <row r="896" spans="4:6" x14ac:dyDescent="0.3">
      <c r="D896" s="181"/>
      <c r="E896" s="182"/>
      <c r="F896" s="183"/>
    </row>
    <row r="897" spans="4:6" x14ac:dyDescent="0.3">
      <c r="D897" s="181"/>
      <c r="E897" s="182"/>
      <c r="F897" s="183"/>
    </row>
    <row r="898" spans="4:6" x14ac:dyDescent="0.3">
      <c r="D898" s="181"/>
      <c r="E898" s="182"/>
      <c r="F898" s="183"/>
    </row>
    <row r="899" spans="4:6" x14ac:dyDescent="0.3">
      <c r="D899" s="181"/>
      <c r="E899" s="182"/>
      <c r="F899" s="183"/>
    </row>
    <row r="900" spans="4:6" x14ac:dyDescent="0.3">
      <c r="D900" s="181"/>
      <c r="E900" s="182"/>
      <c r="F900" s="183"/>
    </row>
    <row r="901" spans="4:6" x14ac:dyDescent="0.3">
      <c r="D901" s="181"/>
      <c r="E901" s="182"/>
      <c r="F901" s="183"/>
    </row>
    <row r="902" spans="4:6" x14ac:dyDescent="0.3">
      <c r="D902" s="181"/>
      <c r="E902" s="182"/>
      <c r="F902" s="183"/>
    </row>
    <row r="903" spans="4:6" x14ac:dyDescent="0.3">
      <c r="D903" s="181"/>
      <c r="E903" s="182"/>
      <c r="F903" s="183"/>
    </row>
    <row r="904" spans="4:6" x14ac:dyDescent="0.3">
      <c r="D904" s="181"/>
      <c r="E904" s="182"/>
      <c r="F904" s="183"/>
    </row>
    <row r="905" spans="4:6" x14ac:dyDescent="0.3">
      <c r="D905" s="181"/>
      <c r="E905" s="182"/>
      <c r="F905" s="183"/>
    </row>
    <row r="906" spans="4:6" x14ac:dyDescent="0.3">
      <c r="D906" s="181"/>
      <c r="E906" s="182"/>
      <c r="F906" s="183"/>
    </row>
    <row r="907" spans="4:6" x14ac:dyDescent="0.3">
      <c r="D907" s="181"/>
      <c r="E907" s="182"/>
      <c r="F907" s="183"/>
    </row>
    <row r="908" spans="4:6" x14ac:dyDescent="0.3">
      <c r="D908" s="181"/>
      <c r="E908" s="182"/>
      <c r="F908" s="183"/>
    </row>
    <row r="909" spans="4:6" x14ac:dyDescent="0.3">
      <c r="D909" s="181"/>
      <c r="E909" s="182"/>
      <c r="F909" s="183"/>
    </row>
    <row r="910" spans="4:6" x14ac:dyDescent="0.3">
      <c r="D910" s="181"/>
      <c r="E910" s="182"/>
      <c r="F910" s="183"/>
    </row>
    <row r="911" spans="4:6" x14ac:dyDescent="0.3">
      <c r="D911" s="181"/>
      <c r="E911" s="182"/>
      <c r="F911" s="183"/>
    </row>
    <row r="912" spans="4:6" x14ac:dyDescent="0.3">
      <c r="D912" s="181"/>
      <c r="E912" s="182"/>
      <c r="F912" s="183"/>
    </row>
    <row r="913" spans="4:6" x14ac:dyDescent="0.3">
      <c r="D913" s="181"/>
      <c r="E913" s="182"/>
      <c r="F913" s="183"/>
    </row>
    <row r="914" spans="4:6" x14ac:dyDescent="0.3">
      <c r="D914" s="181"/>
      <c r="E914" s="182"/>
      <c r="F914" s="183"/>
    </row>
    <row r="915" spans="4:6" x14ac:dyDescent="0.3">
      <c r="D915" s="181"/>
      <c r="E915" s="182"/>
      <c r="F915" s="183"/>
    </row>
    <row r="916" spans="4:6" x14ac:dyDescent="0.3">
      <c r="D916" s="181"/>
      <c r="E916" s="182"/>
      <c r="F916" s="183"/>
    </row>
    <row r="917" spans="4:6" x14ac:dyDescent="0.3">
      <c r="D917" s="181"/>
      <c r="E917" s="182"/>
      <c r="F917" s="183"/>
    </row>
    <row r="918" spans="4:6" x14ac:dyDescent="0.3">
      <c r="D918" s="181"/>
      <c r="E918" s="182"/>
      <c r="F918" s="183"/>
    </row>
    <row r="919" spans="4:6" x14ac:dyDescent="0.3">
      <c r="D919" s="181"/>
      <c r="E919" s="182"/>
      <c r="F919" s="183"/>
    </row>
    <row r="920" spans="4:6" x14ac:dyDescent="0.3">
      <c r="D920" s="181"/>
      <c r="E920" s="182"/>
      <c r="F920" s="183"/>
    </row>
    <row r="921" spans="4:6" x14ac:dyDescent="0.3">
      <c r="D921" s="181"/>
      <c r="E921" s="182"/>
      <c r="F921" s="183"/>
    </row>
    <row r="922" spans="4:6" x14ac:dyDescent="0.3">
      <c r="D922" s="181"/>
      <c r="E922" s="182"/>
      <c r="F922" s="183"/>
    </row>
    <row r="923" spans="4:6" x14ac:dyDescent="0.3">
      <c r="D923" s="181"/>
      <c r="E923" s="182"/>
      <c r="F923" s="183"/>
    </row>
    <row r="924" spans="4:6" x14ac:dyDescent="0.3">
      <c r="D924" s="181"/>
      <c r="E924" s="182"/>
      <c r="F924" s="183"/>
    </row>
    <row r="925" spans="4:6" x14ac:dyDescent="0.3">
      <c r="D925" s="181"/>
      <c r="E925" s="182"/>
      <c r="F925" s="183"/>
    </row>
    <row r="926" spans="4:6" x14ac:dyDescent="0.3">
      <c r="D926" s="181"/>
      <c r="E926" s="182"/>
      <c r="F926" s="183"/>
    </row>
    <row r="927" spans="4:6" x14ac:dyDescent="0.3">
      <c r="D927" s="181"/>
      <c r="E927" s="182"/>
      <c r="F927" s="183"/>
    </row>
    <row r="928" spans="4:6" x14ac:dyDescent="0.3">
      <c r="D928" s="181"/>
      <c r="E928" s="182"/>
      <c r="F928" s="183"/>
    </row>
    <row r="929" spans="4:6" x14ac:dyDescent="0.3">
      <c r="D929" s="181"/>
      <c r="E929" s="182"/>
      <c r="F929" s="183"/>
    </row>
    <row r="930" spans="4:6" x14ac:dyDescent="0.3">
      <c r="D930" s="181"/>
      <c r="E930" s="182"/>
      <c r="F930" s="183"/>
    </row>
    <row r="931" spans="4:6" x14ac:dyDescent="0.3">
      <c r="D931" s="181"/>
      <c r="E931" s="182"/>
      <c r="F931" s="183"/>
    </row>
    <row r="932" spans="4:6" x14ac:dyDescent="0.3">
      <c r="D932" s="181"/>
      <c r="E932" s="182"/>
      <c r="F932" s="183"/>
    </row>
    <row r="933" spans="4:6" x14ac:dyDescent="0.3">
      <c r="D933" s="181"/>
      <c r="E933" s="182"/>
      <c r="F933" s="183"/>
    </row>
    <row r="934" spans="4:6" x14ac:dyDescent="0.3">
      <c r="D934" s="181"/>
      <c r="E934" s="182"/>
      <c r="F934" s="183"/>
    </row>
    <row r="935" spans="4:6" x14ac:dyDescent="0.3">
      <c r="D935" s="181"/>
      <c r="E935" s="182"/>
      <c r="F935" s="183"/>
    </row>
    <row r="936" spans="4:6" x14ac:dyDescent="0.3">
      <c r="D936" s="181"/>
      <c r="E936" s="182"/>
      <c r="F936" s="183"/>
    </row>
    <row r="937" spans="4:6" x14ac:dyDescent="0.3">
      <c r="D937" s="181"/>
      <c r="E937" s="182"/>
      <c r="F937" s="183"/>
    </row>
    <row r="938" spans="4:6" x14ac:dyDescent="0.3">
      <c r="D938" s="181"/>
      <c r="E938" s="182"/>
      <c r="F938" s="183"/>
    </row>
    <row r="939" spans="4:6" x14ac:dyDescent="0.3">
      <c r="D939" s="181"/>
      <c r="E939" s="182"/>
      <c r="F939" s="183"/>
    </row>
    <row r="940" spans="4:6" x14ac:dyDescent="0.3">
      <c r="D940" s="181"/>
      <c r="E940" s="182"/>
      <c r="F940" s="183"/>
    </row>
    <row r="941" spans="4:6" x14ac:dyDescent="0.3">
      <c r="D941" s="181"/>
      <c r="E941" s="182"/>
      <c r="F941" s="183"/>
    </row>
    <row r="942" spans="4:6" x14ac:dyDescent="0.3">
      <c r="D942" s="181"/>
      <c r="E942" s="182"/>
      <c r="F942" s="183"/>
    </row>
    <row r="943" spans="4:6" x14ac:dyDescent="0.3">
      <c r="D943" s="181"/>
      <c r="E943" s="182"/>
      <c r="F943" s="183"/>
    </row>
    <row r="944" spans="4:6" x14ac:dyDescent="0.3">
      <c r="D944" s="181"/>
      <c r="E944" s="182"/>
      <c r="F944" s="183"/>
    </row>
    <row r="945" spans="4:6" x14ac:dyDescent="0.3">
      <c r="D945" s="181"/>
      <c r="E945" s="182"/>
      <c r="F945" s="183"/>
    </row>
    <row r="946" spans="4:6" x14ac:dyDescent="0.3">
      <c r="D946" s="181"/>
      <c r="E946" s="182"/>
      <c r="F946" s="183"/>
    </row>
    <row r="947" spans="4:6" x14ac:dyDescent="0.3">
      <c r="D947" s="181"/>
      <c r="E947" s="182"/>
      <c r="F947" s="183"/>
    </row>
    <row r="948" spans="4:6" x14ac:dyDescent="0.3">
      <c r="D948" s="181"/>
      <c r="E948" s="182"/>
      <c r="F948" s="183"/>
    </row>
    <row r="949" spans="4:6" x14ac:dyDescent="0.3">
      <c r="D949" s="181"/>
      <c r="E949" s="182"/>
      <c r="F949" s="183"/>
    </row>
    <row r="950" spans="4:6" x14ac:dyDescent="0.3">
      <c r="D950" s="181"/>
      <c r="E950" s="182"/>
      <c r="F950" s="183"/>
    </row>
    <row r="951" spans="4:6" x14ac:dyDescent="0.3">
      <c r="D951" s="181"/>
      <c r="E951" s="182"/>
      <c r="F951" s="183"/>
    </row>
    <row r="952" spans="4:6" x14ac:dyDescent="0.3">
      <c r="D952" s="181"/>
      <c r="E952" s="182"/>
      <c r="F952" s="183"/>
    </row>
    <row r="953" spans="4:6" x14ac:dyDescent="0.3">
      <c r="D953" s="181"/>
      <c r="E953" s="182"/>
      <c r="F953" s="183"/>
    </row>
    <row r="954" spans="4:6" x14ac:dyDescent="0.3">
      <c r="D954" s="181"/>
      <c r="E954" s="182"/>
      <c r="F954" s="183"/>
    </row>
    <row r="955" spans="4:6" x14ac:dyDescent="0.3">
      <c r="D955" s="181"/>
      <c r="E955" s="182"/>
      <c r="F955" s="183"/>
    </row>
    <row r="956" spans="4:6" x14ac:dyDescent="0.3">
      <c r="D956" s="181"/>
      <c r="E956" s="182"/>
      <c r="F956" s="183"/>
    </row>
    <row r="957" spans="4:6" x14ac:dyDescent="0.3">
      <c r="D957" s="181"/>
      <c r="E957" s="182"/>
      <c r="F957" s="183"/>
    </row>
    <row r="958" spans="4:6" x14ac:dyDescent="0.3">
      <c r="D958" s="181"/>
      <c r="E958" s="182"/>
      <c r="F958" s="183"/>
    </row>
    <row r="959" spans="4:6" x14ac:dyDescent="0.3">
      <c r="D959" s="181"/>
      <c r="E959" s="182"/>
      <c r="F959" s="183"/>
    </row>
    <row r="960" spans="4:6" x14ac:dyDescent="0.3">
      <c r="D960" s="181"/>
      <c r="E960" s="182"/>
      <c r="F960" s="183"/>
    </row>
    <row r="961" spans="4:6" x14ac:dyDescent="0.3">
      <c r="D961" s="181"/>
      <c r="E961" s="182"/>
      <c r="F961" s="183"/>
    </row>
    <row r="962" spans="4:6" x14ac:dyDescent="0.3">
      <c r="D962" s="181"/>
      <c r="E962" s="182"/>
      <c r="F962" s="183"/>
    </row>
    <row r="963" spans="4:6" x14ac:dyDescent="0.3">
      <c r="D963" s="181"/>
      <c r="E963" s="182"/>
      <c r="F963" s="183"/>
    </row>
    <row r="964" spans="4:6" x14ac:dyDescent="0.3">
      <c r="D964" s="181"/>
      <c r="E964" s="182"/>
      <c r="F964" s="183"/>
    </row>
    <row r="965" spans="4:6" x14ac:dyDescent="0.3">
      <c r="D965" s="181"/>
      <c r="E965" s="182"/>
      <c r="F965" s="183"/>
    </row>
    <row r="966" spans="4:6" x14ac:dyDescent="0.3">
      <c r="D966" s="181"/>
      <c r="E966" s="182"/>
      <c r="F966" s="183"/>
    </row>
    <row r="967" spans="4:6" x14ac:dyDescent="0.3">
      <c r="D967" s="181"/>
      <c r="E967" s="182"/>
      <c r="F967" s="183"/>
    </row>
    <row r="968" spans="4:6" x14ac:dyDescent="0.3">
      <c r="D968" s="181"/>
      <c r="E968" s="182"/>
      <c r="F968" s="183"/>
    </row>
    <row r="969" spans="4:6" x14ac:dyDescent="0.3">
      <c r="D969" s="181"/>
      <c r="E969" s="182"/>
      <c r="F969" s="183"/>
    </row>
    <row r="970" spans="4:6" x14ac:dyDescent="0.3">
      <c r="D970" s="181"/>
      <c r="E970" s="182"/>
      <c r="F970" s="183"/>
    </row>
    <row r="971" spans="4:6" x14ac:dyDescent="0.3">
      <c r="D971" s="181"/>
      <c r="E971" s="182"/>
      <c r="F971" s="183"/>
    </row>
    <row r="972" spans="4:6" x14ac:dyDescent="0.3">
      <c r="D972" s="181"/>
      <c r="E972" s="182"/>
      <c r="F972" s="183"/>
    </row>
    <row r="973" spans="4:6" x14ac:dyDescent="0.3">
      <c r="D973" s="181"/>
      <c r="E973" s="182"/>
      <c r="F973" s="183"/>
    </row>
    <row r="974" spans="4:6" x14ac:dyDescent="0.3">
      <c r="D974" s="181"/>
      <c r="E974" s="182"/>
      <c r="F974" s="183"/>
    </row>
    <row r="975" spans="4:6" x14ac:dyDescent="0.3">
      <c r="D975" s="181"/>
      <c r="E975" s="182"/>
      <c r="F975" s="183"/>
    </row>
    <row r="976" spans="4:6" x14ac:dyDescent="0.3">
      <c r="D976" s="181"/>
      <c r="E976" s="182"/>
      <c r="F976" s="183"/>
    </row>
    <row r="977" spans="4:6" x14ac:dyDescent="0.3">
      <c r="D977" s="181"/>
      <c r="E977" s="182"/>
      <c r="F977" s="183"/>
    </row>
    <row r="978" spans="4:6" x14ac:dyDescent="0.3">
      <c r="D978" s="181"/>
      <c r="E978" s="182"/>
      <c r="F978" s="183"/>
    </row>
    <row r="979" spans="4:6" x14ac:dyDescent="0.3">
      <c r="D979" s="181"/>
      <c r="E979" s="182"/>
      <c r="F979" s="183"/>
    </row>
    <row r="980" spans="4:6" x14ac:dyDescent="0.3">
      <c r="D980" s="181"/>
      <c r="E980" s="182"/>
      <c r="F980" s="183"/>
    </row>
    <row r="981" spans="4:6" x14ac:dyDescent="0.3">
      <c r="D981" s="181"/>
      <c r="E981" s="182"/>
      <c r="F981" s="183"/>
    </row>
    <row r="982" spans="4:6" x14ac:dyDescent="0.3">
      <c r="D982" s="181"/>
      <c r="E982" s="182"/>
      <c r="F982" s="183"/>
    </row>
    <row r="983" spans="4:6" x14ac:dyDescent="0.3">
      <c r="D983" s="181"/>
      <c r="E983" s="182"/>
      <c r="F983" s="183"/>
    </row>
    <row r="984" spans="4:6" x14ac:dyDescent="0.3">
      <c r="D984" s="181"/>
      <c r="E984" s="182"/>
      <c r="F984" s="183"/>
    </row>
    <row r="985" spans="4:6" x14ac:dyDescent="0.3">
      <c r="D985" s="181"/>
      <c r="E985" s="182"/>
      <c r="F985" s="183"/>
    </row>
    <row r="986" spans="4:6" x14ac:dyDescent="0.3">
      <c r="D986" s="181"/>
      <c r="E986" s="182"/>
      <c r="F986" s="183"/>
    </row>
    <row r="987" spans="4:6" x14ac:dyDescent="0.3">
      <c r="D987" s="181"/>
      <c r="E987" s="182"/>
      <c r="F987" s="183"/>
    </row>
    <row r="988" spans="4:6" x14ac:dyDescent="0.3">
      <c r="D988" s="181"/>
      <c r="E988" s="182"/>
      <c r="F988" s="183"/>
    </row>
    <row r="989" spans="4:6" x14ac:dyDescent="0.3">
      <c r="D989" s="181"/>
      <c r="E989" s="182"/>
      <c r="F989" s="183"/>
    </row>
    <row r="990" spans="4:6" x14ac:dyDescent="0.3">
      <c r="D990" s="181"/>
      <c r="E990" s="182"/>
      <c r="F990" s="183"/>
    </row>
    <row r="991" spans="4:6" x14ac:dyDescent="0.3">
      <c r="D991" s="181"/>
      <c r="E991" s="182"/>
      <c r="F991" s="183"/>
    </row>
    <row r="992" spans="4:6" x14ac:dyDescent="0.3">
      <c r="D992" s="181"/>
      <c r="E992" s="182"/>
      <c r="F992" s="183"/>
    </row>
    <row r="993" spans="4:6" x14ac:dyDescent="0.3">
      <c r="D993" s="181"/>
      <c r="E993" s="182"/>
      <c r="F993" s="183"/>
    </row>
    <row r="994" spans="4:6" x14ac:dyDescent="0.3">
      <c r="D994" s="181"/>
      <c r="E994" s="182"/>
      <c r="F994" s="183"/>
    </row>
    <row r="995" spans="4:6" x14ac:dyDescent="0.3">
      <c r="D995" s="181"/>
      <c r="E995" s="182"/>
      <c r="F995" s="183"/>
    </row>
    <row r="996" spans="4:6" x14ac:dyDescent="0.3">
      <c r="D996" s="181"/>
      <c r="E996" s="182"/>
      <c r="F996" s="183"/>
    </row>
    <row r="997" spans="4:6" x14ac:dyDescent="0.3">
      <c r="D997" s="181"/>
      <c r="E997" s="182"/>
      <c r="F997" s="183"/>
    </row>
    <row r="998" spans="4:6" x14ac:dyDescent="0.3">
      <c r="D998" s="181"/>
      <c r="E998" s="182"/>
      <c r="F998" s="183"/>
    </row>
    <row r="999" spans="4:6" x14ac:dyDescent="0.3">
      <c r="D999" s="181"/>
      <c r="E999" s="182"/>
      <c r="F999" s="183"/>
    </row>
    <row r="1000" spans="4:6" x14ac:dyDescent="0.3">
      <c r="D1000" s="181"/>
      <c r="E1000" s="182"/>
      <c r="F1000" s="183"/>
    </row>
    <row r="1001" spans="4:6" x14ac:dyDescent="0.3">
      <c r="D1001" s="181"/>
      <c r="E1001" s="182"/>
      <c r="F1001" s="183"/>
    </row>
    <row r="1002" spans="4:6" x14ac:dyDescent="0.3">
      <c r="D1002" s="181"/>
      <c r="E1002" s="182"/>
      <c r="F1002" s="183"/>
    </row>
    <row r="1003" spans="4:6" x14ac:dyDescent="0.3">
      <c r="D1003" s="181"/>
      <c r="E1003" s="182"/>
      <c r="F1003" s="183"/>
    </row>
    <row r="1004" spans="4:6" x14ac:dyDescent="0.3">
      <c r="D1004" s="181"/>
      <c r="E1004" s="182"/>
      <c r="F1004" s="183"/>
    </row>
    <row r="1005" spans="4:6" x14ac:dyDescent="0.3">
      <c r="D1005" s="181"/>
      <c r="E1005" s="182"/>
      <c r="F1005" s="183"/>
    </row>
    <row r="1006" spans="4:6" x14ac:dyDescent="0.3">
      <c r="D1006" s="181"/>
      <c r="E1006" s="182"/>
      <c r="F1006" s="183"/>
    </row>
    <row r="1007" spans="4:6" x14ac:dyDescent="0.3">
      <c r="D1007" s="181"/>
      <c r="E1007" s="182"/>
      <c r="F1007" s="183"/>
    </row>
    <row r="1008" spans="4:6" x14ac:dyDescent="0.3">
      <c r="D1008" s="181"/>
      <c r="E1008" s="182"/>
      <c r="F1008" s="183"/>
    </row>
    <row r="1009" spans="4:6" x14ac:dyDescent="0.3">
      <c r="D1009" s="181"/>
      <c r="E1009" s="182"/>
      <c r="F1009" s="183"/>
    </row>
    <row r="1010" spans="4:6" x14ac:dyDescent="0.3">
      <c r="D1010" s="181"/>
      <c r="E1010" s="182"/>
      <c r="F1010" s="183"/>
    </row>
    <row r="1011" spans="4:6" x14ac:dyDescent="0.3">
      <c r="D1011" s="181"/>
      <c r="E1011" s="182"/>
      <c r="F1011" s="183"/>
    </row>
    <row r="1012" spans="4:6" x14ac:dyDescent="0.3">
      <c r="D1012" s="181"/>
      <c r="E1012" s="182"/>
      <c r="F1012" s="183"/>
    </row>
    <row r="1013" spans="4:6" x14ac:dyDescent="0.3">
      <c r="D1013" s="181"/>
      <c r="E1013" s="182"/>
      <c r="F1013" s="183"/>
    </row>
    <row r="1014" spans="4:6" x14ac:dyDescent="0.3">
      <c r="D1014" s="181"/>
      <c r="E1014" s="182"/>
      <c r="F1014" s="183"/>
    </row>
    <row r="1015" spans="4:6" x14ac:dyDescent="0.3">
      <c r="D1015" s="181"/>
      <c r="E1015" s="182"/>
      <c r="F1015" s="183"/>
    </row>
    <row r="1016" spans="4:6" x14ac:dyDescent="0.3">
      <c r="D1016" s="181"/>
      <c r="E1016" s="182"/>
      <c r="F1016" s="183"/>
    </row>
    <row r="1017" spans="4:6" x14ac:dyDescent="0.3">
      <c r="D1017" s="181"/>
      <c r="E1017" s="182"/>
      <c r="F1017" s="183"/>
    </row>
    <row r="1018" spans="4:6" x14ac:dyDescent="0.3">
      <c r="D1018" s="181"/>
      <c r="E1018" s="182"/>
      <c r="F1018" s="183"/>
    </row>
    <row r="1019" spans="4:6" x14ac:dyDescent="0.3">
      <c r="D1019" s="181"/>
      <c r="E1019" s="182"/>
      <c r="F1019" s="183"/>
    </row>
    <row r="1020" spans="4:6" x14ac:dyDescent="0.3">
      <c r="D1020" s="181"/>
      <c r="E1020" s="182"/>
      <c r="F1020" s="183"/>
    </row>
    <row r="1021" spans="4:6" x14ac:dyDescent="0.3">
      <c r="D1021" s="181"/>
      <c r="E1021" s="182"/>
      <c r="F1021" s="183"/>
    </row>
    <row r="1022" spans="4:6" x14ac:dyDescent="0.3">
      <c r="D1022" s="181"/>
      <c r="E1022" s="182"/>
      <c r="F1022" s="183"/>
    </row>
    <row r="1023" spans="4:6" x14ac:dyDescent="0.3">
      <c r="D1023" s="181"/>
      <c r="E1023" s="182"/>
      <c r="F1023" s="183"/>
    </row>
    <row r="1024" spans="4:6" x14ac:dyDescent="0.3">
      <c r="D1024" s="181"/>
      <c r="E1024" s="182"/>
      <c r="F1024" s="183"/>
    </row>
    <row r="1025" spans="4:6" x14ac:dyDescent="0.3">
      <c r="D1025" s="181"/>
      <c r="E1025" s="182"/>
      <c r="F1025" s="183"/>
    </row>
    <row r="1026" spans="4:6" x14ac:dyDescent="0.3">
      <c r="D1026" s="181"/>
      <c r="E1026" s="182"/>
      <c r="F1026" s="183"/>
    </row>
    <row r="1027" spans="4:6" x14ac:dyDescent="0.3">
      <c r="D1027" s="181"/>
      <c r="E1027" s="182"/>
      <c r="F1027" s="183"/>
    </row>
    <row r="1028" spans="4:6" x14ac:dyDescent="0.3">
      <c r="D1028" s="181"/>
      <c r="E1028" s="182"/>
      <c r="F1028" s="183"/>
    </row>
    <row r="1029" spans="4:6" x14ac:dyDescent="0.3">
      <c r="D1029" s="181"/>
      <c r="E1029" s="182"/>
      <c r="F1029" s="183"/>
    </row>
    <row r="1030" spans="4:6" x14ac:dyDescent="0.3">
      <c r="D1030" s="181"/>
      <c r="E1030" s="182"/>
      <c r="F1030" s="183"/>
    </row>
    <row r="1031" spans="4:6" x14ac:dyDescent="0.3">
      <c r="D1031" s="181"/>
      <c r="E1031" s="182"/>
      <c r="F1031" s="183"/>
    </row>
    <row r="1032" spans="4:6" x14ac:dyDescent="0.3">
      <c r="D1032" s="181"/>
      <c r="E1032" s="182"/>
      <c r="F1032" s="183"/>
    </row>
    <row r="1033" spans="4:6" x14ac:dyDescent="0.3">
      <c r="D1033" s="181"/>
      <c r="E1033" s="182"/>
      <c r="F1033" s="183"/>
    </row>
    <row r="1034" spans="4:6" x14ac:dyDescent="0.3">
      <c r="D1034" s="181"/>
      <c r="E1034" s="182"/>
      <c r="F1034" s="183"/>
    </row>
    <row r="1035" spans="4:6" x14ac:dyDescent="0.3">
      <c r="D1035" s="181"/>
      <c r="E1035" s="182"/>
      <c r="F1035" s="183"/>
    </row>
    <row r="1036" spans="4:6" x14ac:dyDescent="0.3">
      <c r="D1036" s="181"/>
      <c r="E1036" s="182"/>
      <c r="F1036" s="183"/>
    </row>
    <row r="1037" spans="4:6" x14ac:dyDescent="0.3">
      <c r="D1037" s="181"/>
      <c r="E1037" s="182"/>
      <c r="F1037" s="183"/>
    </row>
    <row r="1038" spans="4:6" x14ac:dyDescent="0.3">
      <c r="D1038" s="181"/>
      <c r="E1038" s="182"/>
      <c r="F1038" s="183"/>
    </row>
    <row r="1039" spans="4:6" x14ac:dyDescent="0.3">
      <c r="D1039" s="181"/>
      <c r="E1039" s="182"/>
      <c r="F1039" s="183"/>
    </row>
    <row r="1040" spans="4:6" x14ac:dyDescent="0.3">
      <c r="D1040" s="181"/>
      <c r="E1040" s="182"/>
      <c r="F1040" s="183"/>
    </row>
    <row r="1041" spans="4:6" x14ac:dyDescent="0.3">
      <c r="D1041" s="181"/>
      <c r="E1041" s="182"/>
      <c r="F1041" s="183"/>
    </row>
    <row r="1042" spans="4:6" x14ac:dyDescent="0.3">
      <c r="D1042" s="181"/>
      <c r="E1042" s="182"/>
      <c r="F1042" s="183"/>
    </row>
    <row r="1043" spans="4:6" x14ac:dyDescent="0.3">
      <c r="D1043" s="181"/>
      <c r="E1043" s="182"/>
      <c r="F1043" s="183"/>
    </row>
    <row r="1044" spans="4:6" x14ac:dyDescent="0.3">
      <c r="D1044" s="181"/>
      <c r="E1044" s="182"/>
      <c r="F1044" s="183"/>
    </row>
    <row r="1045" spans="4:6" x14ac:dyDescent="0.3">
      <c r="D1045" s="181"/>
      <c r="E1045" s="182"/>
      <c r="F1045" s="183"/>
    </row>
    <row r="1046" spans="4:6" x14ac:dyDescent="0.3">
      <c r="D1046" s="181"/>
      <c r="E1046" s="182"/>
      <c r="F1046" s="183"/>
    </row>
    <row r="1047" spans="4:6" x14ac:dyDescent="0.3">
      <c r="D1047" s="181"/>
      <c r="E1047" s="182"/>
      <c r="F1047" s="183"/>
    </row>
    <row r="1048" spans="4:6" x14ac:dyDescent="0.3">
      <c r="D1048" s="181"/>
      <c r="E1048" s="182"/>
      <c r="F1048" s="183"/>
    </row>
    <row r="1049" spans="4:6" x14ac:dyDescent="0.3">
      <c r="D1049" s="181"/>
      <c r="E1049" s="182"/>
      <c r="F1049" s="183"/>
    </row>
    <row r="1050" spans="4:6" x14ac:dyDescent="0.3">
      <c r="D1050" s="181"/>
      <c r="E1050" s="182"/>
      <c r="F1050" s="183"/>
    </row>
    <row r="1051" spans="4:6" x14ac:dyDescent="0.3">
      <c r="D1051" s="181"/>
      <c r="E1051" s="182"/>
      <c r="F1051" s="183"/>
    </row>
    <row r="1052" spans="4:6" x14ac:dyDescent="0.3">
      <c r="D1052" s="181"/>
      <c r="E1052" s="182"/>
      <c r="F1052" s="183"/>
    </row>
    <row r="1053" spans="4:6" x14ac:dyDescent="0.3">
      <c r="D1053" s="181"/>
      <c r="E1053" s="182"/>
      <c r="F1053" s="183"/>
    </row>
    <row r="1054" spans="4:6" x14ac:dyDescent="0.3">
      <c r="D1054" s="181"/>
      <c r="E1054" s="182"/>
      <c r="F1054" s="183"/>
    </row>
    <row r="1055" spans="4:6" x14ac:dyDescent="0.3">
      <c r="D1055" s="181"/>
      <c r="E1055" s="182"/>
      <c r="F1055" s="183"/>
    </row>
    <row r="1056" spans="4:6" x14ac:dyDescent="0.3">
      <c r="D1056" s="181"/>
      <c r="E1056" s="182"/>
      <c r="F1056" s="183"/>
    </row>
    <row r="1057" spans="4:6" x14ac:dyDescent="0.3">
      <c r="D1057" s="181"/>
      <c r="E1057" s="182"/>
      <c r="F1057" s="183"/>
    </row>
    <row r="1058" spans="4:6" x14ac:dyDescent="0.3">
      <c r="D1058" s="181"/>
      <c r="E1058" s="182"/>
      <c r="F1058" s="183"/>
    </row>
    <row r="1059" spans="4:6" x14ac:dyDescent="0.3">
      <c r="D1059" s="181"/>
      <c r="E1059" s="182"/>
      <c r="F1059" s="183"/>
    </row>
    <row r="1060" spans="4:6" x14ac:dyDescent="0.3">
      <c r="D1060" s="181"/>
      <c r="E1060" s="182"/>
      <c r="F1060" s="183"/>
    </row>
    <row r="1061" spans="4:6" x14ac:dyDescent="0.3">
      <c r="D1061" s="181"/>
      <c r="E1061" s="182"/>
      <c r="F1061" s="183"/>
    </row>
    <row r="1062" spans="4:6" x14ac:dyDescent="0.3">
      <c r="D1062" s="181"/>
      <c r="E1062" s="182"/>
      <c r="F1062" s="183"/>
    </row>
    <row r="1063" spans="4:6" x14ac:dyDescent="0.3">
      <c r="D1063" s="181"/>
      <c r="E1063" s="182"/>
      <c r="F1063" s="183"/>
    </row>
    <row r="1064" spans="4:6" x14ac:dyDescent="0.3">
      <c r="D1064" s="181"/>
      <c r="E1064" s="182"/>
      <c r="F1064" s="183"/>
    </row>
    <row r="1065" spans="4:6" x14ac:dyDescent="0.3">
      <c r="D1065" s="181"/>
      <c r="E1065" s="182"/>
      <c r="F1065" s="183"/>
    </row>
    <row r="1066" spans="4:6" x14ac:dyDescent="0.3">
      <c r="D1066" s="181"/>
      <c r="E1066" s="182"/>
      <c r="F1066" s="183"/>
    </row>
    <row r="1067" spans="4:6" x14ac:dyDescent="0.3">
      <c r="D1067" s="181"/>
      <c r="E1067" s="182"/>
      <c r="F1067" s="183"/>
    </row>
    <row r="1068" spans="4:6" x14ac:dyDescent="0.3">
      <c r="D1068" s="181"/>
      <c r="E1068" s="182"/>
      <c r="F1068" s="183"/>
    </row>
    <row r="1069" spans="4:6" x14ac:dyDescent="0.3">
      <c r="D1069" s="181"/>
      <c r="E1069" s="182"/>
      <c r="F1069" s="183"/>
    </row>
    <row r="1070" spans="4:6" x14ac:dyDescent="0.3">
      <c r="D1070" s="181"/>
      <c r="E1070" s="182"/>
      <c r="F1070" s="183"/>
    </row>
    <row r="1071" spans="4:6" x14ac:dyDescent="0.3">
      <c r="D1071" s="181"/>
      <c r="E1071" s="182"/>
      <c r="F1071" s="183"/>
    </row>
    <row r="1072" spans="4:6" x14ac:dyDescent="0.3">
      <c r="D1072" s="181"/>
      <c r="E1072" s="182"/>
      <c r="F1072" s="183"/>
    </row>
    <row r="1073" spans="4:6" x14ac:dyDescent="0.3">
      <c r="D1073" s="181"/>
      <c r="E1073" s="182"/>
      <c r="F1073" s="183"/>
    </row>
    <row r="1074" spans="4:6" x14ac:dyDescent="0.3">
      <c r="D1074" s="181"/>
      <c r="E1074" s="182"/>
      <c r="F1074" s="183"/>
    </row>
    <row r="1075" spans="4:6" x14ac:dyDescent="0.3">
      <c r="D1075" s="181"/>
      <c r="E1075" s="182"/>
      <c r="F1075" s="183"/>
    </row>
    <row r="1076" spans="4:6" x14ac:dyDescent="0.3">
      <c r="D1076" s="181"/>
      <c r="E1076" s="182"/>
      <c r="F1076" s="183"/>
    </row>
    <row r="1077" spans="4:6" x14ac:dyDescent="0.3">
      <c r="D1077" s="181"/>
      <c r="E1077" s="182"/>
      <c r="F1077" s="183"/>
    </row>
    <row r="1078" spans="4:6" x14ac:dyDescent="0.3">
      <c r="D1078" s="181"/>
      <c r="E1078" s="182"/>
      <c r="F1078" s="183"/>
    </row>
    <row r="1079" spans="4:6" x14ac:dyDescent="0.3">
      <c r="D1079" s="181"/>
      <c r="E1079" s="182"/>
      <c r="F1079" s="183"/>
    </row>
    <row r="1080" spans="4:6" x14ac:dyDescent="0.3">
      <c r="D1080" s="181"/>
      <c r="E1080" s="182"/>
      <c r="F1080" s="183"/>
    </row>
    <row r="1081" spans="4:6" x14ac:dyDescent="0.3">
      <c r="D1081" s="181"/>
      <c r="E1081" s="182"/>
      <c r="F1081" s="183"/>
    </row>
    <row r="1082" spans="4:6" x14ac:dyDescent="0.3">
      <c r="D1082" s="181"/>
      <c r="E1082" s="182"/>
      <c r="F1082" s="183"/>
    </row>
    <row r="1083" spans="4:6" x14ac:dyDescent="0.3">
      <c r="D1083" s="181"/>
      <c r="E1083" s="182"/>
      <c r="F1083" s="183"/>
    </row>
    <row r="1084" spans="4:6" x14ac:dyDescent="0.3">
      <c r="D1084" s="181"/>
      <c r="E1084" s="182"/>
      <c r="F1084" s="183"/>
    </row>
    <row r="1085" spans="4:6" x14ac:dyDescent="0.3">
      <c r="D1085" s="181"/>
      <c r="E1085" s="182"/>
      <c r="F1085" s="183"/>
    </row>
    <row r="1086" spans="4:6" x14ac:dyDescent="0.3">
      <c r="D1086" s="181"/>
      <c r="E1086" s="182"/>
      <c r="F1086" s="183"/>
    </row>
    <row r="1087" spans="4:6" x14ac:dyDescent="0.3">
      <c r="D1087" s="181"/>
      <c r="E1087" s="182"/>
      <c r="F1087" s="183"/>
    </row>
    <row r="1088" spans="4:6" x14ac:dyDescent="0.3">
      <c r="D1088" s="181"/>
      <c r="E1088" s="182"/>
      <c r="F1088" s="183"/>
    </row>
    <row r="1089" spans="4:6" x14ac:dyDescent="0.3">
      <c r="D1089" s="181"/>
      <c r="E1089" s="182"/>
      <c r="F1089" s="183"/>
    </row>
    <row r="1090" spans="4:6" x14ac:dyDescent="0.3">
      <c r="D1090" s="181"/>
      <c r="E1090" s="182"/>
      <c r="F1090" s="183"/>
    </row>
    <row r="1091" spans="4:6" x14ac:dyDescent="0.3">
      <c r="D1091" s="181"/>
      <c r="E1091" s="182"/>
      <c r="F1091" s="183"/>
    </row>
    <row r="1092" spans="4:6" x14ac:dyDescent="0.3">
      <c r="D1092" s="181"/>
      <c r="E1092" s="182"/>
      <c r="F1092" s="183"/>
    </row>
    <row r="1093" spans="4:6" x14ac:dyDescent="0.3">
      <c r="D1093" s="181"/>
      <c r="E1093" s="182"/>
      <c r="F1093" s="183"/>
    </row>
    <row r="1094" spans="4:6" x14ac:dyDescent="0.3">
      <c r="D1094" s="181"/>
      <c r="E1094" s="182"/>
      <c r="F1094" s="183"/>
    </row>
    <row r="1095" spans="4:6" x14ac:dyDescent="0.3">
      <c r="D1095" s="181"/>
      <c r="E1095" s="182"/>
      <c r="F1095" s="183"/>
    </row>
    <row r="1096" spans="4:6" x14ac:dyDescent="0.3">
      <c r="D1096" s="181"/>
      <c r="E1096" s="182"/>
      <c r="F1096" s="183"/>
    </row>
    <row r="1097" spans="4:6" x14ac:dyDescent="0.3">
      <c r="D1097" s="181"/>
      <c r="E1097" s="182"/>
      <c r="F1097" s="183"/>
    </row>
    <row r="1098" spans="4:6" x14ac:dyDescent="0.3">
      <c r="D1098" s="181"/>
      <c r="E1098" s="182"/>
      <c r="F1098" s="183"/>
    </row>
    <row r="1099" spans="4:6" x14ac:dyDescent="0.3">
      <c r="D1099" s="181"/>
      <c r="E1099" s="182"/>
      <c r="F1099" s="183"/>
    </row>
    <row r="1100" spans="4:6" x14ac:dyDescent="0.3">
      <c r="D1100" s="181"/>
      <c r="E1100" s="182"/>
      <c r="F1100" s="183"/>
    </row>
    <row r="1101" spans="4:6" x14ac:dyDescent="0.3">
      <c r="D1101" s="181"/>
      <c r="E1101" s="182"/>
      <c r="F1101" s="183"/>
    </row>
    <row r="1102" spans="4:6" x14ac:dyDescent="0.3">
      <c r="D1102" s="181"/>
      <c r="E1102" s="182"/>
      <c r="F1102" s="183"/>
    </row>
    <row r="1103" spans="4:6" x14ac:dyDescent="0.3">
      <c r="D1103" s="181"/>
      <c r="E1103" s="182"/>
      <c r="F1103" s="183"/>
    </row>
    <row r="1104" spans="4:6" x14ac:dyDescent="0.3">
      <c r="D1104" s="181"/>
      <c r="E1104" s="182"/>
      <c r="F1104" s="183"/>
    </row>
    <row r="1105" spans="4:6" x14ac:dyDescent="0.3">
      <c r="D1105" s="181"/>
      <c r="E1105" s="182"/>
      <c r="F1105" s="183"/>
    </row>
    <row r="1106" spans="4:6" x14ac:dyDescent="0.3">
      <c r="D1106" s="181"/>
      <c r="E1106" s="182"/>
      <c r="F1106" s="183"/>
    </row>
    <row r="1107" spans="4:6" x14ac:dyDescent="0.3">
      <c r="D1107" s="181"/>
      <c r="E1107" s="182"/>
      <c r="F1107" s="183"/>
    </row>
    <row r="1108" spans="4:6" x14ac:dyDescent="0.3">
      <c r="D1108" s="181"/>
      <c r="E1108" s="182"/>
      <c r="F1108" s="183"/>
    </row>
    <row r="1109" spans="4:6" x14ac:dyDescent="0.3">
      <c r="D1109" s="181"/>
      <c r="E1109" s="182"/>
      <c r="F1109" s="183"/>
    </row>
    <row r="1110" spans="4:6" x14ac:dyDescent="0.3">
      <c r="D1110" s="181"/>
      <c r="E1110" s="182"/>
      <c r="F1110" s="183"/>
    </row>
    <row r="1111" spans="4:6" x14ac:dyDescent="0.3">
      <c r="D1111" s="181"/>
      <c r="E1111" s="182"/>
      <c r="F1111" s="183"/>
    </row>
    <row r="1112" spans="4:6" x14ac:dyDescent="0.3">
      <c r="D1112" s="181"/>
      <c r="E1112" s="182"/>
      <c r="F1112" s="183"/>
    </row>
    <row r="1113" spans="4:6" x14ac:dyDescent="0.3">
      <c r="D1113" s="181"/>
      <c r="E1113" s="182"/>
      <c r="F1113" s="183"/>
    </row>
    <row r="1114" spans="4:6" x14ac:dyDescent="0.3">
      <c r="D1114" s="181"/>
      <c r="E1114" s="182"/>
      <c r="F1114" s="183"/>
    </row>
    <row r="1115" spans="4:6" x14ac:dyDescent="0.3">
      <c r="D1115" s="181"/>
      <c r="E1115" s="182"/>
      <c r="F1115" s="183"/>
    </row>
    <row r="1116" spans="4:6" x14ac:dyDescent="0.3">
      <c r="D1116" s="181"/>
      <c r="E1116" s="182"/>
      <c r="F1116" s="183"/>
    </row>
    <row r="1117" spans="4:6" x14ac:dyDescent="0.3">
      <c r="D1117" s="181"/>
      <c r="E1117" s="182"/>
      <c r="F1117" s="183"/>
    </row>
    <row r="1118" spans="4:6" x14ac:dyDescent="0.3">
      <c r="D1118" s="181"/>
      <c r="E1118" s="182"/>
      <c r="F1118" s="183"/>
    </row>
    <row r="1119" spans="4:6" x14ac:dyDescent="0.3">
      <c r="D1119" s="181"/>
      <c r="E1119" s="182"/>
      <c r="F1119" s="183"/>
    </row>
    <row r="1120" spans="4:6" x14ac:dyDescent="0.3">
      <c r="D1120" s="181"/>
      <c r="E1120" s="182"/>
      <c r="F1120" s="183"/>
    </row>
    <row r="1121" spans="4:6" x14ac:dyDescent="0.3">
      <c r="D1121" s="181"/>
      <c r="E1121" s="182"/>
      <c r="F1121" s="183"/>
    </row>
    <row r="1122" spans="4:6" x14ac:dyDescent="0.3">
      <c r="D1122" s="181"/>
      <c r="E1122" s="182"/>
      <c r="F1122" s="183"/>
    </row>
    <row r="1123" spans="4:6" x14ac:dyDescent="0.3">
      <c r="D1123" s="181"/>
      <c r="E1123" s="182"/>
      <c r="F1123" s="183"/>
    </row>
    <row r="1124" spans="4:6" x14ac:dyDescent="0.3">
      <c r="D1124" s="181"/>
      <c r="E1124" s="182"/>
      <c r="F1124" s="183"/>
    </row>
    <row r="1125" spans="4:6" x14ac:dyDescent="0.3">
      <c r="D1125" s="181"/>
      <c r="E1125" s="182"/>
      <c r="F1125" s="183"/>
    </row>
    <row r="1126" spans="4:6" x14ac:dyDescent="0.3">
      <c r="D1126" s="181"/>
      <c r="E1126" s="182"/>
      <c r="F1126" s="183"/>
    </row>
    <row r="1127" spans="4:6" x14ac:dyDescent="0.3">
      <c r="D1127" s="181"/>
      <c r="E1127" s="182"/>
      <c r="F1127" s="183"/>
    </row>
    <row r="1128" spans="4:6" x14ac:dyDescent="0.3">
      <c r="D1128" s="181"/>
      <c r="E1128" s="182"/>
      <c r="F1128" s="183"/>
    </row>
    <row r="1129" spans="4:6" x14ac:dyDescent="0.3">
      <c r="D1129" s="181"/>
      <c r="E1129" s="182"/>
      <c r="F1129" s="183"/>
    </row>
    <row r="1130" spans="4:6" x14ac:dyDescent="0.3">
      <c r="D1130" s="181"/>
      <c r="E1130" s="182"/>
      <c r="F1130" s="183"/>
    </row>
    <row r="1131" spans="4:6" x14ac:dyDescent="0.3">
      <c r="D1131" s="181"/>
      <c r="E1131" s="182"/>
      <c r="F1131" s="183"/>
    </row>
    <row r="1132" spans="4:6" x14ac:dyDescent="0.3">
      <c r="D1132" s="181"/>
      <c r="E1132" s="182"/>
      <c r="F1132" s="183"/>
    </row>
    <row r="1133" spans="4:6" x14ac:dyDescent="0.3">
      <c r="D1133" s="181"/>
      <c r="E1133" s="182"/>
      <c r="F1133" s="183"/>
    </row>
    <row r="1134" spans="4:6" x14ac:dyDescent="0.3">
      <c r="D1134" s="181"/>
      <c r="E1134" s="182"/>
      <c r="F1134" s="183"/>
    </row>
    <row r="1135" spans="4:6" x14ac:dyDescent="0.3">
      <c r="D1135" s="181"/>
      <c r="E1135" s="182"/>
      <c r="F1135" s="183"/>
    </row>
    <row r="1136" spans="4:6" x14ac:dyDescent="0.3">
      <c r="D1136" s="181"/>
      <c r="E1136" s="182"/>
      <c r="F1136" s="183"/>
    </row>
    <row r="1137" spans="4:6" x14ac:dyDescent="0.3">
      <c r="D1137" s="181"/>
      <c r="E1137" s="182"/>
      <c r="F1137" s="183"/>
    </row>
    <row r="1138" spans="4:6" x14ac:dyDescent="0.3">
      <c r="D1138" s="181"/>
      <c r="E1138" s="182"/>
      <c r="F1138" s="183"/>
    </row>
    <row r="1139" spans="4:6" x14ac:dyDescent="0.3">
      <c r="D1139" s="181"/>
      <c r="E1139" s="182"/>
      <c r="F1139" s="183"/>
    </row>
    <row r="1140" spans="4:6" x14ac:dyDescent="0.3">
      <c r="D1140" s="181"/>
      <c r="E1140" s="182"/>
      <c r="F1140" s="183"/>
    </row>
    <row r="1141" spans="4:6" x14ac:dyDescent="0.3">
      <c r="D1141" s="181"/>
      <c r="E1141" s="182"/>
      <c r="F1141" s="183"/>
    </row>
    <row r="1142" spans="4:6" x14ac:dyDescent="0.3">
      <c r="D1142" s="181"/>
      <c r="E1142" s="182"/>
      <c r="F1142" s="183"/>
    </row>
    <row r="1143" spans="4:6" x14ac:dyDescent="0.3">
      <c r="D1143" s="181"/>
      <c r="E1143" s="182"/>
      <c r="F1143" s="183"/>
    </row>
    <row r="1144" spans="4:6" x14ac:dyDescent="0.3">
      <c r="D1144" s="181"/>
      <c r="E1144" s="182"/>
      <c r="F1144" s="183"/>
    </row>
    <row r="1145" spans="4:6" x14ac:dyDescent="0.3">
      <c r="D1145" s="181"/>
      <c r="E1145" s="182"/>
      <c r="F1145" s="183"/>
    </row>
    <row r="1146" spans="4:6" x14ac:dyDescent="0.3">
      <c r="D1146" s="181"/>
      <c r="E1146" s="182"/>
      <c r="F1146" s="183"/>
    </row>
    <row r="1147" spans="4:6" x14ac:dyDescent="0.3">
      <c r="D1147" s="181"/>
      <c r="E1147" s="182"/>
      <c r="F1147" s="183"/>
    </row>
    <row r="1148" spans="4:6" x14ac:dyDescent="0.3">
      <c r="D1148" s="181"/>
      <c r="E1148" s="182"/>
      <c r="F1148" s="183"/>
    </row>
    <row r="1149" spans="4:6" x14ac:dyDescent="0.3">
      <c r="D1149" s="181"/>
      <c r="E1149" s="182"/>
      <c r="F1149" s="183"/>
    </row>
    <row r="1150" spans="4:6" x14ac:dyDescent="0.3">
      <c r="D1150" s="181"/>
      <c r="E1150" s="182"/>
      <c r="F1150" s="183"/>
    </row>
    <row r="1151" spans="4:6" x14ac:dyDescent="0.3">
      <c r="D1151" s="181"/>
      <c r="E1151" s="182"/>
      <c r="F1151" s="183"/>
    </row>
    <row r="1152" spans="4:6" x14ac:dyDescent="0.3">
      <c r="D1152" s="181"/>
      <c r="E1152" s="182"/>
      <c r="F1152" s="183"/>
    </row>
    <row r="1153" spans="4:6" x14ac:dyDescent="0.3">
      <c r="D1153" s="181"/>
      <c r="E1153" s="182"/>
      <c r="F1153" s="183"/>
    </row>
    <row r="1154" spans="4:6" x14ac:dyDescent="0.3">
      <c r="D1154" s="181"/>
      <c r="E1154" s="182"/>
      <c r="F1154" s="183"/>
    </row>
    <row r="1155" spans="4:6" x14ac:dyDescent="0.3">
      <c r="D1155" s="181"/>
      <c r="E1155" s="182"/>
      <c r="F1155" s="183"/>
    </row>
    <row r="1156" spans="4:6" x14ac:dyDescent="0.3">
      <c r="D1156" s="181"/>
      <c r="E1156" s="182"/>
      <c r="F1156" s="183"/>
    </row>
    <row r="1157" spans="4:6" x14ac:dyDescent="0.3">
      <c r="D1157" s="181"/>
      <c r="E1157" s="182"/>
      <c r="F1157" s="183"/>
    </row>
    <row r="1158" spans="4:6" x14ac:dyDescent="0.3">
      <c r="D1158" s="181"/>
      <c r="E1158" s="182"/>
      <c r="F1158" s="183"/>
    </row>
    <row r="1159" spans="4:6" x14ac:dyDescent="0.3">
      <c r="D1159" s="181"/>
      <c r="E1159" s="182"/>
      <c r="F1159" s="183"/>
    </row>
    <row r="1160" spans="4:6" x14ac:dyDescent="0.3">
      <c r="D1160" s="181"/>
      <c r="E1160" s="182"/>
      <c r="F1160" s="183"/>
    </row>
    <row r="1161" spans="4:6" x14ac:dyDescent="0.3">
      <c r="D1161" s="181"/>
      <c r="E1161" s="182"/>
      <c r="F1161" s="183"/>
    </row>
    <row r="1162" spans="4:6" x14ac:dyDescent="0.3">
      <c r="D1162" s="181"/>
      <c r="E1162" s="182"/>
      <c r="F1162" s="183"/>
    </row>
    <row r="1163" spans="4:6" x14ac:dyDescent="0.3">
      <c r="D1163" s="181"/>
      <c r="E1163" s="182"/>
      <c r="F1163" s="183"/>
    </row>
    <row r="1164" spans="4:6" x14ac:dyDescent="0.3">
      <c r="D1164" s="181"/>
      <c r="E1164" s="182"/>
      <c r="F1164" s="183"/>
    </row>
    <row r="1165" spans="4:6" x14ac:dyDescent="0.3">
      <c r="D1165" s="181"/>
      <c r="E1165" s="182"/>
      <c r="F1165" s="183"/>
    </row>
    <row r="1166" spans="4:6" x14ac:dyDescent="0.3">
      <c r="D1166" s="181"/>
      <c r="E1166" s="182"/>
      <c r="F1166" s="183"/>
    </row>
    <row r="1167" spans="4:6" x14ac:dyDescent="0.3">
      <c r="D1167" s="181"/>
      <c r="E1167" s="182"/>
      <c r="F1167" s="183"/>
    </row>
    <row r="1168" spans="4:6" x14ac:dyDescent="0.3">
      <c r="D1168" s="181"/>
      <c r="E1168" s="182"/>
      <c r="F1168" s="183"/>
    </row>
    <row r="1169" spans="4:6" x14ac:dyDescent="0.3">
      <c r="D1169" s="181"/>
      <c r="E1169" s="182"/>
      <c r="F1169" s="183"/>
    </row>
    <row r="1170" spans="4:6" x14ac:dyDescent="0.3">
      <c r="D1170" s="181"/>
      <c r="E1170" s="182"/>
      <c r="F1170" s="183"/>
    </row>
    <row r="1171" spans="4:6" x14ac:dyDescent="0.3">
      <c r="D1171" s="181"/>
      <c r="E1171" s="182"/>
      <c r="F1171" s="183"/>
    </row>
    <row r="1172" spans="4:6" x14ac:dyDescent="0.3">
      <c r="D1172" s="181"/>
      <c r="E1172" s="182"/>
      <c r="F1172" s="183"/>
    </row>
    <row r="1173" spans="4:6" x14ac:dyDescent="0.3">
      <c r="D1173" s="181"/>
      <c r="E1173" s="182"/>
      <c r="F1173" s="183"/>
    </row>
    <row r="1174" spans="4:6" x14ac:dyDescent="0.3">
      <c r="D1174" s="181"/>
      <c r="E1174" s="182"/>
      <c r="F1174" s="183"/>
    </row>
    <row r="1175" spans="4:6" x14ac:dyDescent="0.3">
      <c r="D1175" s="181"/>
      <c r="E1175" s="182"/>
      <c r="F1175" s="183"/>
    </row>
    <row r="1176" spans="4:6" x14ac:dyDescent="0.3">
      <c r="D1176" s="181"/>
      <c r="E1176" s="182"/>
      <c r="F1176" s="183"/>
    </row>
    <row r="1177" spans="4:6" x14ac:dyDescent="0.3">
      <c r="D1177" s="181"/>
      <c r="E1177" s="182"/>
      <c r="F1177" s="183"/>
    </row>
    <row r="1178" spans="4:6" x14ac:dyDescent="0.3">
      <c r="D1178" s="181"/>
      <c r="E1178" s="182"/>
      <c r="F1178" s="183"/>
    </row>
    <row r="1179" spans="4:6" x14ac:dyDescent="0.3">
      <c r="D1179" s="181"/>
      <c r="E1179" s="182"/>
      <c r="F1179" s="183"/>
    </row>
    <row r="1180" spans="4:6" x14ac:dyDescent="0.3">
      <c r="D1180" s="181"/>
      <c r="E1180" s="182"/>
      <c r="F1180" s="183"/>
    </row>
    <row r="1181" spans="4:6" x14ac:dyDescent="0.3">
      <c r="D1181" s="181"/>
      <c r="E1181" s="182"/>
      <c r="F1181" s="183"/>
    </row>
    <row r="1182" spans="4:6" x14ac:dyDescent="0.3">
      <c r="D1182" s="181"/>
      <c r="E1182" s="182"/>
      <c r="F1182" s="183"/>
    </row>
    <row r="1183" spans="4:6" x14ac:dyDescent="0.3">
      <c r="D1183" s="181"/>
      <c r="E1183" s="182"/>
      <c r="F1183" s="183"/>
    </row>
    <row r="1184" spans="4:6" x14ac:dyDescent="0.3">
      <c r="D1184" s="181"/>
      <c r="E1184" s="182"/>
      <c r="F1184" s="183"/>
    </row>
    <row r="1185" spans="4:6" x14ac:dyDescent="0.3">
      <c r="D1185" s="181"/>
      <c r="E1185" s="182"/>
      <c r="F1185" s="183"/>
    </row>
    <row r="1186" spans="4:6" x14ac:dyDescent="0.3">
      <c r="D1186" s="181"/>
      <c r="E1186" s="182"/>
      <c r="F1186" s="183"/>
    </row>
    <row r="1187" spans="4:6" x14ac:dyDescent="0.3">
      <c r="D1187" s="181"/>
      <c r="E1187" s="182"/>
      <c r="F1187" s="183"/>
    </row>
    <row r="1188" spans="4:6" x14ac:dyDescent="0.3">
      <c r="D1188" s="181"/>
      <c r="E1188" s="182"/>
      <c r="F1188" s="183"/>
    </row>
    <row r="1189" spans="4:6" x14ac:dyDescent="0.3">
      <c r="D1189" s="181"/>
      <c r="E1189" s="182"/>
      <c r="F1189" s="183"/>
    </row>
    <row r="1190" spans="4:6" x14ac:dyDescent="0.3">
      <c r="D1190" s="181"/>
      <c r="E1190" s="182"/>
      <c r="F1190" s="183"/>
    </row>
    <row r="1191" spans="4:6" x14ac:dyDescent="0.3">
      <c r="D1191" s="181"/>
      <c r="E1191" s="182"/>
      <c r="F1191" s="183"/>
    </row>
    <row r="1192" spans="4:6" x14ac:dyDescent="0.3">
      <c r="D1192" s="181"/>
      <c r="E1192" s="182"/>
      <c r="F1192" s="183"/>
    </row>
    <row r="1193" spans="4:6" x14ac:dyDescent="0.3">
      <c r="D1193" s="181"/>
      <c r="E1193" s="182"/>
      <c r="F1193" s="183"/>
    </row>
    <row r="1194" spans="4:6" x14ac:dyDescent="0.3">
      <c r="D1194" s="181"/>
      <c r="E1194" s="182"/>
      <c r="F1194" s="183"/>
    </row>
    <row r="1195" spans="4:6" x14ac:dyDescent="0.3">
      <c r="D1195" s="181"/>
      <c r="E1195" s="182"/>
      <c r="F1195" s="183"/>
    </row>
    <row r="1196" spans="4:6" x14ac:dyDescent="0.3">
      <c r="D1196" s="181"/>
      <c r="E1196" s="182"/>
      <c r="F1196" s="183"/>
    </row>
    <row r="1197" spans="4:6" x14ac:dyDescent="0.3">
      <c r="D1197" s="181"/>
      <c r="E1197" s="182"/>
      <c r="F1197" s="183"/>
    </row>
    <row r="1198" spans="4:6" x14ac:dyDescent="0.3">
      <c r="D1198" s="181"/>
      <c r="E1198" s="182"/>
      <c r="F1198" s="183"/>
    </row>
    <row r="1199" spans="4:6" x14ac:dyDescent="0.3">
      <c r="D1199" s="181"/>
      <c r="E1199" s="182"/>
      <c r="F1199" s="183"/>
    </row>
    <row r="1200" spans="4:6" x14ac:dyDescent="0.3">
      <c r="D1200" s="181"/>
      <c r="E1200" s="182"/>
      <c r="F1200" s="183"/>
    </row>
    <row r="1201" spans="4:6" x14ac:dyDescent="0.3">
      <c r="D1201" s="181"/>
      <c r="E1201" s="182"/>
      <c r="F1201" s="183"/>
    </row>
    <row r="1202" spans="4:6" x14ac:dyDescent="0.3">
      <c r="D1202" s="181"/>
      <c r="E1202" s="182"/>
      <c r="F1202" s="183"/>
    </row>
    <row r="1203" spans="4:6" x14ac:dyDescent="0.3">
      <c r="D1203" s="181"/>
      <c r="E1203" s="182"/>
      <c r="F1203" s="183"/>
    </row>
    <row r="1204" spans="4:6" x14ac:dyDescent="0.3">
      <c r="D1204" s="181"/>
      <c r="E1204" s="182"/>
      <c r="F1204" s="183"/>
    </row>
    <row r="1205" spans="4:6" x14ac:dyDescent="0.3">
      <c r="D1205" s="181"/>
      <c r="E1205" s="182"/>
      <c r="F1205" s="183"/>
    </row>
    <row r="1206" spans="4:6" x14ac:dyDescent="0.3">
      <c r="D1206" s="181"/>
      <c r="E1206" s="182"/>
      <c r="F1206" s="183"/>
    </row>
    <row r="1207" spans="4:6" x14ac:dyDescent="0.3">
      <c r="D1207" s="181"/>
      <c r="E1207" s="182"/>
      <c r="F1207" s="183"/>
    </row>
    <row r="1208" spans="4:6" x14ac:dyDescent="0.3">
      <c r="D1208" s="181"/>
      <c r="E1208" s="182"/>
      <c r="F1208" s="183"/>
    </row>
    <row r="1209" spans="4:6" x14ac:dyDescent="0.3">
      <c r="D1209" s="181"/>
      <c r="E1209" s="182"/>
      <c r="F1209" s="183"/>
    </row>
    <row r="1210" spans="4:6" x14ac:dyDescent="0.3">
      <c r="D1210" s="181"/>
      <c r="E1210" s="182"/>
      <c r="F1210" s="183"/>
    </row>
    <row r="1211" spans="4:6" x14ac:dyDescent="0.3">
      <c r="D1211" s="181"/>
      <c r="E1211" s="182"/>
      <c r="F1211" s="183"/>
    </row>
    <row r="1212" spans="4:6" x14ac:dyDescent="0.3">
      <c r="D1212" s="181"/>
      <c r="E1212" s="182"/>
      <c r="F1212" s="183"/>
    </row>
    <row r="1213" spans="4:6" x14ac:dyDescent="0.3">
      <c r="D1213" s="181"/>
      <c r="E1213" s="182"/>
      <c r="F1213" s="183"/>
    </row>
    <row r="1214" spans="4:6" x14ac:dyDescent="0.3">
      <c r="D1214" s="181"/>
      <c r="E1214" s="182"/>
      <c r="F1214" s="183"/>
    </row>
    <row r="1215" spans="4:6" x14ac:dyDescent="0.3">
      <c r="D1215" s="181"/>
      <c r="E1215" s="182"/>
      <c r="F1215" s="183"/>
    </row>
    <row r="1216" spans="4:6" x14ac:dyDescent="0.3">
      <c r="D1216" s="181"/>
      <c r="E1216" s="182"/>
      <c r="F1216" s="183"/>
    </row>
    <row r="1217" spans="4:6" x14ac:dyDescent="0.3">
      <c r="D1217" s="181"/>
      <c r="E1217" s="182"/>
      <c r="F1217" s="183"/>
    </row>
    <row r="1218" spans="4:6" x14ac:dyDescent="0.3">
      <c r="D1218" s="181"/>
      <c r="E1218" s="182"/>
      <c r="F1218" s="183"/>
    </row>
    <row r="1219" spans="4:6" x14ac:dyDescent="0.3">
      <c r="D1219" s="181"/>
      <c r="E1219" s="182"/>
      <c r="F1219" s="183"/>
    </row>
    <row r="1220" spans="4:6" x14ac:dyDescent="0.3">
      <c r="D1220" s="181"/>
      <c r="E1220" s="182"/>
      <c r="F1220" s="183"/>
    </row>
    <row r="1221" spans="4:6" x14ac:dyDescent="0.3">
      <c r="D1221" s="181"/>
      <c r="E1221" s="182"/>
      <c r="F1221" s="183"/>
    </row>
    <row r="1222" spans="4:6" x14ac:dyDescent="0.3">
      <c r="D1222" s="181"/>
      <c r="E1222" s="182"/>
      <c r="F1222" s="183"/>
    </row>
    <row r="1223" spans="4:6" x14ac:dyDescent="0.3">
      <c r="D1223" s="181"/>
      <c r="E1223" s="182"/>
      <c r="F1223" s="183"/>
    </row>
    <row r="1224" spans="4:6" x14ac:dyDescent="0.3">
      <c r="D1224" s="181"/>
      <c r="E1224" s="182"/>
      <c r="F1224" s="183"/>
    </row>
    <row r="1225" spans="4:6" x14ac:dyDescent="0.3">
      <c r="D1225" s="181"/>
      <c r="E1225" s="182"/>
      <c r="F1225" s="183"/>
    </row>
    <row r="1226" spans="4:6" x14ac:dyDescent="0.3">
      <c r="D1226" s="181"/>
      <c r="E1226" s="182"/>
      <c r="F1226" s="183"/>
    </row>
    <row r="1227" spans="4:6" x14ac:dyDescent="0.3">
      <c r="D1227" s="181"/>
      <c r="E1227" s="182"/>
      <c r="F1227" s="183"/>
    </row>
    <row r="1228" spans="4:6" x14ac:dyDescent="0.3">
      <c r="D1228" s="181"/>
      <c r="E1228" s="182"/>
      <c r="F1228" s="183"/>
    </row>
    <row r="1229" spans="4:6" x14ac:dyDescent="0.3">
      <c r="D1229" s="181"/>
      <c r="E1229" s="182"/>
      <c r="F1229" s="183"/>
    </row>
    <row r="1230" spans="4:6" x14ac:dyDescent="0.3">
      <c r="D1230" s="181"/>
      <c r="E1230" s="182"/>
      <c r="F1230" s="183"/>
    </row>
    <row r="1231" spans="4:6" x14ac:dyDescent="0.3">
      <c r="D1231" s="181"/>
      <c r="E1231" s="182"/>
      <c r="F1231" s="183"/>
    </row>
    <row r="1232" spans="4:6" x14ac:dyDescent="0.3">
      <c r="D1232" s="181"/>
      <c r="E1232" s="182"/>
      <c r="F1232" s="183"/>
    </row>
    <row r="1233" spans="4:6" x14ac:dyDescent="0.3">
      <c r="D1233" s="181"/>
      <c r="E1233" s="182"/>
      <c r="F1233" s="183"/>
    </row>
    <row r="1234" spans="4:6" x14ac:dyDescent="0.3">
      <c r="D1234" s="181"/>
      <c r="E1234" s="182"/>
      <c r="F1234" s="183"/>
    </row>
    <row r="1235" spans="4:6" x14ac:dyDescent="0.3">
      <c r="D1235" s="181"/>
      <c r="E1235" s="182"/>
      <c r="F1235" s="183"/>
    </row>
    <row r="1236" spans="4:6" x14ac:dyDescent="0.3">
      <c r="D1236" s="181"/>
      <c r="E1236" s="182"/>
      <c r="F1236" s="183"/>
    </row>
    <row r="1237" spans="4:6" x14ac:dyDescent="0.3">
      <c r="D1237" s="181"/>
      <c r="E1237" s="182"/>
      <c r="F1237" s="183"/>
    </row>
    <row r="1238" spans="4:6" x14ac:dyDescent="0.3">
      <c r="D1238" s="181"/>
      <c r="E1238" s="182"/>
      <c r="F1238" s="183"/>
    </row>
    <row r="1239" spans="4:6" x14ac:dyDescent="0.3">
      <c r="D1239" s="181"/>
      <c r="E1239" s="182"/>
      <c r="F1239" s="183"/>
    </row>
    <row r="1240" spans="4:6" x14ac:dyDescent="0.3">
      <c r="D1240" s="181"/>
      <c r="E1240" s="182"/>
      <c r="F1240" s="183"/>
    </row>
    <row r="1241" spans="4:6" x14ac:dyDescent="0.3">
      <c r="D1241" s="181"/>
      <c r="E1241" s="182"/>
      <c r="F1241" s="183"/>
    </row>
    <row r="1242" spans="4:6" x14ac:dyDescent="0.3">
      <c r="D1242" s="181"/>
      <c r="E1242" s="182"/>
      <c r="F1242" s="183"/>
    </row>
    <row r="1243" spans="4:6" x14ac:dyDescent="0.3">
      <c r="D1243" s="181"/>
      <c r="E1243" s="182"/>
      <c r="F1243" s="183"/>
    </row>
    <row r="1244" spans="4:6" x14ac:dyDescent="0.3">
      <c r="D1244" s="181"/>
      <c r="E1244" s="182"/>
      <c r="F1244" s="183"/>
    </row>
    <row r="1245" spans="4:6" x14ac:dyDescent="0.3">
      <c r="D1245" s="181"/>
      <c r="E1245" s="182"/>
      <c r="F1245" s="183"/>
    </row>
    <row r="1246" spans="4:6" x14ac:dyDescent="0.3">
      <c r="D1246" s="181"/>
      <c r="E1246" s="182"/>
      <c r="F1246" s="183"/>
    </row>
    <row r="1247" spans="4:6" x14ac:dyDescent="0.3">
      <c r="D1247" s="181"/>
      <c r="E1247" s="182"/>
      <c r="F1247" s="183"/>
    </row>
    <row r="1248" spans="4:6" x14ac:dyDescent="0.3">
      <c r="D1248" s="181"/>
      <c r="E1248" s="182"/>
      <c r="F1248" s="183"/>
    </row>
    <row r="1249" spans="4:6" x14ac:dyDescent="0.3">
      <c r="D1249" s="181"/>
      <c r="E1249" s="182"/>
      <c r="F1249" s="183"/>
    </row>
    <row r="1250" spans="4:6" x14ac:dyDescent="0.3">
      <c r="D1250" s="181"/>
      <c r="E1250" s="182"/>
      <c r="F1250" s="183"/>
    </row>
    <row r="1251" spans="4:6" x14ac:dyDescent="0.3">
      <c r="D1251" s="181"/>
      <c r="E1251" s="182"/>
      <c r="F1251" s="183"/>
    </row>
    <row r="1252" spans="4:6" x14ac:dyDescent="0.3">
      <c r="D1252" s="181"/>
      <c r="E1252" s="182"/>
      <c r="F1252" s="183"/>
    </row>
    <row r="1253" spans="4:6" x14ac:dyDescent="0.3">
      <c r="D1253" s="181"/>
      <c r="E1253" s="182"/>
      <c r="F1253" s="183"/>
    </row>
    <row r="1254" spans="4:6" x14ac:dyDescent="0.3">
      <c r="D1254" s="181"/>
      <c r="E1254" s="182"/>
      <c r="F1254" s="183"/>
    </row>
    <row r="1255" spans="4:6" x14ac:dyDescent="0.3">
      <c r="D1255" s="181"/>
      <c r="E1255" s="182"/>
      <c r="F1255" s="183"/>
    </row>
    <row r="1256" spans="4:6" x14ac:dyDescent="0.3">
      <c r="D1256" s="181"/>
      <c r="E1256" s="182"/>
      <c r="F1256" s="183"/>
    </row>
    <row r="1257" spans="4:6" x14ac:dyDescent="0.3">
      <c r="D1257" s="181"/>
      <c r="E1257" s="182"/>
      <c r="F1257" s="183"/>
    </row>
    <row r="1258" spans="4:6" x14ac:dyDescent="0.3">
      <c r="D1258" s="181"/>
      <c r="E1258" s="182"/>
      <c r="F1258" s="183"/>
    </row>
    <row r="1259" spans="4:6" x14ac:dyDescent="0.3">
      <c r="D1259" s="181"/>
      <c r="E1259" s="182"/>
      <c r="F1259" s="183"/>
    </row>
    <row r="1260" spans="4:6" x14ac:dyDescent="0.3">
      <c r="D1260" s="181"/>
      <c r="E1260" s="182"/>
      <c r="F1260" s="183"/>
    </row>
    <row r="1261" spans="4:6" x14ac:dyDescent="0.3">
      <c r="D1261" s="181"/>
      <c r="E1261" s="182"/>
      <c r="F1261" s="183"/>
    </row>
    <row r="1262" spans="4:6" x14ac:dyDescent="0.3">
      <c r="D1262" s="181"/>
      <c r="E1262" s="182"/>
      <c r="F1262" s="183"/>
    </row>
    <row r="1263" spans="4:6" x14ac:dyDescent="0.3">
      <c r="D1263" s="181"/>
      <c r="E1263" s="182"/>
      <c r="F1263" s="183"/>
    </row>
    <row r="1264" spans="4:6" x14ac:dyDescent="0.3">
      <c r="D1264" s="181"/>
      <c r="E1264" s="182"/>
      <c r="F1264" s="183"/>
    </row>
    <row r="1265" spans="4:6" x14ac:dyDescent="0.3">
      <c r="D1265" s="181"/>
      <c r="E1265" s="182"/>
      <c r="F1265" s="183"/>
    </row>
    <row r="1266" spans="4:6" x14ac:dyDescent="0.3">
      <c r="D1266" s="181"/>
      <c r="E1266" s="182"/>
      <c r="F1266" s="183"/>
    </row>
    <row r="1267" spans="4:6" x14ac:dyDescent="0.3">
      <c r="D1267" s="181"/>
      <c r="E1267" s="182"/>
      <c r="F1267" s="183"/>
    </row>
    <row r="1268" spans="4:6" x14ac:dyDescent="0.3">
      <c r="D1268" s="181"/>
      <c r="E1268" s="182"/>
      <c r="F1268" s="183"/>
    </row>
    <row r="1269" spans="4:6" x14ac:dyDescent="0.3">
      <c r="D1269" s="181"/>
      <c r="E1269" s="182"/>
      <c r="F1269" s="183"/>
    </row>
    <row r="1270" spans="4:6" x14ac:dyDescent="0.3">
      <c r="D1270" s="181"/>
      <c r="E1270" s="182"/>
      <c r="F1270" s="183"/>
    </row>
    <row r="1271" spans="4:6" x14ac:dyDescent="0.3">
      <c r="D1271" s="181"/>
      <c r="E1271" s="182"/>
      <c r="F1271" s="183"/>
    </row>
    <row r="1272" spans="4:6" x14ac:dyDescent="0.3">
      <c r="D1272" s="181"/>
      <c r="E1272" s="182"/>
      <c r="F1272" s="183"/>
    </row>
    <row r="1273" spans="4:6" x14ac:dyDescent="0.3">
      <c r="D1273" s="181"/>
      <c r="E1273" s="182"/>
      <c r="F1273" s="183"/>
    </row>
    <row r="1274" spans="4:6" x14ac:dyDescent="0.3">
      <c r="D1274" s="181"/>
      <c r="E1274" s="182"/>
      <c r="F1274" s="183"/>
    </row>
    <row r="1275" spans="4:6" x14ac:dyDescent="0.3">
      <c r="D1275" s="181"/>
      <c r="E1275" s="182"/>
      <c r="F1275" s="183"/>
    </row>
    <row r="1276" spans="4:6" x14ac:dyDescent="0.3">
      <c r="D1276" s="181"/>
      <c r="E1276" s="182"/>
      <c r="F1276" s="183"/>
    </row>
    <row r="1277" spans="4:6" x14ac:dyDescent="0.3">
      <c r="D1277" s="181"/>
      <c r="E1277" s="182"/>
      <c r="F1277" s="183"/>
    </row>
    <row r="1278" spans="4:6" x14ac:dyDescent="0.3">
      <c r="D1278" s="181"/>
      <c r="E1278" s="182"/>
      <c r="F1278" s="183"/>
    </row>
    <row r="1279" spans="4:6" x14ac:dyDescent="0.3">
      <c r="D1279" s="181"/>
      <c r="E1279" s="182"/>
      <c r="F1279" s="183"/>
    </row>
    <row r="1280" spans="4:6" x14ac:dyDescent="0.3">
      <c r="D1280" s="181"/>
      <c r="E1280" s="182"/>
      <c r="F1280" s="183"/>
    </row>
    <row r="1281" spans="4:6" x14ac:dyDescent="0.3">
      <c r="D1281" s="181"/>
      <c r="E1281" s="182"/>
      <c r="F1281" s="183"/>
    </row>
    <row r="1282" spans="4:6" x14ac:dyDescent="0.3">
      <c r="D1282" s="181"/>
      <c r="E1282" s="182"/>
      <c r="F1282" s="183"/>
    </row>
    <row r="1283" spans="4:6" x14ac:dyDescent="0.3">
      <c r="D1283" s="181"/>
      <c r="E1283" s="182"/>
      <c r="F1283" s="183"/>
    </row>
    <row r="1284" spans="4:6" x14ac:dyDescent="0.3">
      <c r="D1284" s="181"/>
      <c r="E1284" s="182"/>
      <c r="F1284" s="183"/>
    </row>
    <row r="1285" spans="4:6" x14ac:dyDescent="0.3">
      <c r="D1285" s="181"/>
      <c r="E1285" s="182"/>
      <c r="F1285" s="183"/>
    </row>
    <row r="1286" spans="4:6" x14ac:dyDescent="0.3">
      <c r="D1286" s="181"/>
      <c r="E1286" s="182"/>
      <c r="F1286" s="183"/>
    </row>
    <row r="1287" spans="4:6" x14ac:dyDescent="0.3">
      <c r="D1287" s="181"/>
      <c r="E1287" s="182"/>
      <c r="F1287" s="183"/>
    </row>
    <row r="1288" spans="4:6" x14ac:dyDescent="0.3">
      <c r="D1288" s="181"/>
      <c r="E1288" s="182"/>
      <c r="F1288" s="183"/>
    </row>
    <row r="1289" spans="4:6" x14ac:dyDescent="0.3">
      <c r="D1289" s="181"/>
      <c r="E1289" s="182"/>
      <c r="F1289" s="183"/>
    </row>
    <row r="1290" spans="4:6" x14ac:dyDescent="0.3">
      <c r="D1290" s="181"/>
      <c r="E1290" s="182"/>
      <c r="F1290" s="183"/>
    </row>
    <row r="1291" spans="4:6" x14ac:dyDescent="0.3">
      <c r="D1291" s="181"/>
      <c r="E1291" s="182"/>
      <c r="F1291" s="183"/>
    </row>
    <row r="1292" spans="4:6" x14ac:dyDescent="0.3">
      <c r="D1292" s="181"/>
      <c r="E1292" s="182"/>
      <c r="F1292" s="183"/>
    </row>
    <row r="1293" spans="4:6" x14ac:dyDescent="0.3">
      <c r="D1293" s="181"/>
      <c r="E1293" s="182"/>
      <c r="F1293" s="183"/>
    </row>
    <row r="1294" spans="4:6" x14ac:dyDescent="0.3">
      <c r="D1294" s="181"/>
      <c r="E1294" s="182"/>
      <c r="F1294" s="183"/>
    </row>
    <row r="1295" spans="4:6" x14ac:dyDescent="0.3">
      <c r="D1295" s="181"/>
      <c r="E1295" s="182"/>
      <c r="F1295" s="183"/>
    </row>
    <row r="1296" spans="4:6" x14ac:dyDescent="0.3">
      <c r="D1296" s="181"/>
      <c r="E1296" s="182"/>
      <c r="F1296" s="183"/>
    </row>
    <row r="1297" spans="4:6" x14ac:dyDescent="0.3">
      <c r="D1297" s="181"/>
      <c r="E1297" s="182"/>
      <c r="F1297" s="183"/>
    </row>
    <row r="1298" spans="4:6" x14ac:dyDescent="0.3">
      <c r="D1298" s="181"/>
      <c r="E1298" s="182"/>
      <c r="F1298" s="183"/>
    </row>
    <row r="1299" spans="4:6" x14ac:dyDescent="0.3">
      <c r="D1299" s="181"/>
      <c r="E1299" s="182"/>
      <c r="F1299" s="183"/>
    </row>
    <row r="1300" spans="4:6" x14ac:dyDescent="0.3">
      <c r="D1300" s="181"/>
      <c r="E1300" s="182"/>
      <c r="F1300" s="183"/>
    </row>
    <row r="1301" spans="4:6" x14ac:dyDescent="0.3">
      <c r="D1301" s="181"/>
      <c r="E1301" s="182"/>
      <c r="F1301" s="183"/>
    </row>
    <row r="1302" spans="4:6" x14ac:dyDescent="0.3">
      <c r="D1302" s="181"/>
      <c r="E1302" s="182"/>
      <c r="F1302" s="183"/>
    </row>
    <row r="1303" spans="4:6" x14ac:dyDescent="0.3">
      <c r="D1303" s="181"/>
      <c r="E1303" s="182"/>
      <c r="F1303" s="183"/>
    </row>
    <row r="1304" spans="4:6" x14ac:dyDescent="0.3">
      <c r="D1304" s="181"/>
      <c r="E1304" s="182"/>
      <c r="F1304" s="183"/>
    </row>
    <row r="1305" spans="4:6" x14ac:dyDescent="0.3">
      <c r="D1305" s="181"/>
      <c r="E1305" s="182"/>
      <c r="F1305" s="183"/>
    </row>
    <row r="1306" spans="4:6" x14ac:dyDescent="0.3">
      <c r="D1306" s="181"/>
      <c r="E1306" s="182"/>
      <c r="F1306" s="183"/>
    </row>
    <row r="1307" spans="4:6" x14ac:dyDescent="0.3">
      <c r="D1307" s="181"/>
      <c r="E1307" s="182"/>
      <c r="F1307" s="183"/>
    </row>
    <row r="1308" spans="4:6" x14ac:dyDescent="0.3">
      <c r="D1308" s="181"/>
      <c r="E1308" s="182"/>
      <c r="F1308" s="183"/>
    </row>
    <row r="1309" spans="4:6" x14ac:dyDescent="0.3">
      <c r="D1309" s="181"/>
      <c r="E1309" s="182"/>
      <c r="F1309" s="183"/>
    </row>
    <row r="1310" spans="4:6" x14ac:dyDescent="0.3">
      <c r="D1310" s="181"/>
      <c r="E1310" s="182"/>
      <c r="F1310" s="183"/>
    </row>
    <row r="1311" spans="4:6" x14ac:dyDescent="0.3">
      <c r="D1311" s="181"/>
      <c r="E1311" s="182"/>
      <c r="F1311" s="183"/>
    </row>
    <row r="1312" spans="4:6" x14ac:dyDescent="0.3">
      <c r="D1312" s="181"/>
      <c r="E1312" s="182"/>
      <c r="F1312" s="183"/>
    </row>
    <row r="1313" spans="4:6" x14ac:dyDescent="0.3">
      <c r="D1313" s="181"/>
      <c r="E1313" s="182"/>
      <c r="F1313" s="183"/>
    </row>
    <row r="1314" spans="4:6" x14ac:dyDescent="0.3">
      <c r="D1314" s="181"/>
      <c r="E1314" s="182"/>
      <c r="F1314" s="183"/>
    </row>
    <row r="1315" spans="4:6" x14ac:dyDescent="0.3">
      <c r="D1315" s="181"/>
      <c r="E1315" s="182"/>
      <c r="F1315" s="183"/>
    </row>
    <row r="1316" spans="4:6" x14ac:dyDescent="0.3">
      <c r="D1316" s="181"/>
      <c r="E1316" s="182"/>
      <c r="F1316" s="183"/>
    </row>
    <row r="1317" spans="4:6" x14ac:dyDescent="0.3">
      <c r="D1317" s="181"/>
      <c r="E1317" s="182"/>
      <c r="F1317" s="183"/>
    </row>
    <row r="1318" spans="4:6" x14ac:dyDescent="0.3">
      <c r="D1318" s="181"/>
      <c r="E1318" s="182"/>
      <c r="F1318" s="183"/>
    </row>
    <row r="1319" spans="4:6" x14ac:dyDescent="0.3">
      <c r="D1319" s="181"/>
      <c r="E1319" s="182"/>
      <c r="F1319" s="183"/>
    </row>
    <row r="1320" spans="4:6" x14ac:dyDescent="0.3">
      <c r="D1320" s="181"/>
      <c r="E1320" s="182"/>
      <c r="F1320" s="183"/>
    </row>
    <row r="1321" spans="4:6" x14ac:dyDescent="0.3">
      <c r="D1321" s="181"/>
      <c r="E1321" s="182"/>
      <c r="F1321" s="183"/>
    </row>
    <row r="1322" spans="4:6" x14ac:dyDescent="0.3">
      <c r="D1322" s="181"/>
      <c r="E1322" s="182"/>
      <c r="F1322" s="183"/>
    </row>
    <row r="1323" spans="4:6" x14ac:dyDescent="0.3">
      <c r="D1323" s="181"/>
      <c r="E1323" s="182"/>
      <c r="F1323" s="183"/>
    </row>
    <row r="1324" spans="4:6" x14ac:dyDescent="0.3">
      <c r="D1324" s="181"/>
      <c r="E1324" s="182"/>
      <c r="F1324" s="183"/>
    </row>
    <row r="1325" spans="4:6" x14ac:dyDescent="0.3">
      <c r="D1325" s="181"/>
      <c r="E1325" s="182"/>
      <c r="F1325" s="183"/>
    </row>
    <row r="1326" spans="4:6" x14ac:dyDescent="0.3">
      <c r="D1326" s="181"/>
      <c r="E1326" s="182"/>
      <c r="F1326" s="183"/>
    </row>
    <row r="1327" spans="4:6" x14ac:dyDescent="0.3">
      <c r="D1327" s="181"/>
      <c r="E1327" s="182"/>
      <c r="F1327" s="183"/>
    </row>
    <row r="1328" spans="4:6" x14ac:dyDescent="0.3">
      <c r="D1328" s="181"/>
      <c r="E1328" s="182"/>
      <c r="F1328" s="183"/>
    </row>
    <row r="1329" spans="4:6" x14ac:dyDescent="0.3">
      <c r="D1329" s="181"/>
      <c r="E1329" s="182"/>
      <c r="F1329" s="183"/>
    </row>
    <row r="1330" spans="4:6" x14ac:dyDescent="0.3">
      <c r="D1330" s="181"/>
      <c r="E1330" s="182"/>
      <c r="F1330" s="183"/>
    </row>
    <row r="1331" spans="4:6" x14ac:dyDescent="0.3">
      <c r="D1331" s="181"/>
      <c r="E1331" s="182"/>
      <c r="F1331" s="183"/>
    </row>
    <row r="1332" spans="4:6" x14ac:dyDescent="0.3">
      <c r="D1332" s="181"/>
      <c r="E1332" s="182"/>
      <c r="F1332" s="183"/>
    </row>
    <row r="1333" spans="4:6" x14ac:dyDescent="0.3">
      <c r="D1333" s="181"/>
      <c r="E1333" s="182"/>
      <c r="F1333" s="183"/>
    </row>
    <row r="1334" spans="4:6" x14ac:dyDescent="0.3">
      <c r="D1334" s="181"/>
      <c r="E1334" s="182"/>
      <c r="F1334" s="183"/>
    </row>
    <row r="1335" spans="4:6" x14ac:dyDescent="0.3">
      <c r="D1335" s="181"/>
      <c r="E1335" s="182"/>
      <c r="F1335" s="183"/>
    </row>
    <row r="1336" spans="4:6" x14ac:dyDescent="0.3">
      <c r="D1336" s="181"/>
      <c r="E1336" s="182"/>
      <c r="F1336" s="183"/>
    </row>
    <row r="1337" spans="4:6" x14ac:dyDescent="0.3">
      <c r="D1337" s="181"/>
      <c r="E1337" s="182"/>
      <c r="F1337" s="183"/>
    </row>
    <row r="1338" spans="4:6" x14ac:dyDescent="0.3">
      <c r="D1338" s="181"/>
      <c r="E1338" s="182"/>
      <c r="F1338" s="183"/>
    </row>
    <row r="1339" spans="4:6" x14ac:dyDescent="0.3">
      <c r="D1339" s="181"/>
      <c r="E1339" s="182"/>
      <c r="F1339" s="183"/>
    </row>
    <row r="1340" spans="4:6" x14ac:dyDescent="0.3">
      <c r="D1340" s="181"/>
      <c r="E1340" s="182"/>
      <c r="F1340" s="183"/>
    </row>
    <row r="1341" spans="4:6" x14ac:dyDescent="0.3">
      <c r="D1341" s="181"/>
      <c r="E1341" s="182"/>
      <c r="F1341" s="183"/>
    </row>
    <row r="1342" spans="4:6" x14ac:dyDescent="0.3">
      <c r="D1342" s="181"/>
      <c r="E1342" s="182"/>
      <c r="F1342" s="183"/>
    </row>
    <row r="1343" spans="4:6" x14ac:dyDescent="0.3">
      <c r="D1343" s="181"/>
      <c r="E1343" s="182"/>
      <c r="F1343" s="183"/>
    </row>
    <row r="1344" spans="4:6" x14ac:dyDescent="0.3">
      <c r="D1344" s="181"/>
      <c r="E1344" s="182"/>
      <c r="F1344" s="183"/>
    </row>
    <row r="1345" spans="4:6" x14ac:dyDescent="0.3">
      <c r="D1345" s="181"/>
      <c r="E1345" s="182"/>
      <c r="F1345" s="183"/>
    </row>
    <row r="1346" spans="4:6" x14ac:dyDescent="0.3">
      <c r="D1346" s="181"/>
      <c r="E1346" s="182"/>
      <c r="F1346" s="183"/>
    </row>
    <row r="1347" spans="4:6" x14ac:dyDescent="0.3">
      <c r="D1347" s="181"/>
      <c r="E1347" s="182"/>
      <c r="F1347" s="183"/>
    </row>
    <row r="1348" spans="4:6" x14ac:dyDescent="0.3">
      <c r="D1348" s="181"/>
      <c r="E1348" s="182"/>
      <c r="F1348" s="183"/>
    </row>
    <row r="1349" spans="4:6" x14ac:dyDescent="0.3">
      <c r="D1349" s="181"/>
      <c r="E1349" s="182"/>
      <c r="F1349" s="183"/>
    </row>
    <row r="1350" spans="4:6" x14ac:dyDescent="0.3">
      <c r="D1350" s="181"/>
      <c r="E1350" s="182"/>
      <c r="F1350" s="183"/>
    </row>
    <row r="1351" spans="4:6" x14ac:dyDescent="0.3">
      <c r="D1351" s="181"/>
      <c r="E1351" s="182"/>
      <c r="F1351" s="183"/>
    </row>
    <row r="1352" spans="4:6" x14ac:dyDescent="0.3">
      <c r="D1352" s="181"/>
      <c r="E1352" s="182"/>
      <c r="F1352" s="183"/>
    </row>
    <row r="1353" spans="4:6" x14ac:dyDescent="0.3">
      <c r="D1353" s="181"/>
      <c r="E1353" s="182"/>
      <c r="F1353" s="183"/>
    </row>
    <row r="1354" spans="4:6" x14ac:dyDescent="0.3">
      <c r="D1354" s="181"/>
      <c r="E1354" s="182"/>
      <c r="F1354" s="183"/>
    </row>
    <row r="1355" spans="4:6" x14ac:dyDescent="0.3">
      <c r="D1355" s="181"/>
      <c r="E1355" s="182"/>
      <c r="F1355" s="183"/>
    </row>
    <row r="1356" spans="4:6" x14ac:dyDescent="0.3">
      <c r="D1356" s="181"/>
      <c r="E1356" s="182"/>
      <c r="F1356" s="183"/>
    </row>
    <row r="1357" spans="4:6" x14ac:dyDescent="0.3">
      <c r="D1357" s="181"/>
      <c r="E1357" s="182"/>
      <c r="F1357" s="183"/>
    </row>
    <row r="1358" spans="4:6" x14ac:dyDescent="0.3">
      <c r="D1358" s="181"/>
      <c r="E1358" s="182"/>
      <c r="F1358" s="183"/>
    </row>
    <row r="1359" spans="4:6" x14ac:dyDescent="0.3">
      <c r="D1359" s="181"/>
      <c r="E1359" s="182"/>
      <c r="F1359" s="183"/>
    </row>
    <row r="1360" spans="4:6" x14ac:dyDescent="0.3">
      <c r="D1360" s="181"/>
      <c r="E1360" s="182"/>
      <c r="F1360" s="183"/>
    </row>
    <row r="1361" spans="4:6" x14ac:dyDescent="0.3">
      <c r="D1361" s="181"/>
      <c r="E1361" s="182"/>
      <c r="F1361" s="183"/>
    </row>
    <row r="1362" spans="4:6" x14ac:dyDescent="0.3">
      <c r="D1362" s="181"/>
      <c r="E1362" s="182"/>
      <c r="F1362" s="183"/>
    </row>
    <row r="1363" spans="4:6" x14ac:dyDescent="0.3">
      <c r="D1363" s="181"/>
      <c r="E1363" s="182"/>
      <c r="F1363" s="183"/>
    </row>
    <row r="1364" spans="4:6" x14ac:dyDescent="0.3">
      <c r="D1364" s="181"/>
      <c r="E1364" s="182"/>
      <c r="F1364" s="183"/>
    </row>
    <row r="1365" spans="4:6" x14ac:dyDescent="0.3">
      <c r="D1365" s="181"/>
      <c r="E1365" s="182"/>
      <c r="F1365" s="183"/>
    </row>
    <row r="1366" spans="4:6" x14ac:dyDescent="0.3">
      <c r="D1366" s="181"/>
      <c r="E1366" s="182"/>
      <c r="F1366" s="183"/>
    </row>
    <row r="1367" spans="4:6" x14ac:dyDescent="0.3">
      <c r="D1367" s="181"/>
      <c r="E1367" s="182"/>
      <c r="F1367" s="183"/>
    </row>
    <row r="1368" spans="4:6" x14ac:dyDescent="0.3">
      <c r="D1368" s="181"/>
      <c r="E1368" s="182"/>
      <c r="F1368" s="183"/>
    </row>
    <row r="1369" spans="4:6" x14ac:dyDescent="0.3">
      <c r="D1369" s="181"/>
      <c r="E1369" s="182"/>
      <c r="F1369" s="183"/>
    </row>
    <row r="1370" spans="4:6" x14ac:dyDescent="0.3">
      <c r="D1370" s="181"/>
      <c r="E1370" s="182"/>
      <c r="F1370" s="183"/>
    </row>
    <row r="1371" spans="4:6" x14ac:dyDescent="0.3">
      <c r="D1371" s="181"/>
      <c r="E1371" s="182"/>
      <c r="F1371" s="183"/>
    </row>
    <row r="1372" spans="4:6" x14ac:dyDescent="0.3">
      <c r="D1372" s="181"/>
      <c r="E1372" s="182"/>
      <c r="F1372" s="183"/>
    </row>
    <row r="1373" spans="4:6" x14ac:dyDescent="0.3">
      <c r="D1373" s="181"/>
      <c r="E1373" s="182"/>
      <c r="F1373" s="183"/>
    </row>
    <row r="1374" spans="4:6" x14ac:dyDescent="0.3">
      <c r="D1374" s="181"/>
      <c r="E1374" s="182"/>
      <c r="F1374" s="183"/>
    </row>
    <row r="1375" spans="4:6" x14ac:dyDescent="0.3">
      <c r="D1375" s="181"/>
      <c r="E1375" s="182"/>
      <c r="F1375" s="183"/>
    </row>
    <row r="1376" spans="4:6" x14ac:dyDescent="0.3">
      <c r="D1376" s="181"/>
      <c r="E1376" s="182"/>
      <c r="F1376" s="183"/>
    </row>
    <row r="1377" spans="4:6" x14ac:dyDescent="0.3">
      <c r="D1377" s="181"/>
      <c r="E1377" s="182"/>
      <c r="F1377" s="183"/>
    </row>
    <row r="1378" spans="4:6" x14ac:dyDescent="0.3">
      <c r="D1378" s="181"/>
      <c r="E1378" s="182"/>
      <c r="F1378" s="183"/>
    </row>
    <row r="1379" spans="4:6" x14ac:dyDescent="0.3">
      <c r="D1379" s="181"/>
      <c r="E1379" s="182"/>
      <c r="F1379" s="183"/>
    </row>
    <row r="1380" spans="4:6" x14ac:dyDescent="0.3">
      <c r="D1380" s="181"/>
      <c r="E1380" s="182"/>
      <c r="F1380" s="183"/>
    </row>
    <row r="1381" spans="4:6" x14ac:dyDescent="0.3">
      <c r="D1381" s="181"/>
      <c r="E1381" s="182"/>
      <c r="F1381" s="183"/>
    </row>
    <row r="1382" spans="4:6" x14ac:dyDescent="0.3">
      <c r="D1382" s="181"/>
      <c r="E1382" s="182"/>
      <c r="F1382" s="183"/>
    </row>
    <row r="1383" spans="4:6" x14ac:dyDescent="0.3">
      <c r="D1383" s="181"/>
      <c r="E1383" s="182"/>
      <c r="F1383" s="183"/>
    </row>
    <row r="1384" spans="4:6" x14ac:dyDescent="0.3">
      <c r="D1384" s="181"/>
      <c r="E1384" s="182"/>
      <c r="F1384" s="183"/>
    </row>
    <row r="1385" spans="4:6" x14ac:dyDescent="0.3">
      <c r="D1385" s="181"/>
      <c r="E1385" s="182"/>
      <c r="F1385" s="183"/>
    </row>
    <row r="1386" spans="4:6" x14ac:dyDescent="0.3">
      <c r="D1386" s="181"/>
      <c r="E1386" s="182"/>
      <c r="F1386" s="183"/>
    </row>
    <row r="1387" spans="4:6" x14ac:dyDescent="0.3">
      <c r="D1387" s="181"/>
      <c r="E1387" s="182"/>
      <c r="F1387" s="183"/>
    </row>
    <row r="1388" spans="4:6" x14ac:dyDescent="0.3">
      <c r="D1388" s="181"/>
      <c r="E1388" s="182"/>
      <c r="F1388" s="183"/>
    </row>
    <row r="1389" spans="4:6" x14ac:dyDescent="0.3">
      <c r="D1389" s="181"/>
      <c r="E1389" s="182"/>
      <c r="F1389" s="183"/>
    </row>
    <row r="1390" spans="4:6" x14ac:dyDescent="0.3">
      <c r="D1390" s="181"/>
      <c r="E1390" s="182"/>
      <c r="F1390" s="183"/>
    </row>
    <row r="1391" spans="4:6" x14ac:dyDescent="0.3">
      <c r="D1391" s="181"/>
      <c r="E1391" s="182"/>
      <c r="F1391" s="183"/>
    </row>
    <row r="1392" spans="4:6" x14ac:dyDescent="0.3">
      <c r="D1392" s="181"/>
      <c r="E1392" s="182"/>
      <c r="F1392" s="183"/>
    </row>
    <row r="1393" spans="4:6" x14ac:dyDescent="0.3">
      <c r="D1393" s="181"/>
      <c r="E1393" s="182"/>
      <c r="F1393" s="183"/>
    </row>
    <row r="1394" spans="4:6" x14ac:dyDescent="0.3">
      <c r="D1394" s="181"/>
      <c r="E1394" s="182"/>
      <c r="F1394" s="183"/>
    </row>
    <row r="1395" spans="4:6" x14ac:dyDescent="0.3">
      <c r="D1395" s="181"/>
      <c r="E1395" s="182"/>
      <c r="F1395" s="183"/>
    </row>
    <row r="1396" spans="4:6" x14ac:dyDescent="0.3">
      <c r="D1396" s="181"/>
      <c r="E1396" s="182"/>
      <c r="F1396" s="183"/>
    </row>
    <row r="1397" spans="4:6" x14ac:dyDescent="0.3">
      <c r="D1397" s="181"/>
      <c r="E1397" s="182"/>
      <c r="F1397" s="183"/>
    </row>
    <row r="1398" spans="4:6" x14ac:dyDescent="0.3">
      <c r="D1398" s="181"/>
      <c r="E1398" s="182"/>
      <c r="F1398" s="183"/>
    </row>
    <row r="1399" spans="4:6" x14ac:dyDescent="0.3">
      <c r="D1399" s="181"/>
      <c r="E1399" s="182"/>
      <c r="F1399" s="183"/>
    </row>
    <row r="1400" spans="4:6" x14ac:dyDescent="0.3">
      <c r="D1400" s="181"/>
      <c r="E1400" s="182"/>
      <c r="F1400" s="183"/>
    </row>
    <row r="1401" spans="4:6" x14ac:dyDescent="0.3">
      <c r="D1401" s="181"/>
      <c r="E1401" s="182"/>
      <c r="F1401" s="183"/>
    </row>
    <row r="1402" spans="4:6" x14ac:dyDescent="0.3">
      <c r="D1402" s="181"/>
      <c r="E1402" s="182"/>
      <c r="F1402" s="183"/>
    </row>
    <row r="1403" spans="4:6" x14ac:dyDescent="0.3">
      <c r="D1403" s="181"/>
      <c r="E1403" s="182"/>
      <c r="F1403" s="183"/>
    </row>
    <row r="1404" spans="4:6" x14ac:dyDescent="0.3">
      <c r="D1404" s="181"/>
      <c r="E1404" s="182"/>
      <c r="F1404" s="183"/>
    </row>
    <row r="1405" spans="4:6" x14ac:dyDescent="0.3">
      <c r="D1405" s="181"/>
      <c r="E1405" s="182"/>
      <c r="F1405" s="183"/>
    </row>
    <row r="1406" spans="4:6" x14ac:dyDescent="0.3">
      <c r="D1406" s="181"/>
      <c r="E1406" s="182"/>
      <c r="F1406" s="183"/>
    </row>
    <row r="1407" spans="4:6" x14ac:dyDescent="0.3">
      <c r="D1407" s="181"/>
      <c r="E1407" s="182"/>
      <c r="F1407" s="183"/>
    </row>
    <row r="1408" spans="4:6" x14ac:dyDescent="0.3">
      <c r="D1408" s="181"/>
      <c r="E1408" s="182"/>
      <c r="F1408" s="183"/>
    </row>
    <row r="1409" spans="4:6" x14ac:dyDescent="0.3">
      <c r="D1409" s="181"/>
      <c r="E1409" s="182"/>
      <c r="F1409" s="183"/>
    </row>
    <row r="1410" spans="4:6" x14ac:dyDescent="0.3">
      <c r="D1410" s="181"/>
      <c r="E1410" s="182"/>
      <c r="F1410" s="183"/>
    </row>
    <row r="1411" spans="4:6" x14ac:dyDescent="0.3">
      <c r="D1411" s="181"/>
      <c r="E1411" s="182"/>
      <c r="F1411" s="183"/>
    </row>
    <row r="1412" spans="4:6" x14ac:dyDescent="0.3">
      <c r="D1412" s="181"/>
      <c r="E1412" s="182"/>
      <c r="F1412" s="183"/>
    </row>
    <row r="1413" spans="4:6" x14ac:dyDescent="0.3">
      <c r="D1413" s="181"/>
      <c r="E1413" s="182"/>
      <c r="F1413" s="183"/>
    </row>
    <row r="1414" spans="4:6" x14ac:dyDescent="0.3">
      <c r="D1414" s="181"/>
      <c r="E1414" s="182"/>
      <c r="F1414" s="183"/>
    </row>
    <row r="1415" spans="4:6" x14ac:dyDescent="0.3">
      <c r="D1415" s="181"/>
      <c r="E1415" s="182"/>
      <c r="F1415" s="183"/>
    </row>
    <row r="1416" spans="4:6" x14ac:dyDescent="0.3">
      <c r="D1416" s="181"/>
      <c r="E1416" s="182"/>
      <c r="F1416" s="183"/>
    </row>
    <row r="1417" spans="4:6" x14ac:dyDescent="0.3">
      <c r="D1417" s="181"/>
      <c r="E1417" s="182"/>
      <c r="F1417" s="183"/>
    </row>
    <row r="1418" spans="4:6" x14ac:dyDescent="0.3">
      <c r="D1418" s="181"/>
      <c r="E1418" s="182"/>
      <c r="F1418" s="183"/>
    </row>
    <row r="1419" spans="4:6" x14ac:dyDescent="0.3">
      <c r="D1419" s="181"/>
      <c r="E1419" s="182"/>
      <c r="F1419" s="183"/>
    </row>
    <row r="1420" spans="4:6" x14ac:dyDescent="0.3">
      <c r="D1420" s="181"/>
      <c r="E1420" s="182"/>
      <c r="F1420" s="183"/>
    </row>
    <row r="1421" spans="4:6" x14ac:dyDescent="0.3">
      <c r="D1421" s="181"/>
      <c r="E1421" s="182"/>
      <c r="F1421" s="183"/>
    </row>
    <row r="1422" spans="4:6" x14ac:dyDescent="0.3">
      <c r="D1422" s="181"/>
      <c r="E1422" s="182"/>
      <c r="F1422" s="183"/>
    </row>
    <row r="1423" spans="4:6" x14ac:dyDescent="0.3">
      <c r="D1423" s="181"/>
      <c r="E1423" s="182"/>
      <c r="F1423" s="183"/>
    </row>
    <row r="1424" spans="4:6" x14ac:dyDescent="0.3">
      <c r="D1424" s="181"/>
      <c r="E1424" s="182"/>
      <c r="F1424" s="183"/>
    </row>
    <row r="1425" spans="4:6" x14ac:dyDescent="0.3">
      <c r="D1425" s="181"/>
      <c r="E1425" s="182"/>
      <c r="F1425" s="183"/>
    </row>
    <row r="1426" spans="4:6" x14ac:dyDescent="0.3">
      <c r="D1426" s="181"/>
      <c r="E1426" s="182"/>
      <c r="F1426" s="183"/>
    </row>
    <row r="1427" spans="4:6" x14ac:dyDescent="0.3">
      <c r="D1427" s="181"/>
      <c r="E1427" s="182"/>
      <c r="F1427" s="183"/>
    </row>
    <row r="1428" spans="4:6" x14ac:dyDescent="0.3">
      <c r="D1428" s="181"/>
      <c r="E1428" s="182"/>
      <c r="F1428" s="183"/>
    </row>
    <row r="1429" spans="4:6" x14ac:dyDescent="0.3">
      <c r="D1429" s="181"/>
      <c r="E1429" s="182"/>
      <c r="F1429" s="183"/>
    </row>
    <row r="1430" spans="4:6" x14ac:dyDescent="0.3">
      <c r="D1430" s="181"/>
      <c r="E1430" s="182"/>
      <c r="F1430" s="183"/>
    </row>
    <row r="1431" spans="4:6" x14ac:dyDescent="0.3">
      <c r="D1431" s="181"/>
      <c r="E1431" s="182"/>
      <c r="F1431" s="183"/>
    </row>
    <row r="1432" spans="4:6" x14ac:dyDescent="0.3">
      <c r="D1432" s="181"/>
      <c r="E1432" s="182"/>
      <c r="F1432" s="183"/>
    </row>
    <row r="1433" spans="4:6" x14ac:dyDescent="0.3">
      <c r="D1433" s="181"/>
      <c r="E1433" s="182"/>
      <c r="F1433" s="183"/>
    </row>
    <row r="1434" spans="4:6" x14ac:dyDescent="0.3">
      <c r="D1434" s="181"/>
      <c r="E1434" s="182"/>
      <c r="F1434" s="183"/>
    </row>
    <row r="1435" spans="4:6" x14ac:dyDescent="0.3">
      <c r="D1435" s="181"/>
      <c r="E1435" s="182"/>
      <c r="F1435" s="183"/>
    </row>
    <row r="1436" spans="4:6" x14ac:dyDescent="0.3">
      <c r="D1436" s="181"/>
      <c r="E1436" s="182"/>
      <c r="F1436" s="183"/>
    </row>
    <row r="1437" spans="4:6" x14ac:dyDescent="0.3">
      <c r="D1437" s="181"/>
      <c r="E1437" s="182"/>
      <c r="F1437" s="183"/>
    </row>
    <row r="1438" spans="4:6" x14ac:dyDescent="0.3">
      <c r="D1438" s="181"/>
      <c r="E1438" s="182"/>
      <c r="F1438" s="183"/>
    </row>
    <row r="1439" spans="4:6" x14ac:dyDescent="0.3">
      <c r="D1439" s="181"/>
      <c r="E1439" s="182"/>
      <c r="F1439" s="183"/>
    </row>
    <row r="1440" spans="4:6" x14ac:dyDescent="0.3">
      <c r="D1440" s="181"/>
      <c r="E1440" s="182"/>
      <c r="F1440" s="183"/>
    </row>
    <row r="1441" spans="4:6" x14ac:dyDescent="0.3">
      <c r="D1441" s="181"/>
      <c r="E1441" s="182"/>
      <c r="F1441" s="183"/>
    </row>
    <row r="1442" spans="4:6" x14ac:dyDescent="0.3">
      <c r="D1442" s="181"/>
      <c r="E1442" s="182"/>
      <c r="F1442" s="183"/>
    </row>
    <row r="1443" spans="4:6" x14ac:dyDescent="0.3">
      <c r="D1443" s="181"/>
      <c r="E1443" s="182"/>
      <c r="F1443" s="183"/>
    </row>
    <row r="1444" spans="4:6" x14ac:dyDescent="0.3">
      <c r="D1444" s="181"/>
      <c r="E1444" s="182"/>
      <c r="F1444" s="183"/>
    </row>
    <row r="1445" spans="4:6" x14ac:dyDescent="0.3">
      <c r="D1445" s="181"/>
      <c r="E1445" s="182"/>
      <c r="F1445" s="183"/>
    </row>
    <row r="1446" spans="4:6" x14ac:dyDescent="0.3">
      <c r="D1446" s="181"/>
      <c r="E1446" s="182"/>
      <c r="F1446" s="183"/>
    </row>
    <row r="1447" spans="4:6" x14ac:dyDescent="0.3">
      <c r="D1447" s="181"/>
      <c r="E1447" s="182"/>
      <c r="F1447" s="183"/>
    </row>
    <row r="1448" spans="4:6" x14ac:dyDescent="0.3">
      <c r="D1448" s="181"/>
      <c r="E1448" s="182"/>
      <c r="F1448" s="183"/>
    </row>
    <row r="1449" spans="4:6" x14ac:dyDescent="0.3">
      <c r="D1449" s="181"/>
      <c r="E1449" s="182"/>
      <c r="F1449" s="183"/>
    </row>
    <row r="1450" spans="4:6" x14ac:dyDescent="0.3">
      <c r="D1450" s="181"/>
      <c r="E1450" s="182"/>
      <c r="F1450" s="183"/>
    </row>
    <row r="1451" spans="4:6" x14ac:dyDescent="0.3">
      <c r="D1451" s="181"/>
      <c r="E1451" s="182"/>
      <c r="F1451" s="183"/>
    </row>
    <row r="1452" spans="4:6" x14ac:dyDescent="0.3">
      <c r="D1452" s="181"/>
      <c r="E1452" s="182"/>
      <c r="F1452" s="183"/>
    </row>
    <row r="1453" spans="4:6" x14ac:dyDescent="0.3">
      <c r="D1453" s="181"/>
      <c r="E1453" s="182"/>
      <c r="F1453" s="183"/>
    </row>
    <row r="1454" spans="4:6" x14ac:dyDescent="0.3">
      <c r="D1454" s="181"/>
      <c r="E1454" s="182"/>
      <c r="F1454" s="183"/>
    </row>
    <row r="1455" spans="4:6" x14ac:dyDescent="0.3">
      <c r="D1455" s="181"/>
      <c r="E1455" s="182"/>
      <c r="F1455" s="183"/>
    </row>
    <row r="1456" spans="4:6" x14ac:dyDescent="0.3">
      <c r="D1456" s="181"/>
      <c r="E1456" s="182"/>
      <c r="F1456" s="183"/>
    </row>
    <row r="1457" spans="4:6" x14ac:dyDescent="0.3">
      <c r="D1457" s="181"/>
      <c r="E1457" s="182"/>
      <c r="F1457" s="183"/>
    </row>
    <row r="1458" spans="4:6" x14ac:dyDescent="0.3">
      <c r="D1458" s="181"/>
      <c r="E1458" s="182"/>
      <c r="F1458" s="183"/>
    </row>
    <row r="1459" spans="4:6" x14ac:dyDescent="0.3">
      <c r="D1459" s="181"/>
      <c r="E1459" s="182"/>
      <c r="F1459" s="183"/>
    </row>
    <row r="1460" spans="4:6" x14ac:dyDescent="0.3">
      <c r="D1460" s="181"/>
      <c r="E1460" s="182"/>
      <c r="F1460" s="183"/>
    </row>
    <row r="1461" spans="4:6" x14ac:dyDescent="0.3">
      <c r="D1461" s="181"/>
      <c r="E1461" s="182"/>
      <c r="F1461" s="183"/>
    </row>
    <row r="1462" spans="4:6" x14ac:dyDescent="0.3">
      <c r="D1462" s="181"/>
      <c r="E1462" s="182"/>
      <c r="F1462" s="183"/>
    </row>
    <row r="1463" spans="4:6" x14ac:dyDescent="0.3">
      <c r="D1463" s="181"/>
      <c r="E1463" s="182"/>
      <c r="F1463" s="183"/>
    </row>
    <row r="1464" spans="4:6" x14ac:dyDescent="0.3">
      <c r="D1464" s="181"/>
      <c r="E1464" s="182"/>
      <c r="F1464" s="183"/>
    </row>
    <row r="1465" spans="4:6" x14ac:dyDescent="0.3">
      <c r="D1465" s="181"/>
      <c r="E1465" s="182"/>
      <c r="F1465" s="183"/>
    </row>
    <row r="1466" spans="4:6" x14ac:dyDescent="0.3">
      <c r="D1466" s="181"/>
      <c r="E1466" s="182"/>
      <c r="F1466" s="183"/>
    </row>
    <row r="1467" spans="4:6" x14ac:dyDescent="0.3">
      <c r="D1467" s="181"/>
      <c r="E1467" s="182"/>
      <c r="F1467" s="183"/>
    </row>
    <row r="1468" spans="4:6" x14ac:dyDescent="0.3">
      <c r="D1468" s="181"/>
      <c r="E1468" s="182"/>
      <c r="F1468" s="183"/>
    </row>
    <row r="1469" spans="4:6" x14ac:dyDescent="0.3">
      <c r="D1469" s="181"/>
      <c r="E1469" s="182"/>
      <c r="F1469" s="183"/>
    </row>
    <row r="1470" spans="4:6" x14ac:dyDescent="0.3">
      <c r="D1470" s="181"/>
      <c r="E1470" s="182"/>
      <c r="F1470" s="183"/>
    </row>
    <row r="1471" spans="4:6" x14ac:dyDescent="0.3">
      <c r="D1471" s="181"/>
      <c r="E1471" s="182"/>
      <c r="F1471" s="183"/>
    </row>
    <row r="1472" spans="4:6" x14ac:dyDescent="0.3">
      <c r="D1472" s="181"/>
      <c r="E1472" s="182"/>
      <c r="F1472" s="183"/>
    </row>
    <row r="1473" spans="4:6" x14ac:dyDescent="0.3">
      <c r="D1473" s="181"/>
      <c r="E1473" s="182"/>
      <c r="F1473" s="183"/>
    </row>
    <row r="1474" spans="4:6" x14ac:dyDescent="0.3">
      <c r="D1474" s="181"/>
      <c r="E1474" s="182"/>
      <c r="F1474" s="183"/>
    </row>
    <row r="1475" spans="4:6" x14ac:dyDescent="0.3">
      <c r="D1475" s="181"/>
      <c r="E1475" s="182"/>
      <c r="F1475" s="183"/>
    </row>
    <row r="1476" spans="4:6" x14ac:dyDescent="0.3">
      <c r="D1476" s="181"/>
      <c r="E1476" s="182"/>
      <c r="F1476" s="183"/>
    </row>
    <row r="1477" spans="4:6" x14ac:dyDescent="0.3">
      <c r="D1477" s="181"/>
      <c r="E1477" s="182"/>
      <c r="F1477" s="183"/>
    </row>
    <row r="1478" spans="4:6" x14ac:dyDescent="0.3">
      <c r="D1478" s="181"/>
      <c r="E1478" s="182"/>
      <c r="F1478" s="183"/>
    </row>
    <row r="1479" spans="4:6" x14ac:dyDescent="0.3">
      <c r="D1479" s="181"/>
      <c r="E1479" s="182"/>
      <c r="F1479" s="183"/>
    </row>
    <row r="1480" spans="4:6" x14ac:dyDescent="0.3">
      <c r="D1480" s="181"/>
      <c r="E1480" s="182"/>
      <c r="F1480" s="183"/>
    </row>
    <row r="1481" spans="4:6" x14ac:dyDescent="0.3">
      <c r="D1481" s="181"/>
      <c r="E1481" s="182"/>
      <c r="F1481" s="183"/>
    </row>
    <row r="1482" spans="4:6" x14ac:dyDescent="0.3">
      <c r="D1482" s="181"/>
      <c r="E1482" s="182"/>
      <c r="F1482" s="183"/>
    </row>
    <row r="1483" spans="4:6" x14ac:dyDescent="0.3">
      <c r="D1483" s="181"/>
      <c r="E1483" s="182"/>
      <c r="F1483" s="183"/>
    </row>
    <row r="1484" spans="4:6" x14ac:dyDescent="0.3">
      <c r="D1484" s="181"/>
      <c r="E1484" s="182"/>
      <c r="F1484" s="183"/>
    </row>
    <row r="1485" spans="4:6" x14ac:dyDescent="0.3">
      <c r="D1485" s="181"/>
      <c r="E1485" s="182"/>
      <c r="F1485" s="183"/>
    </row>
    <row r="1486" spans="4:6" x14ac:dyDescent="0.3">
      <c r="D1486" s="181"/>
      <c r="E1486" s="182"/>
      <c r="F1486" s="183"/>
    </row>
    <row r="1487" spans="4:6" x14ac:dyDescent="0.3">
      <c r="D1487" s="181"/>
      <c r="E1487" s="182"/>
      <c r="F1487" s="183"/>
    </row>
    <row r="1488" spans="4:6" x14ac:dyDescent="0.3">
      <c r="D1488" s="181"/>
      <c r="E1488" s="182"/>
      <c r="F1488" s="183"/>
    </row>
    <row r="1489" spans="4:6" x14ac:dyDescent="0.3">
      <c r="D1489" s="181"/>
      <c r="E1489" s="182"/>
      <c r="F1489" s="183"/>
    </row>
    <row r="1490" spans="4:6" x14ac:dyDescent="0.3">
      <c r="D1490" s="181"/>
      <c r="E1490" s="182"/>
      <c r="F1490" s="183"/>
    </row>
    <row r="1491" spans="4:6" x14ac:dyDescent="0.3">
      <c r="D1491" s="181"/>
      <c r="E1491" s="182"/>
      <c r="F1491" s="183"/>
    </row>
    <row r="1492" spans="4:6" x14ac:dyDescent="0.3">
      <c r="D1492" s="181"/>
      <c r="E1492" s="182"/>
      <c r="F1492" s="183"/>
    </row>
    <row r="1493" spans="4:6" x14ac:dyDescent="0.3">
      <c r="D1493" s="181"/>
      <c r="E1493" s="182"/>
      <c r="F1493" s="183"/>
    </row>
    <row r="1494" spans="4:6" x14ac:dyDescent="0.3">
      <c r="D1494" s="181"/>
      <c r="E1494" s="182"/>
      <c r="F1494" s="183"/>
    </row>
    <row r="1495" spans="4:6" x14ac:dyDescent="0.3">
      <c r="D1495" s="181"/>
      <c r="E1495" s="182"/>
      <c r="F1495" s="183"/>
    </row>
    <row r="1496" spans="4:6" x14ac:dyDescent="0.3">
      <c r="D1496" s="181"/>
      <c r="E1496" s="182"/>
      <c r="F1496" s="183"/>
    </row>
    <row r="1497" spans="4:6" x14ac:dyDescent="0.3">
      <c r="D1497" s="181"/>
      <c r="E1497" s="182"/>
      <c r="F1497" s="183"/>
    </row>
    <row r="1498" spans="4:6" x14ac:dyDescent="0.3">
      <c r="D1498" s="181"/>
      <c r="E1498" s="182"/>
      <c r="F1498" s="183"/>
    </row>
    <row r="1499" spans="4:6" x14ac:dyDescent="0.3">
      <c r="D1499" s="181"/>
      <c r="E1499" s="182"/>
      <c r="F1499" s="183"/>
    </row>
    <row r="1500" spans="4:6" x14ac:dyDescent="0.3">
      <c r="D1500" s="181"/>
      <c r="E1500" s="182"/>
      <c r="F1500" s="183"/>
    </row>
    <row r="1501" spans="4:6" x14ac:dyDescent="0.3">
      <c r="D1501" s="181"/>
      <c r="E1501" s="182"/>
      <c r="F1501" s="183"/>
    </row>
    <row r="1502" spans="4:6" x14ac:dyDescent="0.3">
      <c r="D1502" s="181"/>
      <c r="E1502" s="182"/>
      <c r="F1502" s="183"/>
    </row>
    <row r="1503" spans="4:6" x14ac:dyDescent="0.3">
      <c r="D1503" s="181"/>
      <c r="E1503" s="182"/>
      <c r="F1503" s="183"/>
    </row>
    <row r="1504" spans="4:6" x14ac:dyDescent="0.3">
      <c r="D1504" s="181"/>
      <c r="E1504" s="182"/>
      <c r="F1504" s="183"/>
    </row>
    <row r="1505" spans="4:6" x14ac:dyDescent="0.3">
      <c r="D1505" s="181"/>
      <c r="E1505" s="182"/>
      <c r="F1505" s="183"/>
    </row>
    <row r="1506" spans="4:6" x14ac:dyDescent="0.3">
      <c r="D1506" s="181"/>
      <c r="E1506" s="182"/>
      <c r="F1506" s="183"/>
    </row>
    <row r="1507" spans="4:6" x14ac:dyDescent="0.3">
      <c r="D1507" s="181"/>
      <c r="E1507" s="182"/>
      <c r="F1507" s="183"/>
    </row>
    <row r="1508" spans="4:6" x14ac:dyDescent="0.3">
      <c r="D1508" s="181"/>
      <c r="E1508" s="182"/>
      <c r="F1508" s="183"/>
    </row>
    <row r="1509" spans="4:6" x14ac:dyDescent="0.3">
      <c r="D1509" s="181"/>
      <c r="E1509" s="182"/>
      <c r="F1509" s="183"/>
    </row>
    <row r="1510" spans="4:6" x14ac:dyDescent="0.3">
      <c r="D1510" s="181"/>
      <c r="E1510" s="182"/>
      <c r="F1510" s="183"/>
    </row>
    <row r="1511" spans="4:6" x14ac:dyDescent="0.3">
      <c r="D1511" s="181"/>
      <c r="E1511" s="182"/>
      <c r="F1511" s="183"/>
    </row>
    <row r="1512" spans="4:6" x14ac:dyDescent="0.3">
      <c r="D1512" s="181"/>
      <c r="E1512" s="182"/>
      <c r="F1512" s="183"/>
    </row>
    <row r="1513" spans="4:6" x14ac:dyDescent="0.3">
      <c r="D1513" s="181"/>
      <c r="E1513" s="182"/>
      <c r="F1513" s="183"/>
    </row>
    <row r="1514" spans="4:6" x14ac:dyDescent="0.3">
      <c r="D1514" s="181"/>
      <c r="E1514" s="182"/>
      <c r="F1514" s="183"/>
    </row>
    <row r="1515" spans="4:6" x14ac:dyDescent="0.3">
      <c r="D1515" s="181"/>
      <c r="E1515" s="182"/>
      <c r="F1515" s="183"/>
    </row>
    <row r="1516" spans="4:6" x14ac:dyDescent="0.3">
      <c r="D1516" s="181"/>
      <c r="E1516" s="182"/>
      <c r="F1516" s="183"/>
    </row>
    <row r="1517" spans="4:6" x14ac:dyDescent="0.3">
      <c r="D1517" s="181"/>
      <c r="E1517" s="182"/>
      <c r="F1517" s="183"/>
    </row>
    <row r="1518" spans="4:6" x14ac:dyDescent="0.3">
      <c r="D1518" s="181"/>
      <c r="E1518" s="182"/>
      <c r="F1518" s="183"/>
    </row>
    <row r="1519" spans="4:6" x14ac:dyDescent="0.3">
      <c r="D1519" s="181"/>
      <c r="E1519" s="182"/>
      <c r="F1519" s="183"/>
    </row>
    <row r="1520" spans="4:6" x14ac:dyDescent="0.3">
      <c r="D1520" s="181"/>
      <c r="E1520" s="182"/>
      <c r="F1520" s="183"/>
    </row>
    <row r="1521" spans="4:6" x14ac:dyDescent="0.3">
      <c r="D1521" s="181"/>
      <c r="E1521" s="182"/>
      <c r="F1521" s="183"/>
    </row>
    <row r="1522" spans="4:6" x14ac:dyDescent="0.3">
      <c r="D1522" s="181"/>
      <c r="E1522" s="182"/>
      <c r="F1522" s="183"/>
    </row>
    <row r="1523" spans="4:6" x14ac:dyDescent="0.3">
      <c r="D1523" s="181"/>
      <c r="E1523" s="182"/>
      <c r="F1523" s="183"/>
    </row>
    <row r="1524" spans="4:6" x14ac:dyDescent="0.3">
      <c r="D1524" s="181"/>
      <c r="E1524" s="182"/>
      <c r="F1524" s="183"/>
    </row>
    <row r="1525" spans="4:6" x14ac:dyDescent="0.3">
      <c r="D1525" s="181"/>
      <c r="E1525" s="182"/>
      <c r="F1525" s="183"/>
    </row>
    <row r="1526" spans="4:6" x14ac:dyDescent="0.3">
      <c r="D1526" s="181"/>
      <c r="E1526" s="182"/>
      <c r="F1526" s="183"/>
    </row>
    <row r="1527" spans="4:6" x14ac:dyDescent="0.3">
      <c r="D1527" s="181"/>
      <c r="E1527" s="182"/>
      <c r="F1527" s="183"/>
    </row>
    <row r="1528" spans="4:6" x14ac:dyDescent="0.3">
      <c r="D1528" s="181"/>
      <c r="E1528" s="182"/>
      <c r="F1528" s="183"/>
    </row>
    <row r="1529" spans="4:6" x14ac:dyDescent="0.3">
      <c r="D1529" s="181"/>
      <c r="E1529" s="182"/>
      <c r="F1529" s="183"/>
    </row>
    <row r="1530" spans="4:6" x14ac:dyDescent="0.3">
      <c r="D1530" s="181"/>
      <c r="E1530" s="182"/>
      <c r="F1530" s="183"/>
    </row>
    <row r="1531" spans="4:6" x14ac:dyDescent="0.3">
      <c r="D1531" s="181"/>
      <c r="E1531" s="182"/>
      <c r="F1531" s="183"/>
    </row>
    <row r="1532" spans="4:6" x14ac:dyDescent="0.3">
      <c r="D1532" s="181"/>
      <c r="E1532" s="182"/>
      <c r="F1532" s="183"/>
    </row>
    <row r="1533" spans="4:6" x14ac:dyDescent="0.3">
      <c r="D1533" s="181"/>
      <c r="E1533" s="182"/>
      <c r="F1533" s="183"/>
    </row>
    <row r="1534" spans="4:6" x14ac:dyDescent="0.3">
      <c r="D1534" s="181"/>
      <c r="E1534" s="182"/>
      <c r="F1534" s="183"/>
    </row>
    <row r="1535" spans="4:6" x14ac:dyDescent="0.3">
      <c r="D1535" s="181"/>
      <c r="E1535" s="182"/>
      <c r="F1535" s="183"/>
    </row>
    <row r="1536" spans="4:6" x14ac:dyDescent="0.3">
      <c r="D1536" s="181"/>
      <c r="E1536" s="182"/>
      <c r="F1536" s="183"/>
    </row>
    <row r="1537" spans="4:6" x14ac:dyDescent="0.3">
      <c r="D1537" s="181"/>
      <c r="E1537" s="182"/>
      <c r="F1537" s="183"/>
    </row>
    <row r="1538" spans="4:6" x14ac:dyDescent="0.3">
      <c r="D1538" s="181"/>
      <c r="E1538" s="182"/>
      <c r="F1538" s="183"/>
    </row>
    <row r="1539" spans="4:6" x14ac:dyDescent="0.3">
      <c r="D1539" s="181"/>
      <c r="E1539" s="182"/>
      <c r="F1539" s="183"/>
    </row>
    <row r="1540" spans="4:6" x14ac:dyDescent="0.3">
      <c r="D1540" s="181"/>
      <c r="E1540" s="182"/>
      <c r="F1540" s="183"/>
    </row>
    <row r="1541" spans="4:6" x14ac:dyDescent="0.3">
      <c r="D1541" s="181"/>
      <c r="E1541" s="182"/>
      <c r="F1541" s="183"/>
    </row>
    <row r="1542" spans="4:6" x14ac:dyDescent="0.3">
      <c r="D1542" s="181"/>
      <c r="E1542" s="182"/>
      <c r="F1542" s="183"/>
    </row>
    <row r="1543" spans="4:6" x14ac:dyDescent="0.3">
      <c r="D1543" s="181"/>
      <c r="E1543" s="182"/>
      <c r="F1543" s="183"/>
    </row>
    <row r="1544" spans="4:6" x14ac:dyDescent="0.3">
      <c r="D1544" s="181"/>
      <c r="E1544" s="182"/>
      <c r="F1544" s="183"/>
    </row>
    <row r="1545" spans="4:6" x14ac:dyDescent="0.3">
      <c r="D1545" s="181"/>
      <c r="E1545" s="182"/>
      <c r="F1545" s="183"/>
    </row>
    <row r="1546" spans="4:6" x14ac:dyDescent="0.3">
      <c r="D1546" s="181"/>
      <c r="E1546" s="182"/>
      <c r="F1546" s="183"/>
    </row>
    <row r="1547" spans="4:6" x14ac:dyDescent="0.3">
      <c r="D1547" s="181"/>
      <c r="E1547" s="182"/>
      <c r="F1547" s="183"/>
    </row>
    <row r="1548" spans="4:6" x14ac:dyDescent="0.3">
      <c r="D1548" s="181"/>
      <c r="E1548" s="182"/>
      <c r="F1548" s="183"/>
    </row>
    <row r="1549" spans="4:6" x14ac:dyDescent="0.3">
      <c r="D1549" s="181"/>
      <c r="E1549" s="182"/>
      <c r="F1549" s="183"/>
    </row>
    <row r="1550" spans="4:6" x14ac:dyDescent="0.3">
      <c r="D1550" s="181"/>
      <c r="E1550" s="182"/>
      <c r="F1550" s="183"/>
    </row>
    <row r="1551" spans="4:6" x14ac:dyDescent="0.3">
      <c r="D1551" s="181"/>
      <c r="E1551" s="182"/>
      <c r="F1551" s="183"/>
    </row>
    <row r="1552" spans="4:6" x14ac:dyDescent="0.3">
      <c r="D1552" s="181"/>
      <c r="E1552" s="182"/>
      <c r="F1552" s="183"/>
    </row>
    <row r="1553" spans="4:6" x14ac:dyDescent="0.3">
      <c r="D1553" s="181"/>
      <c r="E1553" s="182"/>
      <c r="F1553" s="183"/>
    </row>
    <row r="1554" spans="4:6" x14ac:dyDescent="0.3">
      <c r="D1554" s="181"/>
      <c r="E1554" s="182"/>
      <c r="F1554" s="183"/>
    </row>
    <row r="1555" spans="4:6" x14ac:dyDescent="0.3">
      <c r="D1555" s="181"/>
      <c r="E1555" s="182"/>
      <c r="F1555" s="183"/>
    </row>
    <row r="1556" spans="4:6" x14ac:dyDescent="0.3">
      <c r="D1556" s="181"/>
      <c r="E1556" s="182"/>
      <c r="F1556" s="183"/>
    </row>
    <row r="1557" spans="4:6" x14ac:dyDescent="0.3">
      <c r="D1557" s="181"/>
      <c r="E1557" s="182"/>
      <c r="F1557" s="183"/>
    </row>
    <row r="1558" spans="4:6" x14ac:dyDescent="0.3">
      <c r="D1558" s="181"/>
      <c r="E1558" s="182"/>
      <c r="F1558" s="183"/>
    </row>
    <row r="1559" spans="4:6" x14ac:dyDescent="0.3">
      <c r="D1559" s="181"/>
      <c r="E1559" s="182"/>
      <c r="F1559" s="183"/>
    </row>
    <row r="1560" spans="4:6" x14ac:dyDescent="0.3">
      <c r="D1560" s="181"/>
      <c r="E1560" s="182"/>
      <c r="F1560" s="183"/>
    </row>
    <row r="1561" spans="4:6" x14ac:dyDescent="0.3">
      <c r="D1561" s="181"/>
      <c r="E1561" s="182"/>
      <c r="F1561" s="183"/>
    </row>
    <row r="1562" spans="4:6" x14ac:dyDescent="0.3">
      <c r="D1562" s="181"/>
      <c r="E1562" s="182"/>
      <c r="F1562" s="183"/>
    </row>
    <row r="1563" spans="4:6" x14ac:dyDescent="0.3">
      <c r="D1563" s="181"/>
      <c r="E1563" s="182"/>
      <c r="F1563" s="183"/>
    </row>
    <row r="1564" spans="4:6" x14ac:dyDescent="0.3">
      <c r="D1564" s="181"/>
      <c r="E1564" s="182"/>
      <c r="F1564" s="183"/>
    </row>
    <row r="1565" spans="4:6" x14ac:dyDescent="0.3">
      <c r="D1565" s="181"/>
      <c r="E1565" s="182"/>
      <c r="F1565" s="183"/>
    </row>
    <row r="1566" spans="4:6" x14ac:dyDescent="0.3">
      <c r="D1566" s="181"/>
      <c r="E1566" s="182"/>
      <c r="F1566" s="183"/>
    </row>
    <row r="1567" spans="4:6" x14ac:dyDescent="0.3">
      <c r="D1567" s="181"/>
      <c r="E1567" s="182"/>
      <c r="F1567" s="183"/>
    </row>
    <row r="1568" spans="4:6" x14ac:dyDescent="0.3">
      <c r="D1568" s="181"/>
      <c r="E1568" s="182"/>
      <c r="F1568" s="183"/>
    </row>
    <row r="1569" spans="4:6" x14ac:dyDescent="0.3">
      <c r="D1569" s="181"/>
      <c r="E1569" s="182"/>
      <c r="F1569" s="183"/>
    </row>
    <row r="1570" spans="4:6" x14ac:dyDescent="0.3">
      <c r="D1570" s="181"/>
      <c r="E1570" s="182"/>
      <c r="F1570" s="183"/>
    </row>
    <row r="1571" spans="4:6" x14ac:dyDescent="0.3">
      <c r="D1571" s="181"/>
      <c r="E1571" s="182"/>
      <c r="F1571" s="183"/>
    </row>
    <row r="1572" spans="4:6" x14ac:dyDescent="0.3">
      <c r="D1572" s="181"/>
      <c r="E1572" s="182"/>
      <c r="F1572" s="183"/>
    </row>
    <row r="1573" spans="4:6" x14ac:dyDescent="0.3">
      <c r="D1573" s="181"/>
      <c r="E1573" s="182"/>
      <c r="F1573" s="183"/>
    </row>
    <row r="1574" spans="4:6" x14ac:dyDescent="0.3">
      <c r="D1574" s="181"/>
      <c r="E1574" s="182"/>
      <c r="F1574" s="183"/>
    </row>
    <row r="1575" spans="4:6" x14ac:dyDescent="0.3">
      <c r="D1575" s="181"/>
      <c r="E1575" s="182"/>
      <c r="F1575" s="183"/>
    </row>
    <row r="1576" spans="4:6" x14ac:dyDescent="0.3">
      <c r="D1576" s="181"/>
      <c r="E1576" s="182"/>
      <c r="F1576" s="183"/>
    </row>
    <row r="1577" spans="4:6" x14ac:dyDescent="0.3">
      <c r="D1577" s="181"/>
      <c r="E1577" s="182"/>
      <c r="F1577" s="183"/>
    </row>
    <row r="1578" spans="4:6" x14ac:dyDescent="0.3">
      <c r="D1578" s="181"/>
      <c r="E1578" s="182"/>
      <c r="F1578" s="183"/>
    </row>
    <row r="1579" spans="4:6" x14ac:dyDescent="0.3">
      <c r="D1579" s="181"/>
      <c r="E1579" s="182"/>
      <c r="F1579" s="183"/>
    </row>
    <row r="1580" spans="4:6" x14ac:dyDescent="0.3">
      <c r="D1580" s="181"/>
      <c r="E1580" s="182"/>
      <c r="F1580" s="183"/>
    </row>
    <row r="1581" spans="4:6" x14ac:dyDescent="0.3">
      <c r="D1581" s="181"/>
      <c r="E1581" s="182"/>
      <c r="F1581" s="183"/>
    </row>
    <row r="1582" spans="4:6" x14ac:dyDescent="0.3">
      <c r="D1582" s="181"/>
      <c r="E1582" s="182"/>
      <c r="F1582" s="183"/>
    </row>
    <row r="1583" spans="4:6" x14ac:dyDescent="0.3">
      <c r="D1583" s="181"/>
      <c r="E1583" s="182"/>
      <c r="F1583" s="183"/>
    </row>
    <row r="1584" spans="4:6" x14ac:dyDescent="0.3">
      <c r="D1584" s="181"/>
      <c r="E1584" s="182"/>
      <c r="F1584" s="183"/>
    </row>
    <row r="1585" spans="4:6" x14ac:dyDescent="0.3">
      <c r="D1585" s="181"/>
      <c r="E1585" s="182"/>
      <c r="F1585" s="183"/>
    </row>
    <row r="1586" spans="4:6" x14ac:dyDescent="0.3">
      <c r="D1586" s="181"/>
      <c r="E1586" s="182"/>
      <c r="F1586" s="183"/>
    </row>
    <row r="1587" spans="4:6" x14ac:dyDescent="0.3">
      <c r="D1587" s="181"/>
      <c r="E1587" s="182"/>
      <c r="F1587" s="183"/>
    </row>
    <row r="1588" spans="4:6" x14ac:dyDescent="0.3">
      <c r="D1588" s="181"/>
      <c r="E1588" s="182"/>
      <c r="F1588" s="183"/>
    </row>
    <row r="1589" spans="4:6" x14ac:dyDescent="0.3">
      <c r="D1589" s="181"/>
      <c r="E1589" s="182"/>
      <c r="F1589" s="183"/>
    </row>
    <row r="1590" spans="4:6" x14ac:dyDescent="0.3">
      <c r="D1590" s="181"/>
      <c r="E1590" s="182"/>
      <c r="F1590" s="183"/>
    </row>
    <row r="1591" spans="4:6" x14ac:dyDescent="0.3">
      <c r="D1591" s="181"/>
      <c r="E1591" s="182"/>
      <c r="F1591" s="183"/>
    </row>
    <row r="1592" spans="4:6" x14ac:dyDescent="0.3">
      <c r="D1592" s="181"/>
      <c r="E1592" s="182"/>
      <c r="F1592" s="183"/>
    </row>
    <row r="1593" spans="4:6" x14ac:dyDescent="0.3">
      <c r="D1593" s="181"/>
      <c r="E1593" s="182"/>
      <c r="F1593" s="183"/>
    </row>
    <row r="1594" spans="4:6" x14ac:dyDescent="0.3">
      <c r="D1594" s="181"/>
      <c r="E1594" s="182"/>
      <c r="F1594" s="183"/>
    </row>
    <row r="1595" spans="4:6" x14ac:dyDescent="0.3">
      <c r="D1595" s="181"/>
      <c r="E1595" s="182"/>
      <c r="F1595" s="183"/>
    </row>
    <row r="1596" spans="4:6" x14ac:dyDescent="0.3">
      <c r="D1596" s="181"/>
      <c r="E1596" s="182"/>
      <c r="F1596" s="183"/>
    </row>
    <row r="1597" spans="4:6" x14ac:dyDescent="0.3">
      <c r="D1597" s="181"/>
      <c r="E1597" s="182"/>
      <c r="F1597" s="183"/>
    </row>
    <row r="1598" spans="4:6" x14ac:dyDescent="0.3">
      <c r="D1598" s="181"/>
      <c r="E1598" s="182"/>
      <c r="F1598" s="183"/>
    </row>
    <row r="1599" spans="4:6" x14ac:dyDescent="0.3">
      <c r="D1599" s="181"/>
      <c r="E1599" s="182"/>
      <c r="F1599" s="183"/>
    </row>
    <row r="1600" spans="4:6" x14ac:dyDescent="0.3">
      <c r="D1600" s="181"/>
      <c r="E1600" s="182"/>
      <c r="F1600" s="183"/>
    </row>
    <row r="1601" spans="4:6" x14ac:dyDescent="0.3">
      <c r="D1601" s="181"/>
      <c r="E1601" s="182"/>
      <c r="F1601" s="183"/>
    </row>
    <row r="1602" spans="4:6" x14ac:dyDescent="0.3">
      <c r="D1602" s="181"/>
      <c r="E1602" s="182"/>
      <c r="F1602" s="183"/>
    </row>
    <row r="1603" spans="4:6" x14ac:dyDescent="0.3">
      <c r="D1603" s="181"/>
      <c r="E1603" s="182"/>
      <c r="F1603" s="183"/>
    </row>
    <row r="1604" spans="4:6" x14ac:dyDescent="0.3">
      <c r="D1604" s="181"/>
      <c r="E1604" s="182"/>
      <c r="F1604" s="183"/>
    </row>
    <row r="1605" spans="4:6" x14ac:dyDescent="0.3">
      <c r="D1605" s="181"/>
      <c r="E1605" s="182"/>
      <c r="F1605" s="183"/>
    </row>
    <row r="1606" spans="4:6" x14ac:dyDescent="0.3">
      <c r="D1606" s="181"/>
      <c r="E1606" s="182"/>
      <c r="F1606" s="183"/>
    </row>
    <row r="1607" spans="4:6" x14ac:dyDescent="0.3">
      <c r="D1607" s="181"/>
      <c r="E1607" s="182"/>
      <c r="F1607" s="183"/>
    </row>
    <row r="1608" spans="4:6" x14ac:dyDescent="0.3">
      <c r="D1608" s="181"/>
      <c r="E1608" s="182"/>
      <c r="F1608" s="183"/>
    </row>
    <row r="1609" spans="4:6" x14ac:dyDescent="0.3">
      <c r="D1609" s="181"/>
      <c r="E1609" s="182"/>
      <c r="F1609" s="183"/>
    </row>
    <row r="1610" spans="4:6" x14ac:dyDescent="0.3">
      <c r="D1610" s="181"/>
      <c r="E1610" s="182"/>
      <c r="F1610" s="183"/>
    </row>
    <row r="1611" spans="4:6" x14ac:dyDescent="0.3">
      <c r="D1611" s="181"/>
      <c r="E1611" s="182"/>
      <c r="F1611" s="183"/>
    </row>
    <row r="1612" spans="4:6" x14ac:dyDescent="0.3">
      <c r="D1612" s="181"/>
      <c r="E1612" s="182"/>
      <c r="F1612" s="183"/>
    </row>
    <row r="1613" spans="4:6" x14ac:dyDescent="0.3">
      <c r="D1613" s="181"/>
      <c r="E1613" s="182"/>
      <c r="F1613" s="183"/>
    </row>
    <row r="1614" spans="4:6" x14ac:dyDescent="0.3">
      <c r="D1614" s="181"/>
      <c r="E1614" s="182"/>
      <c r="F1614" s="183"/>
    </row>
    <row r="1615" spans="4:6" x14ac:dyDescent="0.3">
      <c r="D1615" s="181"/>
      <c r="E1615" s="182"/>
      <c r="F1615" s="183"/>
    </row>
    <row r="1616" spans="4:6" x14ac:dyDescent="0.3">
      <c r="D1616" s="181"/>
      <c r="E1616" s="182"/>
      <c r="F1616" s="183"/>
    </row>
    <row r="1617" spans="4:6" x14ac:dyDescent="0.3">
      <c r="D1617" s="181"/>
      <c r="E1617" s="182"/>
      <c r="F1617" s="183"/>
    </row>
    <row r="1618" spans="4:6" x14ac:dyDescent="0.3">
      <c r="D1618" s="181"/>
      <c r="E1618" s="182"/>
      <c r="F1618" s="183"/>
    </row>
    <row r="1619" spans="4:6" x14ac:dyDescent="0.3">
      <c r="D1619" s="181"/>
      <c r="E1619" s="182"/>
      <c r="F1619" s="183"/>
    </row>
    <row r="1620" spans="4:6" x14ac:dyDescent="0.3">
      <c r="D1620" s="181"/>
      <c r="E1620" s="182"/>
      <c r="F1620" s="183"/>
    </row>
    <row r="1621" spans="4:6" x14ac:dyDescent="0.3">
      <c r="D1621" s="181"/>
      <c r="E1621" s="182"/>
      <c r="F1621" s="183"/>
    </row>
    <row r="1622" spans="4:6" x14ac:dyDescent="0.3">
      <c r="D1622" s="181"/>
      <c r="E1622" s="182"/>
      <c r="F1622" s="183"/>
    </row>
    <row r="1623" spans="4:6" x14ac:dyDescent="0.3">
      <c r="D1623" s="181"/>
      <c r="E1623" s="182"/>
      <c r="F1623" s="183"/>
    </row>
    <row r="1624" spans="4:6" x14ac:dyDescent="0.3">
      <c r="D1624" s="181"/>
      <c r="E1624" s="182"/>
      <c r="F1624" s="183"/>
    </row>
    <row r="1625" spans="4:6" x14ac:dyDescent="0.3">
      <c r="D1625" s="181"/>
      <c r="E1625" s="182"/>
      <c r="F1625" s="183"/>
    </row>
    <row r="1626" spans="4:6" x14ac:dyDescent="0.3">
      <c r="D1626" s="181"/>
      <c r="E1626" s="182"/>
      <c r="F1626" s="183"/>
    </row>
    <row r="1627" spans="4:6" x14ac:dyDescent="0.3">
      <c r="D1627" s="181"/>
      <c r="E1627" s="182"/>
      <c r="F1627" s="183"/>
    </row>
    <row r="1628" spans="4:6" x14ac:dyDescent="0.3">
      <c r="D1628" s="181"/>
      <c r="E1628" s="182"/>
      <c r="F1628" s="183"/>
    </row>
    <row r="1629" spans="4:6" x14ac:dyDescent="0.3">
      <c r="D1629" s="181"/>
      <c r="E1629" s="182"/>
      <c r="F1629" s="183"/>
    </row>
    <row r="1630" spans="4:6" x14ac:dyDescent="0.3">
      <c r="D1630" s="181"/>
      <c r="E1630" s="182"/>
      <c r="F1630" s="183"/>
    </row>
    <row r="1631" spans="4:6" x14ac:dyDescent="0.3">
      <c r="D1631" s="181"/>
      <c r="E1631" s="182"/>
      <c r="F1631" s="183"/>
    </row>
    <row r="1632" spans="4:6" x14ac:dyDescent="0.3">
      <c r="D1632" s="181"/>
      <c r="E1632" s="182"/>
      <c r="F1632" s="183"/>
    </row>
    <row r="1633" spans="4:6" x14ac:dyDescent="0.3">
      <c r="D1633" s="181"/>
      <c r="E1633" s="182"/>
      <c r="F1633" s="183"/>
    </row>
    <row r="1634" spans="4:6" x14ac:dyDescent="0.3">
      <c r="D1634" s="181"/>
      <c r="E1634" s="182"/>
      <c r="F1634" s="183"/>
    </row>
    <row r="1635" spans="4:6" x14ac:dyDescent="0.3">
      <c r="D1635" s="181"/>
      <c r="E1635" s="182"/>
      <c r="F1635" s="183"/>
    </row>
    <row r="1636" spans="4:6" x14ac:dyDescent="0.3">
      <c r="D1636" s="181"/>
      <c r="E1636" s="182"/>
      <c r="F1636" s="183"/>
    </row>
    <row r="1637" spans="4:6" x14ac:dyDescent="0.3">
      <c r="D1637" s="181"/>
      <c r="E1637" s="182"/>
      <c r="F1637" s="183"/>
    </row>
    <row r="1638" spans="4:6" x14ac:dyDescent="0.3">
      <c r="D1638" s="181"/>
      <c r="E1638" s="182"/>
      <c r="F1638" s="183"/>
    </row>
    <row r="1639" spans="4:6" x14ac:dyDescent="0.3">
      <c r="D1639" s="181"/>
      <c r="E1639" s="182"/>
      <c r="F1639" s="183"/>
    </row>
    <row r="1640" spans="4:6" x14ac:dyDescent="0.3">
      <c r="D1640" s="181"/>
      <c r="E1640" s="182"/>
      <c r="F1640" s="183"/>
    </row>
    <row r="1641" spans="4:6" x14ac:dyDescent="0.3">
      <c r="D1641" s="181"/>
      <c r="E1641" s="182"/>
      <c r="F1641" s="183"/>
    </row>
    <row r="1642" spans="4:6" x14ac:dyDescent="0.3">
      <c r="D1642" s="181"/>
      <c r="E1642" s="182"/>
      <c r="F1642" s="183"/>
    </row>
    <row r="1643" spans="4:6" x14ac:dyDescent="0.3">
      <c r="D1643" s="181"/>
      <c r="E1643" s="182"/>
      <c r="F1643" s="183"/>
    </row>
    <row r="1644" spans="4:6" x14ac:dyDescent="0.3">
      <c r="D1644" s="181"/>
      <c r="E1644" s="182"/>
      <c r="F1644" s="183"/>
    </row>
    <row r="1645" spans="4:6" x14ac:dyDescent="0.3">
      <c r="D1645" s="181"/>
      <c r="E1645" s="182"/>
      <c r="F1645" s="183"/>
    </row>
    <row r="1646" spans="4:6" x14ac:dyDescent="0.3">
      <c r="D1646" s="181"/>
      <c r="E1646" s="182"/>
      <c r="F1646" s="183"/>
    </row>
    <row r="1647" spans="4:6" x14ac:dyDescent="0.3">
      <c r="D1647" s="181"/>
      <c r="E1647" s="182"/>
      <c r="F1647" s="183"/>
    </row>
    <row r="1648" spans="4:6" x14ac:dyDescent="0.3">
      <c r="D1648" s="181"/>
      <c r="E1648" s="182"/>
      <c r="F1648" s="183"/>
    </row>
    <row r="1649" spans="4:6" x14ac:dyDescent="0.3">
      <c r="D1649" s="181"/>
      <c r="E1649" s="182"/>
      <c r="F1649" s="183"/>
    </row>
    <row r="1650" spans="4:6" x14ac:dyDescent="0.3">
      <c r="D1650" s="181"/>
      <c r="E1650" s="182"/>
      <c r="F1650" s="183"/>
    </row>
    <row r="1651" spans="4:6" x14ac:dyDescent="0.3">
      <c r="D1651" s="181"/>
      <c r="E1651" s="182"/>
      <c r="F1651" s="183"/>
    </row>
    <row r="1652" spans="4:6" x14ac:dyDescent="0.3">
      <c r="D1652" s="181"/>
      <c r="E1652" s="182"/>
      <c r="F1652" s="183"/>
    </row>
    <row r="1653" spans="4:6" x14ac:dyDescent="0.3">
      <c r="D1653" s="181"/>
      <c r="E1653" s="182"/>
      <c r="F1653" s="183"/>
    </row>
    <row r="1654" spans="4:6" x14ac:dyDescent="0.3">
      <c r="D1654" s="181"/>
      <c r="E1654" s="182"/>
      <c r="F1654" s="183"/>
    </row>
    <row r="1655" spans="4:6" x14ac:dyDescent="0.3">
      <c r="D1655" s="181"/>
      <c r="E1655" s="182"/>
      <c r="F1655" s="183"/>
    </row>
    <row r="1656" spans="4:6" x14ac:dyDescent="0.3">
      <c r="D1656" s="181"/>
      <c r="E1656" s="182"/>
      <c r="F1656" s="183"/>
    </row>
    <row r="1657" spans="4:6" x14ac:dyDescent="0.3">
      <c r="D1657" s="181"/>
      <c r="E1657" s="182"/>
      <c r="F1657" s="183"/>
    </row>
    <row r="1658" spans="4:6" x14ac:dyDescent="0.3">
      <c r="D1658" s="181"/>
      <c r="E1658" s="182"/>
      <c r="F1658" s="183"/>
    </row>
    <row r="1659" spans="4:6" x14ac:dyDescent="0.3">
      <c r="D1659" s="181"/>
      <c r="E1659" s="182"/>
      <c r="F1659" s="183"/>
    </row>
    <row r="1660" spans="4:6" x14ac:dyDescent="0.3">
      <c r="D1660" s="181"/>
      <c r="E1660" s="182"/>
      <c r="F1660" s="183"/>
    </row>
    <row r="1661" spans="4:6" x14ac:dyDescent="0.3">
      <c r="D1661" s="181"/>
      <c r="E1661" s="182"/>
      <c r="F1661" s="183"/>
    </row>
    <row r="1662" spans="4:6" x14ac:dyDescent="0.3">
      <c r="D1662" s="181"/>
      <c r="E1662" s="182"/>
      <c r="F1662" s="183"/>
    </row>
    <row r="1663" spans="4:6" x14ac:dyDescent="0.3">
      <c r="D1663" s="181"/>
      <c r="E1663" s="182"/>
      <c r="F1663" s="183"/>
    </row>
    <row r="1664" spans="4:6" x14ac:dyDescent="0.3">
      <c r="D1664" s="181"/>
      <c r="E1664" s="182"/>
      <c r="F1664" s="183"/>
    </row>
    <row r="1665" spans="4:6" x14ac:dyDescent="0.3">
      <c r="D1665" s="181"/>
      <c r="E1665" s="182"/>
      <c r="F1665" s="183"/>
    </row>
    <row r="1666" spans="4:6" x14ac:dyDescent="0.3">
      <c r="D1666" s="181"/>
      <c r="E1666" s="182"/>
      <c r="F1666" s="183"/>
    </row>
    <row r="1667" spans="4:6" x14ac:dyDescent="0.3">
      <c r="D1667" s="181"/>
      <c r="E1667" s="182"/>
      <c r="F1667" s="183"/>
    </row>
    <row r="1668" spans="4:6" x14ac:dyDescent="0.3">
      <c r="D1668" s="181"/>
      <c r="E1668" s="182"/>
      <c r="F1668" s="183"/>
    </row>
    <row r="1669" spans="4:6" x14ac:dyDescent="0.3">
      <c r="D1669" s="181"/>
      <c r="E1669" s="182"/>
      <c r="F1669" s="183"/>
    </row>
    <row r="1670" spans="4:6" x14ac:dyDescent="0.3">
      <c r="D1670" s="181"/>
      <c r="E1670" s="182"/>
      <c r="F1670" s="183"/>
    </row>
    <row r="1671" spans="4:6" x14ac:dyDescent="0.3">
      <c r="D1671" s="181"/>
      <c r="E1671" s="182"/>
      <c r="F1671" s="183"/>
    </row>
    <row r="1672" spans="4:6" x14ac:dyDescent="0.3">
      <c r="D1672" s="181"/>
      <c r="E1672" s="182"/>
      <c r="F1672" s="183"/>
    </row>
    <row r="1673" spans="4:6" x14ac:dyDescent="0.3">
      <c r="D1673" s="181"/>
      <c r="E1673" s="182"/>
      <c r="F1673" s="183"/>
    </row>
    <row r="1674" spans="4:6" x14ac:dyDescent="0.3">
      <c r="D1674" s="181"/>
      <c r="E1674" s="182"/>
      <c r="F1674" s="183"/>
    </row>
    <row r="1675" spans="4:6" x14ac:dyDescent="0.3">
      <c r="D1675" s="181"/>
      <c r="E1675" s="182"/>
      <c r="F1675" s="183"/>
    </row>
    <row r="1676" spans="4:6" x14ac:dyDescent="0.3">
      <c r="D1676" s="181"/>
      <c r="E1676" s="182"/>
      <c r="F1676" s="183"/>
    </row>
    <row r="1677" spans="4:6" x14ac:dyDescent="0.3">
      <c r="D1677" s="181"/>
      <c r="E1677" s="182"/>
      <c r="F1677" s="183"/>
    </row>
    <row r="1678" spans="4:6" x14ac:dyDescent="0.3">
      <c r="D1678" s="181"/>
      <c r="E1678" s="182"/>
      <c r="F1678" s="183"/>
    </row>
    <row r="1679" spans="4:6" x14ac:dyDescent="0.3">
      <c r="D1679" s="181"/>
      <c r="E1679" s="182"/>
      <c r="F1679" s="183"/>
    </row>
    <row r="1680" spans="4:6" x14ac:dyDescent="0.3">
      <c r="D1680" s="181"/>
      <c r="E1680" s="182"/>
      <c r="F1680" s="183"/>
    </row>
    <row r="1681" spans="4:6" x14ac:dyDescent="0.3">
      <c r="D1681" s="181"/>
      <c r="E1681" s="182"/>
      <c r="F1681" s="183"/>
    </row>
    <row r="1682" spans="4:6" x14ac:dyDescent="0.3">
      <c r="D1682" s="181"/>
      <c r="E1682" s="182"/>
      <c r="F1682" s="183"/>
    </row>
    <row r="1683" spans="4:6" x14ac:dyDescent="0.3">
      <c r="D1683" s="181"/>
      <c r="E1683" s="182"/>
      <c r="F1683" s="183"/>
    </row>
    <row r="1684" spans="4:6" x14ac:dyDescent="0.3">
      <c r="D1684" s="181"/>
      <c r="E1684" s="182"/>
      <c r="F1684" s="183"/>
    </row>
    <row r="1685" spans="4:6" x14ac:dyDescent="0.3">
      <c r="D1685" s="181"/>
      <c r="E1685" s="182"/>
      <c r="F1685" s="183"/>
    </row>
    <row r="1686" spans="4:6" x14ac:dyDescent="0.3">
      <c r="D1686" s="181"/>
      <c r="E1686" s="182"/>
      <c r="F1686" s="183"/>
    </row>
    <row r="1687" spans="4:6" x14ac:dyDescent="0.3">
      <c r="D1687" s="181"/>
      <c r="E1687" s="182"/>
      <c r="F1687" s="183"/>
    </row>
    <row r="1688" spans="4:6" x14ac:dyDescent="0.3">
      <c r="D1688" s="181"/>
      <c r="E1688" s="182"/>
      <c r="F1688" s="183"/>
    </row>
    <row r="1689" spans="4:6" x14ac:dyDescent="0.3">
      <c r="D1689" s="181"/>
      <c r="E1689" s="182"/>
      <c r="F1689" s="183"/>
    </row>
    <row r="1690" spans="4:6" x14ac:dyDescent="0.3">
      <c r="D1690" s="181"/>
      <c r="E1690" s="182"/>
      <c r="F1690" s="183"/>
    </row>
    <row r="1691" spans="4:6" x14ac:dyDescent="0.3">
      <c r="D1691" s="181"/>
      <c r="E1691" s="182"/>
      <c r="F1691" s="183"/>
    </row>
    <row r="1692" spans="4:6" x14ac:dyDescent="0.3">
      <c r="D1692" s="181"/>
      <c r="E1692" s="182"/>
      <c r="F1692" s="183"/>
    </row>
    <row r="1693" spans="4:6" x14ac:dyDescent="0.3">
      <c r="D1693" s="181"/>
      <c r="E1693" s="182"/>
      <c r="F1693" s="183"/>
    </row>
    <row r="1694" spans="4:6" x14ac:dyDescent="0.3">
      <c r="D1694" s="181"/>
      <c r="E1694" s="182"/>
      <c r="F1694" s="183"/>
    </row>
    <row r="1695" spans="4:6" x14ac:dyDescent="0.3">
      <c r="D1695" s="181"/>
      <c r="E1695" s="182"/>
      <c r="F1695" s="183"/>
    </row>
    <row r="1696" spans="4:6" x14ac:dyDescent="0.3">
      <c r="D1696" s="181"/>
      <c r="E1696" s="182"/>
      <c r="F1696" s="183"/>
    </row>
    <row r="1697" spans="4:6" x14ac:dyDescent="0.3">
      <c r="D1697" s="181"/>
      <c r="E1697" s="182"/>
      <c r="F1697" s="183"/>
    </row>
    <row r="1698" spans="4:6" x14ac:dyDescent="0.3">
      <c r="D1698" s="181"/>
      <c r="E1698" s="182"/>
      <c r="F1698" s="183"/>
    </row>
    <row r="1699" spans="4:6" x14ac:dyDescent="0.3">
      <c r="D1699" s="181"/>
      <c r="E1699" s="182"/>
      <c r="F1699" s="183"/>
    </row>
    <row r="1700" spans="4:6" x14ac:dyDescent="0.3">
      <c r="D1700" s="181"/>
      <c r="E1700" s="182"/>
      <c r="F1700" s="183"/>
    </row>
    <row r="1701" spans="4:6" x14ac:dyDescent="0.3">
      <c r="D1701" s="181"/>
      <c r="E1701" s="182"/>
      <c r="F1701" s="183"/>
    </row>
    <row r="1702" spans="4:6" x14ac:dyDescent="0.3">
      <c r="D1702" s="181"/>
      <c r="E1702" s="182"/>
      <c r="F1702" s="183"/>
    </row>
    <row r="1703" spans="4:6" x14ac:dyDescent="0.3">
      <c r="D1703" s="181"/>
      <c r="E1703" s="182"/>
      <c r="F1703" s="183"/>
    </row>
    <row r="1704" spans="4:6" x14ac:dyDescent="0.3">
      <c r="D1704" s="181"/>
      <c r="E1704" s="182"/>
      <c r="F1704" s="183"/>
    </row>
    <row r="1705" spans="4:6" x14ac:dyDescent="0.3">
      <c r="D1705" s="181"/>
      <c r="E1705" s="182"/>
      <c r="F1705" s="183"/>
    </row>
    <row r="1706" spans="4:6" x14ac:dyDescent="0.3">
      <c r="D1706" s="181"/>
      <c r="E1706" s="182"/>
      <c r="F1706" s="183"/>
    </row>
    <row r="1707" spans="4:6" x14ac:dyDescent="0.3">
      <c r="D1707" s="181"/>
      <c r="E1707" s="182"/>
      <c r="F1707" s="183"/>
    </row>
    <row r="1708" spans="4:6" x14ac:dyDescent="0.3">
      <c r="D1708" s="181"/>
      <c r="E1708" s="182"/>
      <c r="F1708" s="183"/>
    </row>
    <row r="1709" spans="4:6" x14ac:dyDescent="0.3">
      <c r="D1709" s="181"/>
      <c r="E1709" s="182"/>
      <c r="F1709" s="183"/>
    </row>
    <row r="1710" spans="4:6" x14ac:dyDescent="0.3">
      <c r="D1710" s="181"/>
      <c r="E1710" s="182"/>
      <c r="F1710" s="183"/>
    </row>
    <row r="1711" spans="4:6" x14ac:dyDescent="0.3">
      <c r="D1711" s="181"/>
      <c r="E1711" s="182"/>
      <c r="F1711" s="183"/>
    </row>
    <row r="1712" spans="4:6" x14ac:dyDescent="0.3">
      <c r="D1712" s="181"/>
      <c r="E1712" s="182"/>
      <c r="F1712" s="183"/>
    </row>
    <row r="1713" spans="4:6" x14ac:dyDescent="0.3">
      <c r="D1713" s="181"/>
      <c r="E1713" s="182"/>
      <c r="F1713" s="183"/>
    </row>
    <row r="1714" spans="4:6" x14ac:dyDescent="0.3">
      <c r="D1714" s="181"/>
      <c r="E1714" s="182"/>
      <c r="F1714" s="183"/>
    </row>
    <row r="1715" spans="4:6" x14ac:dyDescent="0.3">
      <c r="D1715" s="181"/>
      <c r="E1715" s="182"/>
      <c r="F1715" s="183"/>
    </row>
    <row r="1716" spans="4:6" x14ac:dyDescent="0.3">
      <c r="D1716" s="181"/>
      <c r="E1716" s="182"/>
      <c r="F1716" s="183"/>
    </row>
    <row r="1717" spans="4:6" x14ac:dyDescent="0.3">
      <c r="D1717" s="181"/>
      <c r="E1717" s="182"/>
      <c r="F1717" s="183"/>
    </row>
    <row r="1718" spans="4:6" x14ac:dyDescent="0.3">
      <c r="D1718" s="181"/>
      <c r="E1718" s="182"/>
      <c r="F1718" s="183"/>
    </row>
    <row r="1719" spans="4:6" x14ac:dyDescent="0.3">
      <c r="D1719" s="181"/>
      <c r="E1719" s="182"/>
      <c r="F1719" s="183"/>
    </row>
    <row r="1720" spans="4:6" x14ac:dyDescent="0.3">
      <c r="D1720" s="181"/>
      <c r="E1720" s="182"/>
      <c r="F1720" s="183"/>
    </row>
    <row r="1721" spans="4:6" x14ac:dyDescent="0.3">
      <c r="D1721" s="181"/>
      <c r="E1721" s="182"/>
      <c r="F1721" s="183"/>
    </row>
    <row r="1722" spans="4:6" x14ac:dyDescent="0.3">
      <c r="D1722" s="181"/>
      <c r="E1722" s="182"/>
      <c r="F1722" s="183"/>
    </row>
    <row r="1723" spans="4:6" x14ac:dyDescent="0.3">
      <c r="D1723" s="181"/>
      <c r="E1723" s="182"/>
      <c r="F1723" s="183"/>
    </row>
    <row r="1724" spans="4:6" x14ac:dyDescent="0.3">
      <c r="D1724" s="181"/>
      <c r="E1724" s="182"/>
      <c r="F1724" s="183"/>
    </row>
    <row r="1725" spans="4:6" x14ac:dyDescent="0.3">
      <c r="D1725" s="181"/>
      <c r="E1725" s="182"/>
      <c r="F1725" s="183"/>
    </row>
    <row r="1726" spans="4:6" x14ac:dyDescent="0.3">
      <c r="D1726" s="181"/>
      <c r="E1726" s="182"/>
      <c r="F1726" s="183"/>
    </row>
    <row r="1727" spans="4:6" x14ac:dyDescent="0.3">
      <c r="D1727" s="181"/>
      <c r="E1727" s="182"/>
      <c r="F1727" s="183"/>
    </row>
    <row r="1728" spans="4:6" x14ac:dyDescent="0.3">
      <c r="D1728" s="181"/>
      <c r="E1728" s="182"/>
      <c r="F1728" s="183"/>
    </row>
    <row r="1729" spans="4:6" x14ac:dyDescent="0.3">
      <c r="D1729" s="181"/>
      <c r="E1729" s="182"/>
      <c r="F1729" s="183"/>
    </row>
    <row r="1730" spans="4:6" x14ac:dyDescent="0.3">
      <c r="D1730" s="181"/>
      <c r="E1730" s="182"/>
      <c r="F1730" s="183"/>
    </row>
    <row r="1731" spans="4:6" x14ac:dyDescent="0.3">
      <c r="D1731" s="181"/>
      <c r="E1731" s="182"/>
      <c r="F1731" s="183"/>
    </row>
    <row r="1732" spans="4:6" x14ac:dyDescent="0.3">
      <c r="D1732" s="181"/>
      <c r="E1732" s="182"/>
      <c r="F1732" s="183"/>
    </row>
    <row r="1733" spans="4:6" x14ac:dyDescent="0.3">
      <c r="D1733" s="181"/>
      <c r="E1733" s="182"/>
      <c r="F1733" s="183"/>
    </row>
    <row r="1734" spans="4:6" x14ac:dyDescent="0.3">
      <c r="D1734" s="181"/>
      <c r="E1734" s="182"/>
      <c r="F1734" s="183"/>
    </row>
    <row r="1735" spans="4:6" x14ac:dyDescent="0.3">
      <c r="D1735" s="181"/>
      <c r="E1735" s="182"/>
      <c r="F1735" s="183"/>
    </row>
    <row r="1736" spans="4:6" x14ac:dyDescent="0.3">
      <c r="D1736" s="181"/>
      <c r="E1736" s="182"/>
      <c r="F1736" s="183"/>
    </row>
    <row r="1737" spans="4:6" x14ac:dyDescent="0.3">
      <c r="D1737" s="181"/>
      <c r="E1737" s="182"/>
      <c r="F1737" s="183"/>
    </row>
    <row r="1738" spans="4:6" x14ac:dyDescent="0.3">
      <c r="D1738" s="181"/>
      <c r="E1738" s="182"/>
      <c r="F1738" s="183"/>
    </row>
    <row r="1739" spans="4:6" x14ac:dyDescent="0.3">
      <c r="D1739" s="181"/>
      <c r="E1739" s="182"/>
      <c r="F1739" s="183"/>
    </row>
    <row r="1740" spans="4:6" x14ac:dyDescent="0.3">
      <c r="D1740" s="181"/>
      <c r="E1740" s="182"/>
      <c r="F1740" s="183"/>
    </row>
    <row r="1741" spans="4:6" x14ac:dyDescent="0.3">
      <c r="D1741" s="181"/>
      <c r="E1741" s="182"/>
      <c r="F1741" s="183"/>
    </row>
    <row r="1742" spans="4:6" x14ac:dyDescent="0.3">
      <c r="D1742" s="181"/>
      <c r="E1742" s="182"/>
      <c r="F1742" s="183"/>
    </row>
    <row r="1743" spans="4:6" x14ac:dyDescent="0.3">
      <c r="D1743" s="181"/>
      <c r="E1743" s="182"/>
      <c r="F1743" s="183"/>
    </row>
    <row r="1744" spans="4:6" x14ac:dyDescent="0.3">
      <c r="D1744" s="181"/>
      <c r="E1744" s="182"/>
      <c r="F1744" s="183"/>
    </row>
    <row r="1745" spans="4:6" x14ac:dyDescent="0.3">
      <c r="D1745" s="181"/>
      <c r="E1745" s="182"/>
      <c r="F1745" s="183"/>
    </row>
    <row r="1746" spans="4:6" x14ac:dyDescent="0.3">
      <c r="D1746" s="181"/>
      <c r="E1746" s="182"/>
      <c r="F1746" s="183"/>
    </row>
    <row r="1747" spans="4:6" x14ac:dyDescent="0.3">
      <c r="D1747" s="181"/>
      <c r="E1747" s="182"/>
      <c r="F1747" s="183"/>
    </row>
    <row r="1748" spans="4:6" x14ac:dyDescent="0.3">
      <c r="D1748" s="181"/>
      <c r="E1748" s="182"/>
      <c r="F1748" s="183"/>
    </row>
    <row r="1749" spans="4:6" x14ac:dyDescent="0.3">
      <c r="D1749" s="181"/>
      <c r="E1749" s="182"/>
      <c r="F1749" s="183"/>
    </row>
    <row r="1750" spans="4:6" x14ac:dyDescent="0.3">
      <c r="D1750" s="181"/>
      <c r="E1750" s="182"/>
      <c r="F1750" s="183"/>
    </row>
    <row r="1751" spans="4:6" x14ac:dyDescent="0.3">
      <c r="D1751" s="181"/>
      <c r="E1751" s="182"/>
      <c r="F1751" s="183"/>
    </row>
    <row r="1752" spans="4:6" x14ac:dyDescent="0.3">
      <c r="D1752" s="181"/>
      <c r="E1752" s="182"/>
      <c r="F1752" s="183"/>
    </row>
    <row r="1753" spans="4:6" x14ac:dyDescent="0.3">
      <c r="D1753" s="181"/>
      <c r="E1753" s="182"/>
      <c r="F1753" s="183"/>
    </row>
    <row r="1754" spans="4:6" x14ac:dyDescent="0.3">
      <c r="D1754" s="181"/>
      <c r="E1754" s="182"/>
      <c r="F1754" s="183"/>
    </row>
    <row r="1755" spans="4:6" x14ac:dyDescent="0.3">
      <c r="D1755" s="181"/>
      <c r="E1755" s="182"/>
      <c r="F1755" s="183"/>
    </row>
    <row r="1756" spans="4:6" x14ac:dyDescent="0.3">
      <c r="D1756" s="181"/>
      <c r="E1756" s="182"/>
      <c r="F1756" s="183"/>
    </row>
    <row r="1757" spans="4:6" x14ac:dyDescent="0.3">
      <c r="D1757" s="181"/>
      <c r="E1757" s="182"/>
      <c r="F1757" s="183"/>
    </row>
    <row r="1758" spans="4:6" x14ac:dyDescent="0.3">
      <c r="D1758" s="181"/>
      <c r="E1758" s="182"/>
      <c r="F1758" s="183"/>
    </row>
    <row r="1759" spans="4:6" x14ac:dyDescent="0.3">
      <c r="D1759" s="181"/>
      <c r="E1759" s="182"/>
      <c r="F1759" s="183"/>
    </row>
    <row r="1760" spans="4:6" x14ac:dyDescent="0.3">
      <c r="D1760" s="181"/>
      <c r="E1760" s="182"/>
      <c r="F1760" s="183"/>
    </row>
    <row r="1761" spans="4:6" x14ac:dyDescent="0.3">
      <c r="D1761" s="181"/>
      <c r="E1761" s="182"/>
      <c r="F1761" s="183"/>
    </row>
    <row r="1762" spans="4:6" x14ac:dyDescent="0.3">
      <c r="D1762" s="181"/>
      <c r="E1762" s="182"/>
      <c r="F1762" s="183"/>
    </row>
    <row r="1763" spans="4:6" x14ac:dyDescent="0.3">
      <c r="D1763" s="181"/>
      <c r="E1763" s="182"/>
      <c r="F1763" s="183"/>
    </row>
    <row r="1764" spans="4:6" x14ac:dyDescent="0.3">
      <c r="D1764" s="181"/>
      <c r="E1764" s="182"/>
      <c r="F1764" s="183"/>
    </row>
    <row r="1765" spans="4:6" x14ac:dyDescent="0.3">
      <c r="D1765" s="181"/>
      <c r="E1765" s="182"/>
      <c r="F1765" s="183"/>
    </row>
    <row r="1766" spans="4:6" x14ac:dyDescent="0.3">
      <c r="D1766" s="181"/>
      <c r="E1766" s="182"/>
      <c r="F1766" s="183"/>
    </row>
    <row r="1767" spans="4:6" x14ac:dyDescent="0.3">
      <c r="D1767" s="181"/>
      <c r="E1767" s="182"/>
      <c r="F1767" s="183"/>
    </row>
    <row r="1768" spans="4:6" x14ac:dyDescent="0.3">
      <c r="D1768" s="181"/>
      <c r="E1768" s="182"/>
      <c r="F1768" s="183"/>
    </row>
    <row r="1769" spans="4:6" x14ac:dyDescent="0.3">
      <c r="D1769" s="181"/>
      <c r="E1769" s="182"/>
      <c r="F1769" s="183"/>
    </row>
    <row r="1770" spans="4:6" x14ac:dyDescent="0.3">
      <c r="D1770" s="181"/>
      <c r="E1770" s="182"/>
      <c r="F1770" s="183"/>
    </row>
    <row r="1771" spans="4:6" x14ac:dyDescent="0.3">
      <c r="D1771" s="181"/>
      <c r="E1771" s="182"/>
      <c r="F1771" s="183"/>
    </row>
    <row r="1772" spans="4:6" x14ac:dyDescent="0.3">
      <c r="D1772" s="181"/>
      <c r="E1772" s="182"/>
      <c r="F1772" s="183"/>
    </row>
    <row r="1773" spans="4:6" x14ac:dyDescent="0.3">
      <c r="D1773" s="181"/>
      <c r="E1773" s="182"/>
      <c r="F1773" s="183"/>
    </row>
    <row r="1774" spans="4:6" x14ac:dyDescent="0.3">
      <c r="D1774" s="181"/>
      <c r="E1774" s="182"/>
      <c r="F1774" s="183"/>
    </row>
    <row r="1775" spans="4:6" x14ac:dyDescent="0.3">
      <c r="D1775" s="181"/>
      <c r="E1775" s="182"/>
      <c r="F1775" s="183"/>
    </row>
    <row r="1776" spans="4:6" x14ac:dyDescent="0.3">
      <c r="D1776" s="181"/>
      <c r="E1776" s="182"/>
      <c r="F1776" s="183"/>
    </row>
    <row r="1777" spans="4:6" x14ac:dyDescent="0.3">
      <c r="D1777" s="181"/>
      <c r="E1777" s="182"/>
      <c r="F1777" s="183"/>
    </row>
    <row r="1778" spans="4:6" x14ac:dyDescent="0.3">
      <c r="D1778" s="181"/>
      <c r="E1778" s="182"/>
      <c r="F1778" s="183"/>
    </row>
    <row r="1779" spans="4:6" x14ac:dyDescent="0.3">
      <c r="D1779" s="181"/>
      <c r="E1779" s="182"/>
      <c r="F1779" s="183"/>
    </row>
    <row r="1780" spans="4:6" x14ac:dyDescent="0.3">
      <c r="D1780" s="181"/>
      <c r="E1780" s="182"/>
      <c r="F1780" s="183"/>
    </row>
    <row r="1781" spans="4:6" x14ac:dyDescent="0.3">
      <c r="D1781" s="181"/>
      <c r="E1781" s="182"/>
      <c r="F1781" s="183"/>
    </row>
    <row r="1782" spans="4:6" x14ac:dyDescent="0.3">
      <c r="D1782" s="181"/>
      <c r="E1782" s="182"/>
      <c r="F1782" s="183"/>
    </row>
    <row r="1783" spans="4:6" x14ac:dyDescent="0.3">
      <c r="D1783" s="181"/>
      <c r="E1783" s="182"/>
      <c r="F1783" s="183"/>
    </row>
    <row r="1784" spans="4:6" x14ac:dyDescent="0.3">
      <c r="D1784" s="181"/>
      <c r="E1784" s="182"/>
      <c r="F1784" s="183"/>
    </row>
    <row r="1785" spans="4:6" x14ac:dyDescent="0.3">
      <c r="D1785" s="181"/>
      <c r="E1785" s="182"/>
      <c r="F1785" s="183"/>
    </row>
    <row r="1786" spans="4:6" x14ac:dyDescent="0.3">
      <c r="D1786" s="181"/>
      <c r="E1786" s="182"/>
      <c r="F1786" s="183"/>
    </row>
    <row r="1787" spans="4:6" x14ac:dyDescent="0.3">
      <c r="D1787" s="181"/>
      <c r="E1787" s="182"/>
      <c r="F1787" s="183"/>
    </row>
    <row r="1788" spans="4:6" x14ac:dyDescent="0.3">
      <c r="D1788" s="181"/>
      <c r="E1788" s="182"/>
      <c r="F1788" s="183"/>
    </row>
    <row r="1789" spans="4:6" x14ac:dyDescent="0.3">
      <c r="D1789" s="181"/>
      <c r="E1789" s="182"/>
      <c r="F1789" s="183"/>
    </row>
    <row r="1790" spans="4:6" x14ac:dyDescent="0.3">
      <c r="D1790" s="181"/>
      <c r="E1790" s="182"/>
      <c r="F1790" s="183"/>
    </row>
    <row r="1791" spans="4:6" x14ac:dyDescent="0.3">
      <c r="D1791" s="181"/>
      <c r="E1791" s="182"/>
      <c r="F1791" s="183"/>
    </row>
    <row r="1792" spans="4:6" x14ac:dyDescent="0.3">
      <c r="D1792" s="181"/>
      <c r="E1792" s="182"/>
      <c r="F1792" s="183"/>
    </row>
    <row r="1793" spans="4:6" x14ac:dyDescent="0.3">
      <c r="D1793" s="181"/>
      <c r="E1793" s="182"/>
      <c r="F1793" s="183"/>
    </row>
    <row r="1794" spans="4:6" x14ac:dyDescent="0.3">
      <c r="D1794" s="181"/>
      <c r="E1794" s="182"/>
      <c r="F1794" s="183"/>
    </row>
    <row r="1795" spans="4:6" x14ac:dyDescent="0.3">
      <c r="D1795" s="181"/>
      <c r="E1795" s="182"/>
      <c r="F1795" s="183"/>
    </row>
    <row r="1796" spans="4:6" x14ac:dyDescent="0.3">
      <c r="D1796" s="181"/>
      <c r="E1796" s="182"/>
      <c r="F1796" s="183"/>
    </row>
    <row r="1797" spans="4:6" x14ac:dyDescent="0.3">
      <c r="D1797" s="181"/>
      <c r="E1797" s="182"/>
      <c r="F1797" s="183"/>
    </row>
    <row r="1798" spans="4:6" x14ac:dyDescent="0.3">
      <c r="D1798" s="181"/>
      <c r="E1798" s="182"/>
      <c r="F1798" s="183"/>
    </row>
    <row r="1799" spans="4:6" x14ac:dyDescent="0.3">
      <c r="D1799" s="181"/>
      <c r="E1799" s="182"/>
      <c r="F1799" s="183"/>
    </row>
    <row r="1800" spans="4:6" x14ac:dyDescent="0.3">
      <c r="D1800" s="181"/>
      <c r="E1800" s="182"/>
      <c r="F1800" s="183"/>
    </row>
    <row r="1801" spans="4:6" x14ac:dyDescent="0.3">
      <c r="D1801" s="181"/>
      <c r="E1801" s="182"/>
      <c r="F1801" s="183"/>
    </row>
    <row r="1802" spans="4:6" x14ac:dyDescent="0.3">
      <c r="D1802" s="181"/>
      <c r="E1802" s="182"/>
      <c r="F1802" s="183"/>
    </row>
    <row r="1803" spans="4:6" x14ac:dyDescent="0.3">
      <c r="D1803" s="181"/>
      <c r="E1803" s="182"/>
      <c r="F1803" s="183"/>
    </row>
    <row r="1804" spans="4:6" x14ac:dyDescent="0.3">
      <c r="D1804" s="181"/>
      <c r="E1804" s="182"/>
      <c r="F1804" s="183"/>
    </row>
    <row r="1805" spans="4:6" x14ac:dyDescent="0.3">
      <c r="D1805" s="181"/>
      <c r="E1805" s="182"/>
      <c r="F1805" s="183"/>
    </row>
    <row r="1806" spans="4:6" x14ac:dyDescent="0.3">
      <c r="D1806" s="181"/>
      <c r="E1806" s="182"/>
      <c r="F1806" s="183"/>
    </row>
    <row r="1807" spans="4:6" x14ac:dyDescent="0.3">
      <c r="D1807" s="181"/>
      <c r="E1807" s="182"/>
      <c r="F1807" s="183"/>
    </row>
    <row r="1808" spans="4:6" x14ac:dyDescent="0.3">
      <c r="D1808" s="181"/>
      <c r="E1808" s="182"/>
      <c r="F1808" s="183"/>
    </row>
    <row r="1809" spans="4:6" x14ac:dyDescent="0.3">
      <c r="D1809" s="181"/>
      <c r="E1809" s="182"/>
      <c r="F1809" s="183"/>
    </row>
    <row r="1810" spans="4:6" x14ac:dyDescent="0.3">
      <c r="D1810" s="181"/>
      <c r="E1810" s="182"/>
      <c r="F1810" s="183"/>
    </row>
    <row r="1811" spans="4:6" x14ac:dyDescent="0.3">
      <c r="D1811" s="181"/>
      <c r="E1811" s="182"/>
      <c r="F1811" s="183"/>
    </row>
    <row r="1812" spans="4:6" x14ac:dyDescent="0.3">
      <c r="D1812" s="181"/>
      <c r="E1812" s="182"/>
      <c r="F1812" s="183"/>
    </row>
    <row r="1813" spans="4:6" x14ac:dyDescent="0.3">
      <c r="D1813" s="181"/>
      <c r="E1813" s="182"/>
      <c r="F1813" s="183"/>
    </row>
    <row r="1814" spans="4:6" x14ac:dyDescent="0.3">
      <c r="D1814" s="181"/>
      <c r="E1814" s="182"/>
      <c r="F1814" s="183"/>
    </row>
    <row r="1815" spans="4:6" x14ac:dyDescent="0.3">
      <c r="D1815" s="181"/>
      <c r="E1815" s="182"/>
      <c r="F1815" s="183"/>
    </row>
    <row r="1816" spans="4:6" x14ac:dyDescent="0.3">
      <c r="D1816" s="181"/>
      <c r="E1816" s="182"/>
      <c r="F1816" s="183"/>
    </row>
    <row r="1817" spans="4:6" x14ac:dyDescent="0.3">
      <c r="D1817" s="181"/>
      <c r="E1817" s="182"/>
      <c r="F1817" s="183"/>
    </row>
    <row r="1818" spans="4:6" x14ac:dyDescent="0.3">
      <c r="D1818" s="181"/>
      <c r="E1818" s="182"/>
      <c r="F1818" s="183"/>
    </row>
    <row r="1819" spans="4:6" x14ac:dyDescent="0.3">
      <c r="D1819" s="181"/>
      <c r="E1819" s="182"/>
      <c r="F1819" s="183"/>
    </row>
    <row r="1820" spans="4:6" x14ac:dyDescent="0.3">
      <c r="D1820" s="181"/>
      <c r="E1820" s="182"/>
      <c r="F1820" s="183"/>
    </row>
    <row r="1821" spans="4:6" x14ac:dyDescent="0.3">
      <c r="D1821" s="181"/>
      <c r="E1821" s="182"/>
      <c r="F1821" s="183"/>
    </row>
    <row r="1822" spans="4:6" x14ac:dyDescent="0.3">
      <c r="D1822" s="181"/>
      <c r="E1822" s="182"/>
      <c r="F1822" s="183"/>
    </row>
    <row r="1823" spans="4:6" x14ac:dyDescent="0.3">
      <c r="D1823" s="181"/>
      <c r="E1823" s="182"/>
      <c r="F1823" s="183"/>
    </row>
    <row r="1824" spans="4:6" x14ac:dyDescent="0.3">
      <c r="D1824" s="181"/>
      <c r="E1824" s="182"/>
      <c r="F1824" s="183"/>
    </row>
    <row r="1825" spans="4:6" x14ac:dyDescent="0.3">
      <c r="D1825" s="181"/>
      <c r="E1825" s="182"/>
      <c r="F1825" s="183"/>
    </row>
    <row r="1826" spans="4:6" x14ac:dyDescent="0.3">
      <c r="D1826" s="181"/>
      <c r="E1826" s="182"/>
      <c r="F1826" s="183"/>
    </row>
    <row r="1827" spans="4:6" x14ac:dyDescent="0.3">
      <c r="D1827" s="181"/>
      <c r="E1827" s="182"/>
      <c r="F1827" s="183"/>
    </row>
    <row r="1828" spans="4:6" x14ac:dyDescent="0.3">
      <c r="D1828" s="181"/>
      <c r="E1828" s="182"/>
      <c r="F1828" s="183"/>
    </row>
    <row r="1829" spans="4:6" x14ac:dyDescent="0.3">
      <c r="D1829" s="181"/>
      <c r="E1829" s="182"/>
      <c r="F1829" s="183"/>
    </row>
    <row r="1830" spans="4:6" x14ac:dyDescent="0.3">
      <c r="D1830" s="181"/>
      <c r="E1830" s="182"/>
      <c r="F1830" s="183"/>
    </row>
    <row r="1831" spans="4:6" x14ac:dyDescent="0.3">
      <c r="D1831" s="181"/>
      <c r="E1831" s="182"/>
      <c r="F1831" s="183"/>
    </row>
    <row r="1832" spans="4:6" x14ac:dyDescent="0.3">
      <c r="D1832" s="181"/>
      <c r="E1832" s="182"/>
      <c r="F1832" s="183"/>
    </row>
    <row r="1833" spans="4:6" x14ac:dyDescent="0.3">
      <c r="D1833" s="181"/>
      <c r="E1833" s="182"/>
      <c r="F1833" s="183"/>
    </row>
    <row r="1834" spans="4:6" x14ac:dyDescent="0.3">
      <c r="D1834" s="181"/>
      <c r="E1834" s="182"/>
      <c r="F1834" s="183"/>
    </row>
    <row r="1835" spans="4:6" x14ac:dyDescent="0.3">
      <c r="D1835" s="181"/>
      <c r="E1835" s="182"/>
      <c r="F1835" s="183"/>
    </row>
    <row r="1836" spans="4:6" x14ac:dyDescent="0.3">
      <c r="D1836" s="181"/>
      <c r="E1836" s="182"/>
      <c r="F1836" s="183"/>
    </row>
    <row r="1837" spans="4:6" x14ac:dyDescent="0.3">
      <c r="D1837" s="181"/>
      <c r="E1837" s="182"/>
      <c r="F1837" s="183"/>
    </row>
    <row r="1838" spans="4:6" x14ac:dyDescent="0.3">
      <c r="D1838" s="181"/>
      <c r="E1838" s="182"/>
      <c r="F1838" s="183"/>
    </row>
    <row r="1839" spans="4:6" x14ac:dyDescent="0.3">
      <c r="D1839" s="181"/>
      <c r="E1839" s="182"/>
      <c r="F1839" s="183"/>
    </row>
    <row r="1840" spans="4:6" x14ac:dyDescent="0.3">
      <c r="D1840" s="181"/>
      <c r="E1840" s="182"/>
      <c r="F1840" s="183"/>
    </row>
    <row r="1841" spans="4:6" x14ac:dyDescent="0.3">
      <c r="D1841" s="181"/>
      <c r="E1841" s="182"/>
      <c r="F1841" s="183"/>
    </row>
    <row r="1842" spans="4:6" x14ac:dyDescent="0.3">
      <c r="D1842" s="181"/>
      <c r="E1842" s="182"/>
      <c r="F1842" s="183"/>
    </row>
    <row r="1843" spans="4:6" x14ac:dyDescent="0.3">
      <c r="D1843" s="181"/>
      <c r="E1843" s="182"/>
      <c r="F1843" s="183"/>
    </row>
    <row r="1844" spans="4:6" x14ac:dyDescent="0.3">
      <c r="D1844" s="181"/>
      <c r="E1844" s="182"/>
      <c r="F1844" s="183"/>
    </row>
    <row r="1845" spans="4:6" x14ac:dyDescent="0.3">
      <c r="D1845" s="181"/>
      <c r="E1845" s="182"/>
      <c r="F1845" s="183"/>
    </row>
    <row r="1846" spans="4:6" x14ac:dyDescent="0.3">
      <c r="D1846" s="181"/>
      <c r="E1846" s="182"/>
      <c r="F1846" s="183"/>
    </row>
    <row r="1847" spans="4:6" x14ac:dyDescent="0.3">
      <c r="D1847" s="181"/>
      <c r="E1847" s="182"/>
      <c r="F1847" s="183"/>
    </row>
    <row r="1848" spans="4:6" x14ac:dyDescent="0.3">
      <c r="D1848" s="181"/>
      <c r="E1848" s="182"/>
      <c r="F1848" s="183"/>
    </row>
    <row r="1849" spans="4:6" x14ac:dyDescent="0.3">
      <c r="D1849" s="181"/>
      <c r="E1849" s="182"/>
      <c r="F1849" s="183"/>
    </row>
    <row r="1850" spans="4:6" x14ac:dyDescent="0.3">
      <c r="D1850" s="181"/>
      <c r="E1850" s="182"/>
      <c r="F1850" s="183"/>
    </row>
    <row r="1851" spans="4:6" x14ac:dyDescent="0.3">
      <c r="D1851" s="181"/>
      <c r="E1851" s="182"/>
      <c r="F1851" s="183"/>
    </row>
    <row r="1852" spans="4:6" x14ac:dyDescent="0.3">
      <c r="D1852" s="181"/>
      <c r="E1852" s="182"/>
      <c r="F1852" s="183"/>
    </row>
    <row r="1853" spans="4:6" x14ac:dyDescent="0.3">
      <c r="D1853" s="181"/>
      <c r="E1853" s="182"/>
      <c r="F1853" s="183"/>
    </row>
    <row r="1854" spans="4:6" x14ac:dyDescent="0.3">
      <c r="D1854" s="181"/>
      <c r="E1854" s="182"/>
      <c r="F1854" s="183"/>
    </row>
    <row r="1855" spans="4:6" x14ac:dyDescent="0.3">
      <c r="D1855" s="181"/>
      <c r="E1855" s="182"/>
      <c r="F1855" s="183"/>
    </row>
    <row r="1856" spans="4:6" x14ac:dyDescent="0.3">
      <c r="D1856" s="181"/>
      <c r="E1856" s="182"/>
      <c r="F1856" s="183"/>
    </row>
    <row r="1857" spans="4:6" x14ac:dyDescent="0.3">
      <c r="D1857" s="181"/>
      <c r="E1857" s="182"/>
      <c r="F1857" s="183"/>
    </row>
    <row r="1858" spans="4:6" x14ac:dyDescent="0.3">
      <c r="D1858" s="181"/>
      <c r="E1858" s="182"/>
      <c r="F1858" s="183"/>
    </row>
    <row r="1859" spans="4:6" x14ac:dyDescent="0.3">
      <c r="D1859" s="181"/>
      <c r="E1859" s="182"/>
      <c r="F1859" s="183"/>
    </row>
    <row r="1860" spans="4:6" x14ac:dyDescent="0.3">
      <c r="D1860" s="181"/>
      <c r="E1860" s="182"/>
      <c r="F1860" s="183"/>
    </row>
    <row r="1861" spans="4:6" x14ac:dyDescent="0.3">
      <c r="D1861" s="181"/>
      <c r="E1861" s="182"/>
      <c r="F1861" s="183"/>
    </row>
    <row r="1862" spans="4:6" x14ac:dyDescent="0.3">
      <c r="D1862" s="181"/>
      <c r="E1862" s="182"/>
      <c r="F1862" s="183"/>
    </row>
    <row r="1863" spans="4:6" x14ac:dyDescent="0.3">
      <c r="D1863" s="181"/>
      <c r="E1863" s="182"/>
      <c r="F1863" s="183"/>
    </row>
    <row r="1864" spans="4:6" x14ac:dyDescent="0.3">
      <c r="D1864" s="181"/>
      <c r="E1864" s="182"/>
      <c r="F1864" s="183"/>
    </row>
    <row r="1865" spans="4:6" x14ac:dyDescent="0.3">
      <c r="D1865" s="181"/>
      <c r="E1865" s="182"/>
      <c r="F1865" s="183"/>
    </row>
    <row r="1866" spans="4:6" x14ac:dyDescent="0.3">
      <c r="D1866" s="181"/>
      <c r="E1866" s="182"/>
      <c r="F1866" s="183"/>
    </row>
    <row r="1867" spans="4:6" x14ac:dyDescent="0.3">
      <c r="D1867" s="181"/>
      <c r="E1867" s="182"/>
      <c r="F1867" s="183"/>
    </row>
    <row r="1868" spans="4:6" x14ac:dyDescent="0.3">
      <c r="D1868" s="181"/>
      <c r="E1868" s="182"/>
      <c r="F1868" s="183"/>
    </row>
    <row r="1869" spans="4:6" x14ac:dyDescent="0.3">
      <c r="D1869" s="181"/>
      <c r="E1869" s="182"/>
      <c r="F1869" s="183"/>
    </row>
    <row r="1870" spans="4:6" x14ac:dyDescent="0.3">
      <c r="D1870" s="181"/>
      <c r="E1870" s="182"/>
      <c r="F1870" s="183"/>
    </row>
    <row r="1871" spans="4:6" x14ac:dyDescent="0.3">
      <c r="D1871" s="181"/>
      <c r="E1871" s="182"/>
      <c r="F1871" s="183"/>
    </row>
    <row r="1872" spans="4:6" x14ac:dyDescent="0.3">
      <c r="D1872" s="181"/>
      <c r="E1872" s="182"/>
      <c r="F1872" s="183"/>
    </row>
    <row r="1873" spans="4:6" x14ac:dyDescent="0.3">
      <c r="D1873" s="181"/>
      <c r="E1873" s="182"/>
      <c r="F1873" s="183"/>
    </row>
    <row r="1874" spans="4:6" x14ac:dyDescent="0.3">
      <c r="D1874" s="181"/>
      <c r="E1874" s="182"/>
      <c r="F1874" s="183"/>
    </row>
    <row r="1875" spans="4:6" x14ac:dyDescent="0.3">
      <c r="D1875" s="181"/>
      <c r="E1875" s="182"/>
      <c r="F1875" s="183"/>
    </row>
    <row r="1876" spans="4:6" x14ac:dyDescent="0.3">
      <c r="D1876" s="181"/>
      <c r="E1876" s="182"/>
      <c r="F1876" s="183"/>
    </row>
    <row r="1877" spans="4:6" x14ac:dyDescent="0.3">
      <c r="D1877" s="181"/>
      <c r="E1877" s="182"/>
      <c r="F1877" s="183"/>
    </row>
    <row r="1878" spans="4:6" x14ac:dyDescent="0.3">
      <c r="D1878" s="181"/>
      <c r="E1878" s="182"/>
      <c r="F1878" s="183"/>
    </row>
    <row r="1879" spans="4:6" x14ac:dyDescent="0.3">
      <c r="D1879" s="181"/>
      <c r="E1879" s="182"/>
      <c r="F1879" s="183"/>
    </row>
    <row r="1880" spans="4:6" x14ac:dyDescent="0.3">
      <c r="D1880" s="181"/>
      <c r="E1880" s="182"/>
      <c r="F1880" s="183"/>
    </row>
    <row r="1881" spans="4:6" x14ac:dyDescent="0.3">
      <c r="D1881" s="181"/>
      <c r="E1881" s="182"/>
      <c r="F1881" s="183"/>
    </row>
    <row r="1882" spans="4:6" x14ac:dyDescent="0.3">
      <c r="D1882" s="181"/>
      <c r="E1882" s="182"/>
      <c r="F1882" s="183"/>
    </row>
    <row r="1883" spans="4:6" x14ac:dyDescent="0.3">
      <c r="D1883" s="181"/>
      <c r="E1883" s="182"/>
      <c r="F1883" s="183"/>
    </row>
    <row r="1884" spans="4:6" x14ac:dyDescent="0.3">
      <c r="D1884" s="181"/>
      <c r="E1884" s="182"/>
      <c r="F1884" s="183"/>
    </row>
    <row r="1885" spans="4:6" x14ac:dyDescent="0.3">
      <c r="D1885" s="181"/>
      <c r="E1885" s="182"/>
      <c r="F1885" s="183"/>
    </row>
    <row r="1886" spans="4:6" x14ac:dyDescent="0.3">
      <c r="D1886" s="181"/>
      <c r="E1886" s="182"/>
      <c r="F1886" s="183"/>
    </row>
    <row r="1887" spans="4:6" x14ac:dyDescent="0.3">
      <c r="D1887" s="181"/>
      <c r="E1887" s="182"/>
      <c r="F1887" s="183"/>
    </row>
    <row r="1888" spans="4:6" x14ac:dyDescent="0.3">
      <c r="D1888" s="181"/>
      <c r="E1888" s="182"/>
      <c r="F1888" s="183"/>
    </row>
    <row r="1889" spans="4:6" x14ac:dyDescent="0.3">
      <c r="D1889" s="181"/>
      <c r="E1889" s="182"/>
      <c r="F1889" s="183"/>
    </row>
    <row r="1890" spans="4:6" x14ac:dyDescent="0.3">
      <c r="D1890" s="181"/>
      <c r="E1890" s="182"/>
      <c r="F1890" s="183"/>
    </row>
    <row r="1891" spans="4:6" x14ac:dyDescent="0.3">
      <c r="D1891" s="181"/>
      <c r="E1891" s="182"/>
      <c r="F1891" s="183"/>
    </row>
    <row r="1892" spans="4:6" x14ac:dyDescent="0.3">
      <c r="D1892" s="181"/>
      <c r="E1892" s="182"/>
      <c r="F1892" s="183"/>
    </row>
    <row r="1893" spans="4:6" x14ac:dyDescent="0.3">
      <c r="D1893" s="181"/>
      <c r="E1893" s="182"/>
      <c r="F1893" s="183"/>
    </row>
    <row r="1894" spans="4:6" x14ac:dyDescent="0.3">
      <c r="D1894" s="181"/>
      <c r="E1894" s="182"/>
      <c r="F1894" s="183"/>
    </row>
    <row r="1895" spans="4:6" x14ac:dyDescent="0.3">
      <c r="D1895" s="181"/>
      <c r="E1895" s="182"/>
      <c r="F1895" s="183"/>
    </row>
    <row r="1896" spans="4:6" x14ac:dyDescent="0.3">
      <c r="D1896" s="181"/>
      <c r="E1896" s="182"/>
      <c r="F1896" s="183"/>
    </row>
    <row r="1897" spans="4:6" x14ac:dyDescent="0.3">
      <c r="D1897" s="181"/>
      <c r="E1897" s="182"/>
      <c r="F1897" s="183"/>
    </row>
    <row r="1898" spans="4:6" x14ac:dyDescent="0.3">
      <c r="D1898" s="181"/>
      <c r="E1898" s="182"/>
      <c r="F1898" s="183"/>
    </row>
    <row r="1899" spans="4:6" x14ac:dyDescent="0.3">
      <c r="D1899" s="181"/>
      <c r="E1899" s="182"/>
      <c r="F1899" s="183"/>
    </row>
    <row r="1900" spans="4:6" x14ac:dyDescent="0.3">
      <c r="D1900" s="181"/>
      <c r="E1900" s="182"/>
      <c r="F1900" s="183"/>
    </row>
    <row r="1901" spans="4:6" x14ac:dyDescent="0.3">
      <c r="D1901" s="181"/>
      <c r="E1901" s="182"/>
      <c r="F1901" s="183"/>
    </row>
    <row r="1902" spans="4:6" x14ac:dyDescent="0.3">
      <c r="D1902" s="181"/>
      <c r="E1902" s="182"/>
      <c r="F1902" s="183"/>
    </row>
    <row r="1903" spans="4:6" x14ac:dyDescent="0.3">
      <c r="D1903" s="181"/>
      <c r="E1903" s="182"/>
      <c r="F1903" s="183"/>
    </row>
    <row r="1904" spans="4:6" x14ac:dyDescent="0.3">
      <c r="D1904" s="181"/>
      <c r="E1904" s="182"/>
      <c r="F1904" s="183"/>
    </row>
    <row r="1905" spans="4:6" x14ac:dyDescent="0.3">
      <c r="D1905" s="181"/>
      <c r="E1905" s="182"/>
      <c r="F1905" s="183"/>
    </row>
    <row r="1906" spans="4:6" x14ac:dyDescent="0.3">
      <c r="D1906" s="181"/>
      <c r="E1906" s="182"/>
      <c r="F1906" s="183"/>
    </row>
    <row r="1907" spans="4:6" x14ac:dyDescent="0.3">
      <c r="D1907" s="181"/>
      <c r="E1907" s="182"/>
      <c r="F1907" s="183"/>
    </row>
    <row r="1908" spans="4:6" x14ac:dyDescent="0.3">
      <c r="D1908" s="181"/>
      <c r="E1908" s="182"/>
      <c r="F1908" s="183"/>
    </row>
    <row r="1909" spans="4:6" x14ac:dyDescent="0.3">
      <c r="D1909" s="181"/>
      <c r="E1909" s="182"/>
      <c r="F1909" s="183"/>
    </row>
    <row r="1910" spans="4:6" x14ac:dyDescent="0.3">
      <c r="D1910" s="181"/>
      <c r="E1910" s="182"/>
      <c r="F1910" s="183"/>
    </row>
    <row r="1911" spans="4:6" x14ac:dyDescent="0.3">
      <c r="D1911" s="181"/>
      <c r="E1911" s="182"/>
      <c r="F1911" s="183"/>
    </row>
    <row r="1912" spans="4:6" x14ac:dyDescent="0.3">
      <c r="D1912" s="181"/>
      <c r="E1912" s="182"/>
      <c r="F1912" s="183"/>
    </row>
    <row r="1913" spans="4:6" x14ac:dyDescent="0.3">
      <c r="D1913" s="181"/>
      <c r="E1913" s="182"/>
      <c r="F1913" s="183"/>
    </row>
    <row r="1914" spans="4:6" x14ac:dyDescent="0.3">
      <c r="D1914" s="181"/>
      <c r="E1914" s="182"/>
      <c r="F1914" s="183"/>
    </row>
    <row r="1915" spans="4:6" x14ac:dyDescent="0.3">
      <c r="D1915" s="181"/>
      <c r="E1915" s="182"/>
      <c r="F1915" s="183"/>
    </row>
    <row r="1916" spans="4:6" x14ac:dyDescent="0.3">
      <c r="D1916" s="181"/>
      <c r="E1916" s="182"/>
      <c r="F1916" s="183"/>
    </row>
    <row r="1917" spans="4:6" x14ac:dyDescent="0.3">
      <c r="D1917" s="181"/>
      <c r="E1917" s="182"/>
      <c r="F1917" s="183"/>
    </row>
    <row r="1918" spans="4:6" x14ac:dyDescent="0.3">
      <c r="D1918" s="181"/>
      <c r="E1918" s="182"/>
      <c r="F1918" s="183"/>
    </row>
    <row r="1919" spans="4:6" x14ac:dyDescent="0.3">
      <c r="D1919" s="181"/>
      <c r="E1919" s="182"/>
      <c r="F1919" s="183"/>
    </row>
    <row r="1920" spans="4:6" x14ac:dyDescent="0.3">
      <c r="D1920" s="181"/>
      <c r="E1920" s="182"/>
      <c r="F1920" s="183"/>
    </row>
    <row r="1921" spans="4:6" x14ac:dyDescent="0.3">
      <c r="D1921" s="181"/>
      <c r="E1921" s="182"/>
      <c r="F1921" s="183"/>
    </row>
    <row r="1922" spans="4:6" x14ac:dyDescent="0.3">
      <c r="D1922" s="181"/>
      <c r="E1922" s="182"/>
      <c r="F1922" s="183"/>
    </row>
    <row r="1923" spans="4:6" x14ac:dyDescent="0.3">
      <c r="D1923" s="181"/>
      <c r="E1923" s="182"/>
      <c r="F1923" s="183"/>
    </row>
    <row r="1924" spans="4:6" x14ac:dyDescent="0.3">
      <c r="D1924" s="181"/>
      <c r="E1924" s="182"/>
      <c r="F1924" s="183"/>
    </row>
    <row r="1925" spans="4:6" x14ac:dyDescent="0.3">
      <c r="D1925" s="181"/>
      <c r="E1925" s="182"/>
      <c r="F1925" s="183"/>
    </row>
    <row r="1926" spans="4:6" x14ac:dyDescent="0.3">
      <c r="D1926" s="181"/>
      <c r="E1926" s="182"/>
      <c r="F1926" s="183"/>
    </row>
    <row r="1927" spans="4:6" x14ac:dyDescent="0.3">
      <c r="D1927" s="181"/>
      <c r="E1927" s="182"/>
      <c r="F1927" s="183"/>
    </row>
    <row r="1928" spans="4:6" x14ac:dyDescent="0.3">
      <c r="D1928" s="181"/>
      <c r="E1928" s="182"/>
      <c r="F1928" s="183"/>
    </row>
    <row r="1929" spans="4:6" x14ac:dyDescent="0.3">
      <c r="D1929" s="181"/>
      <c r="E1929" s="182"/>
      <c r="F1929" s="183"/>
    </row>
    <row r="1930" spans="4:6" x14ac:dyDescent="0.3">
      <c r="D1930" s="181"/>
      <c r="E1930" s="182"/>
      <c r="F1930" s="183"/>
    </row>
    <row r="1931" spans="4:6" x14ac:dyDescent="0.3">
      <c r="D1931" s="181"/>
      <c r="E1931" s="182"/>
      <c r="F1931" s="183"/>
    </row>
    <row r="1932" spans="4:6" x14ac:dyDescent="0.3">
      <c r="D1932" s="181"/>
      <c r="E1932" s="182"/>
      <c r="F1932" s="183"/>
    </row>
    <row r="1933" spans="4:6" x14ac:dyDescent="0.3">
      <c r="D1933" s="181"/>
      <c r="E1933" s="182"/>
      <c r="F1933" s="183"/>
    </row>
    <row r="1934" spans="4:6" x14ac:dyDescent="0.3">
      <c r="D1934" s="181"/>
      <c r="E1934" s="182"/>
      <c r="F1934" s="183"/>
    </row>
    <row r="1935" spans="4:6" x14ac:dyDescent="0.3">
      <c r="D1935" s="181"/>
      <c r="E1935" s="182"/>
      <c r="F1935" s="183"/>
    </row>
    <row r="1936" spans="4:6" x14ac:dyDescent="0.3">
      <c r="D1936" s="181"/>
      <c r="E1936" s="182"/>
      <c r="F1936" s="183"/>
    </row>
    <row r="1937" spans="4:6" x14ac:dyDescent="0.3">
      <c r="D1937" s="181"/>
      <c r="E1937" s="182"/>
      <c r="F1937" s="183"/>
    </row>
    <row r="1938" spans="4:6" x14ac:dyDescent="0.3">
      <c r="D1938" s="181"/>
      <c r="E1938" s="182"/>
      <c r="F1938" s="183"/>
    </row>
    <row r="1939" spans="4:6" x14ac:dyDescent="0.3">
      <c r="D1939" s="181"/>
      <c r="E1939" s="182"/>
      <c r="F1939" s="183"/>
    </row>
    <row r="1940" spans="4:6" x14ac:dyDescent="0.3">
      <c r="D1940" s="181"/>
      <c r="E1940" s="182"/>
      <c r="F1940" s="183"/>
    </row>
    <row r="1941" spans="4:6" x14ac:dyDescent="0.3">
      <c r="D1941" s="181"/>
      <c r="E1941" s="182"/>
      <c r="F1941" s="183"/>
    </row>
    <row r="1942" spans="4:6" x14ac:dyDescent="0.3">
      <c r="D1942" s="181"/>
      <c r="E1942" s="182"/>
      <c r="F1942" s="183"/>
    </row>
    <row r="1943" spans="4:6" x14ac:dyDescent="0.3">
      <c r="D1943" s="181"/>
      <c r="E1943" s="182"/>
      <c r="F1943" s="183"/>
    </row>
    <row r="1944" spans="4:6" x14ac:dyDescent="0.3">
      <c r="D1944" s="181"/>
      <c r="E1944" s="182"/>
      <c r="F1944" s="183"/>
    </row>
    <row r="1945" spans="4:6" x14ac:dyDescent="0.3">
      <c r="D1945" s="181"/>
      <c r="E1945" s="182"/>
      <c r="F1945" s="183"/>
    </row>
    <row r="1946" spans="4:6" x14ac:dyDescent="0.3">
      <c r="D1946" s="181"/>
      <c r="E1946" s="182"/>
      <c r="F1946" s="183"/>
    </row>
    <row r="1947" spans="4:6" x14ac:dyDescent="0.3">
      <c r="D1947" s="181"/>
      <c r="E1947" s="182"/>
      <c r="F1947" s="183"/>
    </row>
    <row r="1948" spans="4:6" x14ac:dyDescent="0.3">
      <c r="D1948" s="181"/>
      <c r="E1948" s="182"/>
      <c r="F1948" s="183"/>
    </row>
    <row r="1949" spans="4:6" x14ac:dyDescent="0.3">
      <c r="D1949" s="181"/>
      <c r="E1949" s="182"/>
      <c r="F1949" s="183"/>
    </row>
    <row r="1950" spans="4:6" x14ac:dyDescent="0.3">
      <c r="D1950" s="181"/>
      <c r="E1950" s="182"/>
      <c r="F1950" s="183"/>
    </row>
    <row r="1951" spans="4:6" x14ac:dyDescent="0.3">
      <c r="D1951" s="181"/>
      <c r="E1951" s="182"/>
      <c r="F1951" s="183"/>
    </row>
    <row r="1952" spans="4:6" x14ac:dyDescent="0.3">
      <c r="D1952" s="181"/>
      <c r="E1952" s="182"/>
      <c r="F1952" s="183"/>
    </row>
    <row r="1953" spans="4:6" x14ac:dyDescent="0.3">
      <c r="D1953" s="181"/>
      <c r="E1953" s="182"/>
      <c r="F1953" s="183"/>
    </row>
    <row r="1954" spans="4:6" x14ac:dyDescent="0.3">
      <c r="D1954" s="181"/>
      <c r="E1954" s="182"/>
      <c r="F1954" s="183"/>
    </row>
    <row r="1955" spans="4:6" x14ac:dyDescent="0.3">
      <c r="D1955" s="181"/>
      <c r="E1955" s="182"/>
      <c r="F1955" s="183"/>
    </row>
    <row r="1956" spans="4:6" x14ac:dyDescent="0.3">
      <c r="D1956" s="181"/>
      <c r="E1956" s="182"/>
      <c r="F1956" s="183"/>
    </row>
    <row r="1957" spans="4:6" x14ac:dyDescent="0.3">
      <c r="D1957" s="181"/>
      <c r="E1957" s="182"/>
      <c r="F1957" s="183"/>
    </row>
    <row r="1958" spans="4:6" x14ac:dyDescent="0.3">
      <c r="D1958" s="181"/>
      <c r="E1958" s="182"/>
      <c r="F1958" s="183"/>
    </row>
    <row r="1959" spans="4:6" x14ac:dyDescent="0.3">
      <c r="D1959" s="181"/>
      <c r="E1959" s="182"/>
      <c r="F1959" s="183"/>
    </row>
    <row r="1960" spans="4:6" x14ac:dyDescent="0.3">
      <c r="D1960" s="181"/>
      <c r="E1960" s="182"/>
      <c r="F1960" s="183"/>
    </row>
    <row r="1961" spans="4:6" x14ac:dyDescent="0.3">
      <c r="D1961" s="181"/>
      <c r="E1961" s="182"/>
      <c r="F1961" s="183"/>
    </row>
    <row r="1962" spans="4:6" x14ac:dyDescent="0.3">
      <c r="D1962" s="181"/>
      <c r="E1962" s="182"/>
      <c r="F1962" s="183"/>
    </row>
    <row r="1963" spans="4:6" x14ac:dyDescent="0.3">
      <c r="D1963" s="181"/>
      <c r="E1963" s="182"/>
      <c r="F1963" s="183"/>
    </row>
    <row r="1964" spans="4:6" x14ac:dyDescent="0.3">
      <c r="D1964" s="181"/>
      <c r="E1964" s="182"/>
      <c r="F1964" s="183"/>
    </row>
    <row r="1965" spans="4:6" x14ac:dyDescent="0.3">
      <c r="D1965" s="181"/>
      <c r="E1965" s="182"/>
      <c r="F1965" s="183"/>
    </row>
    <row r="1966" spans="4:6" x14ac:dyDescent="0.3">
      <c r="D1966" s="181"/>
      <c r="E1966" s="182"/>
      <c r="F1966" s="183"/>
    </row>
    <row r="1967" spans="4:6" x14ac:dyDescent="0.3">
      <c r="D1967" s="181"/>
      <c r="E1967" s="182"/>
      <c r="F1967" s="183"/>
    </row>
    <row r="1968" spans="4:6" x14ac:dyDescent="0.3">
      <c r="D1968" s="181"/>
      <c r="E1968" s="182"/>
      <c r="F1968" s="183"/>
    </row>
    <row r="1969" spans="4:6" x14ac:dyDescent="0.3">
      <c r="D1969" s="181"/>
      <c r="E1969" s="182"/>
      <c r="F1969" s="183"/>
    </row>
    <row r="1970" spans="4:6" x14ac:dyDescent="0.3">
      <c r="D1970" s="181"/>
      <c r="E1970" s="182"/>
      <c r="F1970" s="183"/>
    </row>
    <row r="1971" spans="4:6" x14ac:dyDescent="0.3">
      <c r="D1971" s="181"/>
      <c r="E1971" s="182"/>
      <c r="F1971" s="183"/>
    </row>
    <row r="1972" spans="4:6" x14ac:dyDescent="0.3">
      <c r="D1972" s="181"/>
      <c r="E1972" s="182"/>
      <c r="F1972" s="183"/>
    </row>
    <row r="1973" spans="4:6" x14ac:dyDescent="0.3">
      <c r="D1973" s="181"/>
      <c r="E1973" s="182"/>
      <c r="F1973" s="183"/>
    </row>
    <row r="1974" spans="4:6" x14ac:dyDescent="0.3">
      <c r="D1974" s="181"/>
      <c r="E1974" s="182"/>
      <c r="F1974" s="183"/>
    </row>
    <row r="1975" spans="4:6" x14ac:dyDescent="0.3">
      <c r="D1975" s="181"/>
      <c r="E1975" s="182"/>
      <c r="F1975" s="183"/>
    </row>
    <row r="1976" spans="4:6" x14ac:dyDescent="0.3">
      <c r="D1976" s="181"/>
      <c r="E1976" s="182"/>
      <c r="F1976" s="183"/>
    </row>
    <row r="1977" spans="4:6" x14ac:dyDescent="0.3">
      <c r="D1977" s="181"/>
      <c r="E1977" s="182"/>
      <c r="F1977" s="183"/>
    </row>
    <row r="1978" spans="4:6" x14ac:dyDescent="0.3">
      <c r="D1978" s="181"/>
      <c r="E1978" s="182"/>
      <c r="F1978" s="183"/>
    </row>
    <row r="1979" spans="4:6" x14ac:dyDescent="0.3">
      <c r="D1979" s="181"/>
      <c r="E1979" s="182"/>
      <c r="F1979" s="183"/>
    </row>
    <row r="1980" spans="4:6" x14ac:dyDescent="0.3">
      <c r="D1980" s="181"/>
      <c r="E1980" s="182"/>
      <c r="F1980" s="183"/>
    </row>
    <row r="1981" spans="4:6" x14ac:dyDescent="0.3">
      <c r="D1981" s="181"/>
      <c r="E1981" s="182"/>
      <c r="F1981" s="183"/>
    </row>
    <row r="1982" spans="4:6" x14ac:dyDescent="0.3">
      <c r="D1982" s="181"/>
      <c r="E1982" s="182"/>
      <c r="F1982" s="183"/>
    </row>
    <row r="1983" spans="4:6" x14ac:dyDescent="0.3">
      <c r="D1983" s="181"/>
      <c r="E1983" s="182"/>
      <c r="F1983" s="183"/>
    </row>
    <row r="1984" spans="4:6" x14ac:dyDescent="0.3">
      <c r="D1984" s="181"/>
      <c r="E1984" s="182"/>
      <c r="F1984" s="183"/>
    </row>
    <row r="1985" spans="4:6" x14ac:dyDescent="0.3">
      <c r="D1985" s="181"/>
      <c r="E1985" s="182"/>
      <c r="F1985" s="183"/>
    </row>
    <row r="1986" spans="4:6" x14ac:dyDescent="0.3">
      <c r="D1986" s="181"/>
      <c r="E1986" s="182"/>
      <c r="F1986" s="183"/>
    </row>
    <row r="1987" spans="4:6" x14ac:dyDescent="0.3">
      <c r="D1987" s="181"/>
      <c r="E1987" s="182"/>
      <c r="F1987" s="183"/>
    </row>
    <row r="1988" spans="4:6" x14ac:dyDescent="0.3">
      <c r="D1988" s="181"/>
      <c r="E1988" s="182"/>
      <c r="F1988" s="183"/>
    </row>
    <row r="1989" spans="4:6" x14ac:dyDescent="0.3">
      <c r="D1989" s="181"/>
      <c r="E1989" s="182"/>
      <c r="F1989" s="183"/>
    </row>
    <row r="1990" spans="4:6" x14ac:dyDescent="0.3">
      <c r="D1990" s="181"/>
      <c r="E1990" s="182"/>
      <c r="F1990" s="183"/>
    </row>
    <row r="1991" spans="4:6" x14ac:dyDescent="0.3">
      <c r="D1991" s="181"/>
      <c r="E1991" s="182"/>
      <c r="F1991" s="183"/>
    </row>
    <row r="1992" spans="4:6" x14ac:dyDescent="0.3">
      <c r="D1992" s="181"/>
      <c r="E1992" s="182"/>
      <c r="F1992" s="183"/>
    </row>
    <row r="1993" spans="4:6" x14ac:dyDescent="0.3">
      <c r="D1993" s="181"/>
      <c r="E1993" s="182"/>
      <c r="F1993" s="183"/>
    </row>
    <row r="1994" spans="4:6" x14ac:dyDescent="0.3">
      <c r="D1994" s="181"/>
      <c r="E1994" s="182"/>
      <c r="F1994" s="183"/>
    </row>
    <row r="1995" spans="4:6" x14ac:dyDescent="0.3">
      <c r="D1995" s="181"/>
      <c r="E1995" s="182"/>
      <c r="F1995" s="183"/>
    </row>
    <row r="1996" spans="4:6" x14ac:dyDescent="0.3">
      <c r="D1996" s="181"/>
      <c r="E1996" s="182"/>
      <c r="F1996" s="183"/>
    </row>
    <row r="1997" spans="4:6" x14ac:dyDescent="0.3">
      <c r="D1997" s="181"/>
      <c r="E1997" s="182"/>
      <c r="F1997" s="183"/>
    </row>
    <row r="1998" spans="4:6" x14ac:dyDescent="0.3">
      <c r="D1998" s="181"/>
      <c r="E1998" s="182"/>
      <c r="F1998" s="183"/>
    </row>
    <row r="1999" spans="4:6" x14ac:dyDescent="0.3">
      <c r="D1999" s="181"/>
      <c r="E1999" s="182"/>
      <c r="F1999" s="183"/>
    </row>
    <row r="2000" spans="4:6" x14ac:dyDescent="0.3">
      <c r="D2000" s="181"/>
      <c r="E2000" s="182"/>
      <c r="F2000" s="183"/>
    </row>
    <row r="2001" spans="4:6" x14ac:dyDescent="0.3">
      <c r="D2001" s="181"/>
      <c r="E2001" s="182"/>
      <c r="F2001" s="183"/>
    </row>
    <row r="2002" spans="4:6" x14ac:dyDescent="0.3">
      <c r="D2002" s="181"/>
      <c r="E2002" s="182"/>
      <c r="F2002" s="183"/>
    </row>
    <row r="2003" spans="4:6" x14ac:dyDescent="0.3">
      <c r="D2003" s="181"/>
      <c r="E2003" s="182"/>
      <c r="F2003" s="183"/>
    </row>
    <row r="2004" spans="4:6" x14ac:dyDescent="0.3">
      <c r="D2004" s="181"/>
      <c r="E2004" s="182"/>
      <c r="F2004" s="183"/>
    </row>
    <row r="2005" spans="4:6" x14ac:dyDescent="0.3">
      <c r="D2005" s="181"/>
      <c r="E2005" s="182"/>
      <c r="F2005" s="183"/>
    </row>
    <row r="2006" spans="4:6" x14ac:dyDescent="0.3">
      <c r="D2006" s="181"/>
      <c r="E2006" s="182"/>
      <c r="F2006" s="183"/>
    </row>
    <row r="2007" spans="4:6" x14ac:dyDescent="0.3">
      <c r="D2007" s="181"/>
      <c r="E2007" s="182"/>
      <c r="F2007" s="183"/>
    </row>
    <row r="2008" spans="4:6" x14ac:dyDescent="0.3">
      <c r="D2008" s="181"/>
      <c r="E2008" s="182"/>
      <c r="F2008" s="183"/>
    </row>
    <row r="2009" spans="4:6" x14ac:dyDescent="0.3">
      <c r="D2009" s="181"/>
      <c r="E2009" s="182"/>
      <c r="F2009" s="183"/>
    </row>
    <row r="2010" spans="4:6" x14ac:dyDescent="0.3">
      <c r="D2010" s="181"/>
      <c r="E2010" s="182"/>
      <c r="F2010" s="183"/>
    </row>
    <row r="2011" spans="4:6" x14ac:dyDescent="0.3">
      <c r="D2011" s="181"/>
      <c r="E2011" s="182"/>
      <c r="F2011" s="183"/>
    </row>
    <row r="2012" spans="4:6" x14ac:dyDescent="0.3">
      <c r="D2012" s="181"/>
      <c r="E2012" s="182"/>
      <c r="F2012" s="183"/>
    </row>
    <row r="2013" spans="4:6" x14ac:dyDescent="0.3">
      <c r="D2013" s="181"/>
      <c r="E2013" s="182"/>
      <c r="F2013" s="183"/>
    </row>
    <row r="2014" spans="4:6" x14ac:dyDescent="0.3">
      <c r="D2014" s="181"/>
      <c r="E2014" s="182"/>
      <c r="F2014" s="183"/>
    </row>
    <row r="2015" spans="4:6" x14ac:dyDescent="0.3">
      <c r="D2015" s="181"/>
      <c r="E2015" s="182"/>
      <c r="F2015" s="183"/>
    </row>
    <row r="2016" spans="4:6" x14ac:dyDescent="0.3">
      <c r="D2016" s="181"/>
      <c r="E2016" s="182"/>
      <c r="F2016" s="183"/>
    </row>
    <row r="2017" spans="4:6" x14ac:dyDescent="0.3">
      <c r="D2017" s="181"/>
      <c r="E2017" s="182"/>
      <c r="F2017" s="183"/>
    </row>
    <row r="2018" spans="4:6" x14ac:dyDescent="0.3">
      <c r="D2018" s="181"/>
      <c r="E2018" s="182"/>
      <c r="F2018" s="183"/>
    </row>
    <row r="2019" spans="4:6" x14ac:dyDescent="0.3">
      <c r="D2019" s="181"/>
      <c r="E2019" s="182"/>
      <c r="F2019" s="183"/>
    </row>
    <row r="2020" spans="4:6" x14ac:dyDescent="0.3">
      <c r="D2020" s="181"/>
      <c r="E2020" s="182"/>
      <c r="F2020" s="183"/>
    </row>
    <row r="2021" spans="4:6" x14ac:dyDescent="0.3">
      <c r="D2021" s="181"/>
      <c r="E2021" s="182"/>
      <c r="F2021" s="183"/>
    </row>
    <row r="2022" spans="4:6" x14ac:dyDescent="0.3">
      <c r="D2022" s="181"/>
      <c r="E2022" s="182"/>
      <c r="F2022" s="183"/>
    </row>
    <row r="2023" spans="4:6" x14ac:dyDescent="0.3">
      <c r="D2023" s="181"/>
      <c r="E2023" s="182"/>
      <c r="F2023" s="183"/>
    </row>
    <row r="2024" spans="4:6" x14ac:dyDescent="0.3">
      <c r="D2024" s="181"/>
      <c r="E2024" s="182"/>
      <c r="F2024" s="183"/>
    </row>
    <row r="2025" spans="4:6" x14ac:dyDescent="0.3">
      <c r="D2025" s="181"/>
      <c r="E2025" s="182"/>
      <c r="F2025" s="183"/>
    </row>
    <row r="2026" spans="4:6" x14ac:dyDescent="0.3">
      <c r="D2026" s="181"/>
      <c r="E2026" s="182"/>
      <c r="F2026" s="183"/>
    </row>
    <row r="2027" spans="4:6" x14ac:dyDescent="0.3">
      <c r="D2027" s="181"/>
      <c r="E2027" s="182"/>
      <c r="F2027" s="183"/>
    </row>
    <row r="2028" spans="4:6" x14ac:dyDescent="0.3">
      <c r="D2028" s="181"/>
      <c r="E2028" s="182"/>
      <c r="F2028" s="183"/>
    </row>
    <row r="2029" spans="4:6" x14ac:dyDescent="0.3">
      <c r="D2029" s="181"/>
      <c r="E2029" s="182"/>
      <c r="F2029" s="183"/>
    </row>
    <row r="2030" spans="4:6" x14ac:dyDescent="0.3">
      <c r="D2030" s="181"/>
      <c r="E2030" s="182"/>
      <c r="F2030" s="183"/>
    </row>
    <row r="2031" spans="4:6" x14ac:dyDescent="0.3">
      <c r="D2031" s="181"/>
      <c r="E2031" s="182"/>
      <c r="F2031" s="183"/>
    </row>
    <row r="2032" spans="4:6" x14ac:dyDescent="0.3">
      <c r="D2032" s="181"/>
      <c r="E2032" s="182"/>
      <c r="F2032" s="183"/>
    </row>
    <row r="2033" spans="4:6" x14ac:dyDescent="0.3">
      <c r="D2033" s="181"/>
      <c r="E2033" s="182"/>
      <c r="F2033" s="183"/>
    </row>
    <row r="2034" spans="4:6" x14ac:dyDescent="0.3">
      <c r="D2034" s="181"/>
      <c r="E2034" s="182"/>
      <c r="F2034" s="183"/>
    </row>
    <row r="2035" spans="4:6" x14ac:dyDescent="0.3">
      <c r="D2035" s="181"/>
      <c r="E2035" s="182"/>
      <c r="F2035" s="183"/>
    </row>
    <row r="2036" spans="4:6" x14ac:dyDescent="0.3">
      <c r="D2036" s="181"/>
      <c r="E2036" s="182"/>
      <c r="F2036" s="183"/>
    </row>
    <row r="2037" spans="4:6" x14ac:dyDescent="0.3">
      <c r="D2037" s="181"/>
      <c r="E2037" s="182"/>
      <c r="F2037" s="183"/>
    </row>
    <row r="2038" spans="4:6" x14ac:dyDescent="0.3">
      <c r="D2038" s="181"/>
      <c r="E2038" s="182"/>
      <c r="F2038" s="183"/>
    </row>
    <row r="2039" spans="4:6" x14ac:dyDescent="0.3">
      <c r="D2039" s="181"/>
      <c r="E2039" s="182"/>
      <c r="F2039" s="183"/>
    </row>
    <row r="2040" spans="4:6" x14ac:dyDescent="0.3">
      <c r="D2040" s="181"/>
      <c r="E2040" s="182"/>
      <c r="F2040" s="183"/>
    </row>
    <row r="2041" spans="4:6" x14ac:dyDescent="0.3">
      <c r="D2041" s="181"/>
      <c r="E2041" s="182"/>
      <c r="F2041" s="183"/>
    </row>
    <row r="2042" spans="4:6" x14ac:dyDescent="0.3">
      <c r="D2042" s="181"/>
      <c r="E2042" s="182"/>
      <c r="F2042" s="183"/>
    </row>
    <row r="2043" spans="4:6" x14ac:dyDescent="0.3">
      <c r="D2043" s="181"/>
      <c r="E2043" s="182"/>
      <c r="F2043" s="183"/>
    </row>
    <row r="2044" spans="4:6" x14ac:dyDescent="0.3">
      <c r="D2044" s="181"/>
      <c r="E2044" s="182"/>
      <c r="F2044" s="183"/>
    </row>
    <row r="2045" spans="4:6" x14ac:dyDescent="0.3">
      <c r="D2045" s="181"/>
      <c r="E2045" s="182"/>
      <c r="F2045" s="183"/>
    </row>
    <row r="2046" spans="4:6" x14ac:dyDescent="0.3">
      <c r="D2046" s="181"/>
      <c r="E2046" s="182"/>
      <c r="F2046" s="183"/>
    </row>
    <row r="2047" spans="4:6" x14ac:dyDescent="0.3">
      <c r="D2047" s="181"/>
      <c r="E2047" s="182"/>
      <c r="F2047" s="183"/>
    </row>
    <row r="2048" spans="4:6" x14ac:dyDescent="0.3">
      <c r="D2048" s="181"/>
      <c r="E2048" s="182"/>
      <c r="F2048" s="183"/>
    </row>
    <row r="2049" spans="4:6" x14ac:dyDescent="0.3">
      <c r="D2049" s="181"/>
      <c r="E2049" s="182"/>
      <c r="F2049" s="183"/>
    </row>
    <row r="2050" spans="4:6" x14ac:dyDescent="0.3">
      <c r="D2050" s="181"/>
      <c r="E2050" s="182"/>
      <c r="F2050" s="183"/>
    </row>
    <row r="2051" spans="4:6" x14ac:dyDescent="0.3">
      <c r="D2051" s="181"/>
      <c r="E2051" s="182"/>
      <c r="F2051" s="183"/>
    </row>
    <row r="2052" spans="4:6" x14ac:dyDescent="0.3">
      <c r="D2052" s="181"/>
      <c r="E2052" s="182"/>
      <c r="F2052" s="183"/>
    </row>
    <row r="2053" spans="4:6" x14ac:dyDescent="0.3">
      <c r="D2053" s="181"/>
      <c r="E2053" s="182"/>
      <c r="F2053" s="183"/>
    </row>
    <row r="2054" spans="4:6" x14ac:dyDescent="0.3">
      <c r="D2054" s="181"/>
      <c r="E2054" s="182"/>
      <c r="F2054" s="183"/>
    </row>
    <row r="2055" spans="4:6" x14ac:dyDescent="0.3">
      <c r="D2055" s="181"/>
      <c r="E2055" s="182"/>
      <c r="F2055" s="183"/>
    </row>
    <row r="2056" spans="4:6" x14ac:dyDescent="0.3">
      <c r="D2056" s="181"/>
      <c r="E2056" s="182"/>
      <c r="F2056" s="183"/>
    </row>
    <row r="2057" spans="4:6" x14ac:dyDescent="0.3">
      <c r="D2057" s="181"/>
      <c r="E2057" s="182"/>
      <c r="F2057" s="183"/>
    </row>
    <row r="2058" spans="4:6" x14ac:dyDescent="0.3">
      <c r="D2058" s="181"/>
      <c r="E2058" s="182"/>
      <c r="F2058" s="183"/>
    </row>
    <row r="2059" spans="4:6" x14ac:dyDescent="0.3">
      <c r="D2059" s="181"/>
      <c r="E2059" s="182"/>
      <c r="F2059" s="183"/>
    </row>
    <row r="2060" spans="4:6" x14ac:dyDescent="0.3">
      <c r="D2060" s="181"/>
      <c r="E2060" s="182"/>
      <c r="F2060" s="183"/>
    </row>
    <row r="2061" spans="4:6" x14ac:dyDescent="0.3">
      <c r="D2061" s="181"/>
      <c r="E2061" s="182"/>
      <c r="F2061" s="183"/>
    </row>
    <row r="2062" spans="4:6" x14ac:dyDescent="0.3">
      <c r="D2062" s="181"/>
      <c r="E2062" s="182"/>
      <c r="F2062" s="183"/>
    </row>
    <row r="2063" spans="4:6" x14ac:dyDescent="0.3">
      <c r="D2063" s="181"/>
      <c r="E2063" s="182"/>
      <c r="F2063" s="183"/>
    </row>
    <row r="2064" spans="4:6" x14ac:dyDescent="0.3">
      <c r="D2064" s="181"/>
      <c r="E2064" s="182"/>
      <c r="F2064" s="183"/>
    </row>
    <row r="2065" spans="4:6" x14ac:dyDescent="0.3">
      <c r="D2065" s="181"/>
      <c r="E2065" s="182"/>
      <c r="F2065" s="183"/>
    </row>
    <row r="2066" spans="4:6" x14ac:dyDescent="0.3">
      <c r="D2066" s="181"/>
      <c r="E2066" s="182"/>
      <c r="F2066" s="183"/>
    </row>
    <row r="2067" spans="4:6" x14ac:dyDescent="0.3">
      <c r="D2067" s="181"/>
      <c r="E2067" s="182"/>
      <c r="F2067" s="183"/>
    </row>
    <row r="2068" spans="4:6" x14ac:dyDescent="0.3">
      <c r="D2068" s="181"/>
      <c r="E2068" s="182"/>
      <c r="F2068" s="183"/>
    </row>
    <row r="2069" spans="4:6" x14ac:dyDescent="0.3">
      <c r="D2069" s="181"/>
      <c r="E2069" s="182"/>
      <c r="F2069" s="183"/>
    </row>
    <row r="2070" spans="4:6" x14ac:dyDescent="0.3">
      <c r="D2070" s="181"/>
      <c r="E2070" s="182"/>
      <c r="F2070" s="183"/>
    </row>
    <row r="2071" spans="4:6" x14ac:dyDescent="0.3">
      <c r="D2071" s="181"/>
      <c r="E2071" s="182"/>
      <c r="F2071" s="183"/>
    </row>
    <row r="2072" spans="4:6" x14ac:dyDescent="0.3">
      <c r="D2072" s="181"/>
      <c r="E2072" s="182"/>
      <c r="F2072" s="183"/>
    </row>
    <row r="2073" spans="4:6" x14ac:dyDescent="0.3">
      <c r="D2073" s="181"/>
      <c r="E2073" s="182"/>
      <c r="F2073" s="183"/>
    </row>
    <row r="2074" spans="4:6" x14ac:dyDescent="0.3">
      <c r="D2074" s="181"/>
      <c r="E2074" s="182"/>
      <c r="F2074" s="183"/>
    </row>
    <row r="2075" spans="4:6" x14ac:dyDescent="0.3">
      <c r="D2075" s="181"/>
      <c r="E2075" s="182"/>
      <c r="F2075" s="183"/>
    </row>
    <row r="2076" spans="4:6" x14ac:dyDescent="0.3">
      <c r="D2076" s="181"/>
      <c r="E2076" s="182"/>
      <c r="F2076" s="183"/>
    </row>
    <row r="2077" spans="4:6" x14ac:dyDescent="0.3">
      <c r="D2077" s="181"/>
      <c r="E2077" s="182"/>
      <c r="F2077" s="183"/>
    </row>
    <row r="2078" spans="4:6" x14ac:dyDescent="0.3">
      <c r="D2078" s="181"/>
      <c r="E2078" s="182"/>
      <c r="F2078" s="183"/>
    </row>
    <row r="2079" spans="4:6" x14ac:dyDescent="0.3">
      <c r="D2079" s="181"/>
      <c r="E2079" s="182"/>
      <c r="F2079" s="183"/>
    </row>
    <row r="2080" spans="4:6" x14ac:dyDescent="0.3">
      <c r="D2080" s="181"/>
      <c r="E2080" s="182"/>
      <c r="F2080" s="183"/>
    </row>
    <row r="2081" spans="4:6" x14ac:dyDescent="0.3">
      <c r="D2081" s="181"/>
      <c r="E2081" s="182"/>
      <c r="F2081" s="183"/>
    </row>
    <row r="2082" spans="4:6" x14ac:dyDescent="0.3">
      <c r="D2082" s="181"/>
      <c r="E2082" s="182"/>
      <c r="F2082" s="183"/>
    </row>
    <row r="2083" spans="4:6" x14ac:dyDescent="0.3">
      <c r="D2083" s="181"/>
      <c r="E2083" s="182"/>
      <c r="F2083" s="183"/>
    </row>
    <row r="2084" spans="4:6" x14ac:dyDescent="0.3">
      <c r="D2084" s="181"/>
      <c r="E2084" s="182"/>
      <c r="F2084" s="183"/>
    </row>
    <row r="2085" spans="4:6" x14ac:dyDescent="0.3">
      <c r="D2085" s="181"/>
      <c r="E2085" s="182"/>
      <c r="F2085" s="183"/>
    </row>
    <row r="2086" spans="4:6" x14ac:dyDescent="0.3">
      <c r="D2086" s="181"/>
      <c r="E2086" s="182"/>
      <c r="F2086" s="183"/>
    </row>
    <row r="2087" spans="4:6" x14ac:dyDescent="0.3">
      <c r="D2087" s="181"/>
      <c r="E2087" s="182"/>
      <c r="F2087" s="183"/>
    </row>
    <row r="2088" spans="4:6" x14ac:dyDescent="0.3">
      <c r="D2088" s="181"/>
      <c r="E2088" s="182"/>
      <c r="F2088" s="183"/>
    </row>
    <row r="2089" spans="4:6" x14ac:dyDescent="0.3">
      <c r="D2089" s="181"/>
      <c r="E2089" s="182"/>
      <c r="F2089" s="183"/>
    </row>
    <row r="2090" spans="4:6" x14ac:dyDescent="0.3">
      <c r="D2090" s="181"/>
      <c r="E2090" s="182"/>
      <c r="F2090" s="183"/>
    </row>
    <row r="2091" spans="4:6" x14ac:dyDescent="0.3">
      <c r="D2091" s="181"/>
      <c r="E2091" s="182"/>
      <c r="F2091" s="183"/>
    </row>
    <row r="2092" spans="4:6" x14ac:dyDescent="0.3">
      <c r="D2092" s="181"/>
      <c r="E2092" s="182"/>
      <c r="F2092" s="183"/>
    </row>
    <row r="2093" spans="4:6" x14ac:dyDescent="0.3">
      <c r="D2093" s="181"/>
      <c r="E2093" s="182"/>
      <c r="F2093" s="183"/>
    </row>
    <row r="2094" spans="4:6" x14ac:dyDescent="0.3">
      <c r="D2094" s="181"/>
      <c r="E2094" s="182"/>
      <c r="F2094" s="183"/>
    </row>
    <row r="2095" spans="4:6" x14ac:dyDescent="0.3">
      <c r="D2095" s="181"/>
      <c r="E2095" s="182"/>
      <c r="F2095" s="183"/>
    </row>
    <row r="2096" spans="4:6" x14ac:dyDescent="0.3">
      <c r="D2096" s="181"/>
      <c r="E2096" s="182"/>
      <c r="F2096" s="183"/>
    </row>
    <row r="2097" spans="4:6" x14ac:dyDescent="0.3">
      <c r="D2097" s="181"/>
      <c r="E2097" s="182"/>
      <c r="F2097" s="183"/>
    </row>
    <row r="2098" spans="4:6" x14ac:dyDescent="0.3">
      <c r="D2098" s="181"/>
      <c r="E2098" s="182"/>
      <c r="F2098" s="183"/>
    </row>
    <row r="2099" spans="4:6" x14ac:dyDescent="0.3">
      <c r="D2099" s="181"/>
      <c r="E2099" s="182"/>
      <c r="F2099" s="183"/>
    </row>
    <row r="2100" spans="4:6" x14ac:dyDescent="0.3">
      <c r="D2100" s="181"/>
      <c r="E2100" s="182"/>
      <c r="F2100" s="183"/>
    </row>
    <row r="2101" spans="4:6" x14ac:dyDescent="0.3">
      <c r="D2101" s="181"/>
      <c r="E2101" s="182"/>
      <c r="F2101" s="183"/>
    </row>
    <row r="2102" spans="4:6" x14ac:dyDescent="0.3">
      <c r="D2102" s="181"/>
      <c r="E2102" s="182"/>
      <c r="F2102" s="183"/>
    </row>
    <row r="2103" spans="4:6" x14ac:dyDescent="0.3">
      <c r="D2103" s="181"/>
      <c r="E2103" s="182"/>
      <c r="F2103" s="183"/>
    </row>
    <row r="2104" spans="4:6" x14ac:dyDescent="0.3">
      <c r="D2104" s="181"/>
      <c r="E2104" s="182"/>
      <c r="F2104" s="183"/>
    </row>
    <row r="2105" spans="4:6" x14ac:dyDescent="0.3">
      <c r="D2105" s="181"/>
      <c r="E2105" s="182"/>
      <c r="F2105" s="183"/>
    </row>
    <row r="2106" spans="4:6" x14ac:dyDescent="0.3">
      <c r="D2106" s="181"/>
      <c r="E2106" s="182"/>
      <c r="F2106" s="183"/>
    </row>
    <row r="2107" spans="4:6" x14ac:dyDescent="0.3">
      <c r="D2107" s="181"/>
      <c r="E2107" s="182"/>
      <c r="F2107" s="183"/>
    </row>
    <row r="2108" spans="4:6" x14ac:dyDescent="0.3">
      <c r="D2108" s="181"/>
      <c r="E2108" s="182"/>
      <c r="F2108" s="183"/>
    </row>
    <row r="2109" spans="4:6" x14ac:dyDescent="0.3">
      <c r="D2109" s="181"/>
      <c r="E2109" s="182"/>
      <c r="F2109" s="183"/>
    </row>
    <row r="2110" spans="4:6" x14ac:dyDescent="0.3">
      <c r="D2110" s="181"/>
      <c r="E2110" s="182"/>
      <c r="F2110" s="183"/>
    </row>
    <row r="2111" spans="4:6" x14ac:dyDescent="0.3">
      <c r="D2111" s="181"/>
      <c r="E2111" s="182"/>
      <c r="F2111" s="183"/>
    </row>
    <row r="2112" spans="4:6" x14ac:dyDescent="0.3">
      <c r="D2112" s="181"/>
      <c r="E2112" s="182"/>
      <c r="F2112" s="183"/>
    </row>
    <row r="2113" spans="4:6" x14ac:dyDescent="0.3">
      <c r="D2113" s="181"/>
      <c r="E2113" s="182"/>
      <c r="F2113" s="183"/>
    </row>
    <row r="2114" spans="4:6" x14ac:dyDescent="0.3">
      <c r="D2114" s="181"/>
      <c r="E2114" s="182"/>
      <c r="F2114" s="183"/>
    </row>
    <row r="2115" spans="4:6" x14ac:dyDescent="0.3">
      <c r="D2115" s="181"/>
      <c r="E2115" s="182"/>
      <c r="F2115" s="183"/>
    </row>
    <row r="2116" spans="4:6" x14ac:dyDescent="0.3">
      <c r="D2116" s="181"/>
      <c r="E2116" s="182"/>
      <c r="F2116" s="183"/>
    </row>
    <row r="2117" spans="4:6" x14ac:dyDescent="0.3">
      <c r="D2117" s="181"/>
      <c r="E2117" s="182"/>
      <c r="F2117" s="183"/>
    </row>
    <row r="2118" spans="4:6" x14ac:dyDescent="0.3">
      <c r="D2118" s="181"/>
      <c r="E2118" s="182"/>
      <c r="F2118" s="183"/>
    </row>
    <row r="2119" spans="4:6" x14ac:dyDescent="0.3">
      <c r="D2119" s="181"/>
      <c r="E2119" s="182"/>
      <c r="F2119" s="183"/>
    </row>
    <row r="2120" spans="4:6" x14ac:dyDescent="0.3">
      <c r="D2120" s="181"/>
      <c r="E2120" s="182"/>
      <c r="F2120" s="183"/>
    </row>
    <row r="2121" spans="4:6" x14ac:dyDescent="0.3">
      <c r="D2121" s="181"/>
      <c r="E2121" s="182"/>
      <c r="F2121" s="183"/>
    </row>
    <row r="2122" spans="4:6" x14ac:dyDescent="0.3">
      <c r="D2122" s="181"/>
      <c r="E2122" s="182"/>
      <c r="F2122" s="183"/>
    </row>
    <row r="2123" spans="4:6" x14ac:dyDescent="0.3">
      <c r="D2123" s="181"/>
      <c r="E2123" s="182"/>
      <c r="F2123" s="183"/>
    </row>
    <row r="2124" spans="4:6" x14ac:dyDescent="0.3">
      <c r="D2124" s="181"/>
      <c r="E2124" s="182"/>
      <c r="F2124" s="183"/>
    </row>
    <row r="2125" spans="4:6" x14ac:dyDescent="0.3">
      <c r="D2125" s="181"/>
      <c r="E2125" s="182"/>
      <c r="F2125" s="183"/>
    </row>
    <row r="2126" spans="4:6" x14ac:dyDescent="0.3">
      <c r="D2126" s="181"/>
      <c r="E2126" s="182"/>
      <c r="F2126" s="183"/>
    </row>
    <row r="2127" spans="4:6" x14ac:dyDescent="0.3">
      <c r="D2127" s="181"/>
      <c r="E2127" s="182"/>
      <c r="F2127" s="183"/>
    </row>
    <row r="2128" spans="4:6" x14ac:dyDescent="0.3">
      <c r="D2128" s="181"/>
      <c r="E2128" s="182"/>
      <c r="F2128" s="183"/>
    </row>
    <row r="2129" spans="4:6" x14ac:dyDescent="0.3">
      <c r="D2129" s="181"/>
      <c r="E2129" s="182"/>
      <c r="F2129" s="183"/>
    </row>
    <row r="2130" spans="4:6" x14ac:dyDescent="0.3">
      <c r="D2130" s="181"/>
      <c r="E2130" s="182"/>
      <c r="F2130" s="183"/>
    </row>
    <row r="2131" spans="4:6" x14ac:dyDescent="0.3">
      <c r="D2131" s="181"/>
      <c r="E2131" s="182"/>
      <c r="F2131" s="183"/>
    </row>
    <row r="2132" spans="4:6" x14ac:dyDescent="0.3">
      <c r="D2132" s="181"/>
      <c r="E2132" s="182"/>
      <c r="F2132" s="183"/>
    </row>
    <row r="2133" spans="4:6" x14ac:dyDescent="0.3">
      <c r="D2133" s="181"/>
      <c r="E2133" s="182"/>
      <c r="F2133" s="183"/>
    </row>
    <row r="2134" spans="4:6" x14ac:dyDescent="0.3">
      <c r="D2134" s="181"/>
      <c r="E2134" s="182"/>
      <c r="F2134" s="183"/>
    </row>
    <row r="2135" spans="4:6" x14ac:dyDescent="0.3">
      <c r="D2135" s="181"/>
      <c r="E2135" s="182"/>
      <c r="F2135" s="183"/>
    </row>
    <row r="2136" spans="4:6" x14ac:dyDescent="0.3">
      <c r="D2136" s="181"/>
      <c r="E2136" s="182"/>
      <c r="F2136" s="183"/>
    </row>
    <row r="2137" spans="4:6" x14ac:dyDescent="0.3">
      <c r="D2137" s="181"/>
      <c r="E2137" s="182"/>
      <c r="F2137" s="183"/>
    </row>
    <row r="2138" spans="4:6" x14ac:dyDescent="0.3">
      <c r="D2138" s="181"/>
      <c r="E2138" s="182"/>
      <c r="F2138" s="183"/>
    </row>
    <row r="2139" spans="4:6" x14ac:dyDescent="0.3">
      <c r="D2139" s="181"/>
      <c r="E2139" s="182"/>
      <c r="F2139" s="183"/>
    </row>
    <row r="2140" spans="4:6" x14ac:dyDescent="0.3">
      <c r="D2140" s="181"/>
      <c r="E2140" s="182"/>
      <c r="F2140" s="183"/>
    </row>
    <row r="2141" spans="4:6" x14ac:dyDescent="0.3">
      <c r="D2141" s="181"/>
      <c r="E2141" s="182"/>
      <c r="F2141" s="183"/>
    </row>
    <row r="2142" spans="4:6" x14ac:dyDescent="0.3">
      <c r="D2142" s="181"/>
      <c r="E2142" s="182"/>
      <c r="F2142" s="183"/>
    </row>
    <row r="2143" spans="4:6" x14ac:dyDescent="0.3">
      <c r="D2143" s="181"/>
      <c r="E2143" s="182"/>
      <c r="F2143" s="183"/>
    </row>
    <row r="2144" spans="4:6" x14ac:dyDescent="0.3">
      <c r="D2144" s="181"/>
      <c r="E2144" s="182"/>
      <c r="F2144" s="183"/>
    </row>
    <row r="2145" spans="4:6" x14ac:dyDescent="0.3">
      <c r="D2145" s="181"/>
      <c r="E2145" s="182"/>
      <c r="F2145" s="183"/>
    </row>
    <row r="2146" spans="4:6" x14ac:dyDescent="0.3">
      <c r="D2146" s="181"/>
      <c r="E2146" s="182"/>
      <c r="F2146" s="183"/>
    </row>
    <row r="2147" spans="4:6" x14ac:dyDescent="0.3">
      <c r="D2147" s="181"/>
      <c r="E2147" s="182"/>
      <c r="F2147" s="183"/>
    </row>
    <row r="2148" spans="4:6" x14ac:dyDescent="0.3">
      <c r="D2148" s="181"/>
      <c r="E2148" s="182"/>
      <c r="F2148" s="183"/>
    </row>
    <row r="2149" spans="4:6" x14ac:dyDescent="0.3">
      <c r="D2149" s="181"/>
      <c r="E2149" s="182"/>
      <c r="F2149" s="183"/>
    </row>
    <row r="2150" spans="4:6" x14ac:dyDescent="0.3">
      <c r="D2150" s="181"/>
      <c r="E2150" s="182"/>
      <c r="F2150" s="183"/>
    </row>
    <row r="2151" spans="4:6" x14ac:dyDescent="0.3">
      <c r="D2151" s="181"/>
      <c r="E2151" s="182"/>
      <c r="F2151" s="183"/>
    </row>
    <row r="2152" spans="4:6" x14ac:dyDescent="0.3">
      <c r="D2152" s="181"/>
      <c r="E2152" s="182"/>
      <c r="F2152" s="183"/>
    </row>
    <row r="2153" spans="4:6" x14ac:dyDescent="0.3">
      <c r="D2153" s="181"/>
      <c r="E2153" s="182"/>
      <c r="F2153" s="183"/>
    </row>
    <row r="2154" spans="4:6" x14ac:dyDescent="0.3">
      <c r="D2154" s="181"/>
      <c r="E2154" s="182"/>
      <c r="F2154" s="183"/>
    </row>
    <row r="2155" spans="4:6" x14ac:dyDescent="0.3">
      <c r="D2155" s="181"/>
      <c r="E2155" s="182"/>
      <c r="F2155" s="183"/>
    </row>
    <row r="2156" spans="4:6" x14ac:dyDescent="0.3">
      <c r="D2156" s="181"/>
      <c r="E2156" s="182"/>
      <c r="F2156" s="183"/>
    </row>
    <row r="2157" spans="4:6" x14ac:dyDescent="0.3">
      <c r="D2157" s="181"/>
      <c r="E2157" s="182"/>
      <c r="F2157" s="183"/>
    </row>
    <row r="2158" spans="4:6" x14ac:dyDescent="0.3">
      <c r="D2158" s="181"/>
      <c r="E2158" s="182"/>
      <c r="F2158" s="183"/>
    </row>
    <row r="2159" spans="4:6" x14ac:dyDescent="0.3">
      <c r="D2159" s="181"/>
      <c r="E2159" s="182"/>
      <c r="F2159" s="183"/>
    </row>
    <row r="2160" spans="4:6" x14ac:dyDescent="0.3">
      <c r="D2160" s="181"/>
      <c r="E2160" s="182"/>
      <c r="F2160" s="183"/>
    </row>
    <row r="2161" spans="4:6" x14ac:dyDescent="0.3">
      <c r="D2161" s="181"/>
      <c r="E2161" s="182"/>
      <c r="F2161" s="183"/>
    </row>
    <row r="2162" spans="4:6" x14ac:dyDescent="0.3">
      <c r="D2162" s="181"/>
      <c r="E2162" s="182"/>
      <c r="F2162" s="183"/>
    </row>
    <row r="2163" spans="4:6" x14ac:dyDescent="0.3">
      <c r="D2163" s="181"/>
      <c r="E2163" s="182"/>
      <c r="F2163" s="183"/>
    </row>
    <row r="2164" spans="4:6" x14ac:dyDescent="0.3">
      <c r="D2164" s="181"/>
      <c r="E2164" s="182"/>
      <c r="F2164" s="183"/>
    </row>
    <row r="2165" spans="4:6" x14ac:dyDescent="0.3">
      <c r="D2165" s="181"/>
      <c r="E2165" s="182"/>
      <c r="F2165" s="183"/>
    </row>
    <row r="2166" spans="4:6" x14ac:dyDescent="0.3">
      <c r="D2166" s="181"/>
      <c r="E2166" s="182"/>
      <c r="F2166" s="183"/>
    </row>
    <row r="2167" spans="4:6" x14ac:dyDescent="0.3">
      <c r="D2167" s="181"/>
      <c r="E2167" s="182"/>
      <c r="F2167" s="183"/>
    </row>
    <row r="2168" spans="4:6" x14ac:dyDescent="0.3">
      <c r="D2168" s="181"/>
      <c r="E2168" s="182"/>
      <c r="F2168" s="183"/>
    </row>
    <row r="2169" spans="4:6" x14ac:dyDescent="0.3">
      <c r="D2169" s="181"/>
      <c r="E2169" s="182"/>
      <c r="F2169" s="183"/>
    </row>
    <row r="2170" spans="4:6" x14ac:dyDescent="0.3">
      <c r="D2170" s="181"/>
      <c r="E2170" s="182"/>
      <c r="F2170" s="183"/>
    </row>
    <row r="2171" spans="4:6" x14ac:dyDescent="0.3">
      <c r="D2171" s="181"/>
      <c r="E2171" s="182"/>
      <c r="F2171" s="183"/>
    </row>
    <row r="2172" spans="4:6" x14ac:dyDescent="0.3">
      <c r="D2172" s="181"/>
      <c r="E2172" s="182"/>
      <c r="F2172" s="183"/>
    </row>
    <row r="2173" spans="4:6" x14ac:dyDescent="0.3">
      <c r="D2173" s="181"/>
      <c r="E2173" s="182"/>
      <c r="F2173" s="183"/>
    </row>
    <row r="2174" spans="4:6" x14ac:dyDescent="0.3">
      <c r="D2174" s="181"/>
      <c r="E2174" s="182"/>
      <c r="F2174" s="183"/>
    </row>
    <row r="2175" spans="4:6" x14ac:dyDescent="0.3">
      <c r="D2175" s="181"/>
      <c r="E2175" s="182"/>
      <c r="F2175" s="183"/>
    </row>
    <row r="2176" spans="4:6" x14ac:dyDescent="0.3">
      <c r="D2176" s="181"/>
      <c r="E2176" s="182"/>
      <c r="F2176" s="183"/>
    </row>
    <row r="2177" spans="4:6" x14ac:dyDescent="0.3">
      <c r="D2177" s="181"/>
      <c r="E2177" s="182"/>
      <c r="F2177" s="183"/>
    </row>
    <row r="2178" spans="4:6" x14ac:dyDescent="0.3">
      <c r="D2178" s="181"/>
      <c r="E2178" s="182"/>
      <c r="F2178" s="183"/>
    </row>
    <row r="2179" spans="4:6" x14ac:dyDescent="0.3">
      <c r="D2179" s="181"/>
      <c r="E2179" s="182"/>
      <c r="F2179" s="183"/>
    </row>
    <row r="2180" spans="4:6" x14ac:dyDescent="0.3">
      <c r="D2180" s="181"/>
      <c r="E2180" s="182"/>
      <c r="F2180" s="183"/>
    </row>
    <row r="2181" spans="4:6" x14ac:dyDescent="0.3">
      <c r="D2181" s="181"/>
      <c r="E2181" s="182"/>
      <c r="F2181" s="183"/>
    </row>
    <row r="2182" spans="4:6" x14ac:dyDescent="0.3">
      <c r="D2182" s="181"/>
      <c r="E2182" s="182"/>
      <c r="F2182" s="183"/>
    </row>
    <row r="2183" spans="4:6" x14ac:dyDescent="0.3">
      <c r="D2183" s="181"/>
      <c r="E2183" s="182"/>
      <c r="F2183" s="183"/>
    </row>
    <row r="2184" spans="4:6" x14ac:dyDescent="0.3">
      <c r="D2184" s="181"/>
      <c r="E2184" s="182"/>
      <c r="F2184" s="183"/>
    </row>
    <row r="2185" spans="4:6" x14ac:dyDescent="0.3">
      <c r="D2185" s="181"/>
      <c r="E2185" s="182"/>
      <c r="F2185" s="183"/>
    </row>
    <row r="2186" spans="4:6" x14ac:dyDescent="0.3">
      <c r="D2186" s="181"/>
      <c r="E2186" s="182"/>
      <c r="F2186" s="183"/>
    </row>
    <row r="2187" spans="4:6" x14ac:dyDescent="0.3">
      <c r="D2187" s="181"/>
      <c r="E2187" s="182"/>
      <c r="F2187" s="183"/>
    </row>
    <row r="2188" spans="4:6" x14ac:dyDescent="0.3">
      <c r="D2188" s="181"/>
      <c r="E2188" s="182"/>
      <c r="F2188" s="183"/>
    </row>
    <row r="2189" spans="4:6" x14ac:dyDescent="0.3">
      <c r="D2189" s="181"/>
      <c r="E2189" s="182"/>
      <c r="F2189" s="183"/>
    </row>
    <row r="2190" spans="4:6" x14ac:dyDescent="0.3">
      <c r="D2190" s="181"/>
      <c r="E2190" s="182"/>
      <c r="F2190" s="183"/>
    </row>
    <row r="2191" spans="4:6" x14ac:dyDescent="0.3">
      <c r="D2191" s="181"/>
      <c r="E2191" s="182"/>
      <c r="F2191" s="183"/>
    </row>
    <row r="2192" spans="4:6" x14ac:dyDescent="0.3">
      <c r="D2192" s="181"/>
      <c r="E2192" s="182"/>
      <c r="F2192" s="183"/>
    </row>
    <row r="2193" spans="4:6" x14ac:dyDescent="0.3">
      <c r="D2193" s="181"/>
      <c r="E2193" s="182"/>
      <c r="F2193" s="183"/>
    </row>
    <row r="2194" spans="4:6" x14ac:dyDescent="0.3">
      <c r="D2194" s="181"/>
      <c r="E2194" s="182"/>
      <c r="F2194" s="183"/>
    </row>
    <row r="2195" spans="4:6" x14ac:dyDescent="0.3">
      <c r="D2195" s="181"/>
      <c r="E2195" s="182"/>
      <c r="F2195" s="183"/>
    </row>
    <row r="2196" spans="4:6" x14ac:dyDescent="0.3">
      <c r="D2196" s="181"/>
      <c r="E2196" s="182"/>
      <c r="F2196" s="183"/>
    </row>
    <row r="2197" spans="4:6" x14ac:dyDescent="0.3">
      <c r="D2197" s="181"/>
      <c r="E2197" s="182"/>
      <c r="F2197" s="183"/>
    </row>
    <row r="2198" spans="4:6" x14ac:dyDescent="0.3">
      <c r="D2198" s="181"/>
      <c r="E2198" s="182"/>
      <c r="F2198" s="183"/>
    </row>
    <row r="2199" spans="4:6" x14ac:dyDescent="0.3">
      <c r="D2199" s="181"/>
      <c r="E2199" s="182"/>
      <c r="F2199" s="183"/>
    </row>
    <row r="2200" spans="4:6" x14ac:dyDescent="0.3">
      <c r="D2200" s="181"/>
      <c r="E2200" s="182"/>
      <c r="F2200" s="183"/>
    </row>
    <row r="2201" spans="4:6" x14ac:dyDescent="0.3">
      <c r="D2201" s="181"/>
      <c r="E2201" s="182"/>
      <c r="F2201" s="183"/>
    </row>
    <row r="2202" spans="4:6" x14ac:dyDescent="0.3">
      <c r="D2202" s="181"/>
      <c r="E2202" s="182"/>
      <c r="F2202" s="183"/>
    </row>
    <row r="2203" spans="4:6" x14ac:dyDescent="0.3">
      <c r="D2203" s="181"/>
      <c r="E2203" s="182"/>
      <c r="F2203" s="183"/>
    </row>
    <row r="2204" spans="4:6" x14ac:dyDescent="0.3">
      <c r="D2204" s="181"/>
      <c r="E2204" s="182"/>
      <c r="F2204" s="183"/>
    </row>
    <row r="2205" spans="4:6" x14ac:dyDescent="0.3">
      <c r="D2205" s="181"/>
      <c r="E2205" s="182"/>
      <c r="F2205" s="183"/>
    </row>
    <row r="2206" spans="4:6" x14ac:dyDescent="0.3">
      <c r="D2206" s="181"/>
      <c r="E2206" s="182"/>
      <c r="F2206" s="183"/>
    </row>
    <row r="2207" spans="4:6" x14ac:dyDescent="0.3">
      <c r="D2207" s="181"/>
      <c r="E2207" s="182"/>
      <c r="F2207" s="183"/>
    </row>
    <row r="2208" spans="4:6" x14ac:dyDescent="0.3">
      <c r="D2208" s="181"/>
      <c r="E2208" s="182"/>
      <c r="F2208" s="183"/>
    </row>
    <row r="2209" spans="4:6" x14ac:dyDescent="0.3">
      <c r="D2209" s="181"/>
      <c r="E2209" s="182"/>
      <c r="F2209" s="183"/>
    </row>
    <row r="2210" spans="4:6" x14ac:dyDescent="0.3">
      <c r="D2210" s="181"/>
      <c r="E2210" s="182"/>
      <c r="F2210" s="183"/>
    </row>
    <row r="2211" spans="4:6" x14ac:dyDescent="0.3">
      <c r="D2211" s="181"/>
      <c r="E2211" s="182"/>
      <c r="F2211" s="183"/>
    </row>
    <row r="2212" spans="4:6" x14ac:dyDescent="0.3">
      <c r="D2212" s="181"/>
      <c r="E2212" s="182"/>
      <c r="F2212" s="183"/>
    </row>
    <row r="2213" spans="4:6" x14ac:dyDescent="0.3">
      <c r="D2213" s="181"/>
      <c r="E2213" s="182"/>
      <c r="F2213" s="183"/>
    </row>
    <row r="2214" spans="4:6" x14ac:dyDescent="0.3">
      <c r="D2214" s="181"/>
      <c r="E2214" s="182"/>
      <c r="F2214" s="183"/>
    </row>
    <row r="2215" spans="4:6" x14ac:dyDescent="0.3">
      <c r="D2215" s="181"/>
      <c r="E2215" s="182"/>
      <c r="F2215" s="183"/>
    </row>
    <row r="2216" spans="4:6" x14ac:dyDescent="0.3">
      <c r="D2216" s="181"/>
      <c r="E2216" s="182"/>
      <c r="F2216" s="183"/>
    </row>
    <row r="2217" spans="4:6" x14ac:dyDescent="0.3">
      <c r="D2217" s="181"/>
      <c r="E2217" s="182"/>
      <c r="F2217" s="183"/>
    </row>
    <row r="2218" spans="4:6" x14ac:dyDescent="0.3">
      <c r="D2218" s="181"/>
      <c r="E2218" s="182"/>
      <c r="F2218" s="183"/>
    </row>
    <row r="2219" spans="4:6" x14ac:dyDescent="0.3">
      <c r="D2219" s="181"/>
      <c r="E2219" s="182"/>
      <c r="F2219" s="183"/>
    </row>
    <row r="2220" spans="4:6" x14ac:dyDescent="0.3">
      <c r="D2220" s="181"/>
      <c r="E2220" s="182"/>
      <c r="F2220" s="183"/>
    </row>
    <row r="2221" spans="4:6" x14ac:dyDescent="0.3">
      <c r="D2221" s="181"/>
      <c r="E2221" s="182"/>
      <c r="F2221" s="183"/>
    </row>
    <row r="2222" spans="4:6" x14ac:dyDescent="0.3">
      <c r="D2222" s="181"/>
      <c r="E2222" s="182"/>
      <c r="F2222" s="183"/>
    </row>
    <row r="2223" spans="4:6" x14ac:dyDescent="0.3">
      <c r="D2223" s="181"/>
      <c r="E2223" s="182"/>
      <c r="F2223" s="183"/>
    </row>
    <row r="2224" spans="4:6" x14ac:dyDescent="0.3">
      <c r="D2224" s="181"/>
      <c r="E2224" s="182"/>
      <c r="F2224" s="183"/>
    </row>
    <row r="2225" spans="4:6" x14ac:dyDescent="0.3">
      <c r="D2225" s="181"/>
      <c r="E2225" s="182"/>
      <c r="F2225" s="183"/>
    </row>
    <row r="2226" spans="4:6" x14ac:dyDescent="0.3">
      <c r="D2226" s="181"/>
      <c r="E2226" s="182"/>
      <c r="F2226" s="183"/>
    </row>
    <row r="2227" spans="4:6" x14ac:dyDescent="0.3">
      <c r="D2227" s="181"/>
      <c r="E2227" s="182"/>
      <c r="F2227" s="183"/>
    </row>
    <row r="2228" spans="4:6" x14ac:dyDescent="0.3">
      <c r="D2228" s="181"/>
      <c r="E2228" s="182"/>
      <c r="F2228" s="183"/>
    </row>
    <row r="2229" spans="4:6" x14ac:dyDescent="0.3">
      <c r="D2229" s="181"/>
      <c r="E2229" s="182"/>
      <c r="F2229" s="183"/>
    </row>
    <row r="2230" spans="4:6" x14ac:dyDescent="0.3">
      <c r="D2230" s="181"/>
      <c r="E2230" s="182"/>
      <c r="F2230" s="183"/>
    </row>
    <row r="2231" spans="4:6" x14ac:dyDescent="0.3">
      <c r="D2231" s="181"/>
      <c r="E2231" s="182"/>
      <c r="F2231" s="183"/>
    </row>
    <row r="2232" spans="4:6" x14ac:dyDescent="0.3">
      <c r="D2232" s="181"/>
      <c r="E2232" s="182"/>
      <c r="F2232" s="183"/>
    </row>
    <row r="2233" spans="4:6" x14ac:dyDescent="0.3">
      <c r="D2233" s="181"/>
      <c r="E2233" s="182"/>
      <c r="F2233" s="183"/>
    </row>
    <row r="2234" spans="4:6" x14ac:dyDescent="0.3">
      <c r="D2234" s="181"/>
      <c r="E2234" s="182"/>
      <c r="F2234" s="183"/>
    </row>
    <row r="2235" spans="4:6" x14ac:dyDescent="0.3">
      <c r="D2235" s="181"/>
      <c r="E2235" s="182"/>
      <c r="F2235" s="183"/>
    </row>
    <row r="2236" spans="4:6" x14ac:dyDescent="0.3">
      <c r="D2236" s="181"/>
      <c r="E2236" s="182"/>
      <c r="F2236" s="183"/>
    </row>
    <row r="2237" spans="4:6" x14ac:dyDescent="0.3">
      <c r="D2237" s="181"/>
      <c r="E2237" s="182"/>
      <c r="F2237" s="183"/>
    </row>
    <row r="2238" spans="4:6" x14ac:dyDescent="0.3">
      <c r="D2238" s="181"/>
      <c r="E2238" s="182"/>
      <c r="F2238" s="183"/>
    </row>
    <row r="2239" spans="4:6" x14ac:dyDescent="0.3">
      <c r="D2239" s="181"/>
      <c r="E2239" s="182"/>
      <c r="F2239" s="183"/>
    </row>
    <row r="2240" spans="4:6" x14ac:dyDescent="0.3">
      <c r="D2240" s="181"/>
      <c r="E2240" s="182"/>
      <c r="F2240" s="183"/>
    </row>
    <row r="2241" spans="4:6" x14ac:dyDescent="0.3">
      <c r="D2241" s="181"/>
      <c r="E2241" s="182"/>
      <c r="F2241" s="183"/>
    </row>
    <row r="2242" spans="4:6" x14ac:dyDescent="0.3">
      <c r="D2242" s="181"/>
      <c r="E2242" s="182"/>
      <c r="F2242" s="183"/>
    </row>
    <row r="2243" spans="4:6" x14ac:dyDescent="0.3">
      <c r="D2243" s="181"/>
      <c r="E2243" s="182"/>
      <c r="F2243" s="183"/>
    </row>
    <row r="2244" spans="4:6" x14ac:dyDescent="0.3">
      <c r="D2244" s="181"/>
      <c r="E2244" s="182"/>
      <c r="F2244" s="183"/>
    </row>
    <row r="2245" spans="4:6" x14ac:dyDescent="0.3">
      <c r="D2245" s="181"/>
      <c r="E2245" s="182"/>
      <c r="F2245" s="183"/>
    </row>
    <row r="2246" spans="4:6" x14ac:dyDescent="0.3">
      <c r="D2246" s="181"/>
      <c r="E2246" s="182"/>
      <c r="F2246" s="183"/>
    </row>
    <row r="2247" spans="4:6" x14ac:dyDescent="0.3">
      <c r="D2247" s="181"/>
      <c r="E2247" s="182"/>
      <c r="F2247" s="183"/>
    </row>
    <row r="2248" spans="4:6" x14ac:dyDescent="0.3">
      <c r="D2248" s="181"/>
      <c r="E2248" s="182"/>
      <c r="F2248" s="183"/>
    </row>
    <row r="2249" spans="4:6" x14ac:dyDescent="0.3">
      <c r="D2249" s="181"/>
      <c r="E2249" s="182"/>
      <c r="F2249" s="183"/>
    </row>
    <row r="2250" spans="4:6" x14ac:dyDescent="0.3">
      <c r="D2250" s="181"/>
      <c r="E2250" s="182"/>
      <c r="F2250" s="183"/>
    </row>
    <row r="2251" spans="4:6" x14ac:dyDescent="0.3">
      <c r="D2251" s="181"/>
      <c r="E2251" s="182"/>
      <c r="F2251" s="183"/>
    </row>
    <row r="2252" spans="4:6" x14ac:dyDescent="0.3">
      <c r="D2252" s="181"/>
      <c r="E2252" s="182"/>
      <c r="F2252" s="183"/>
    </row>
    <row r="2253" spans="4:6" x14ac:dyDescent="0.3">
      <c r="D2253" s="181"/>
      <c r="E2253" s="182"/>
      <c r="F2253" s="183"/>
    </row>
    <row r="2254" spans="4:6" x14ac:dyDescent="0.3">
      <c r="D2254" s="181"/>
      <c r="E2254" s="182"/>
      <c r="F2254" s="183"/>
    </row>
    <row r="2255" spans="4:6" x14ac:dyDescent="0.3">
      <c r="D2255" s="181"/>
      <c r="E2255" s="182"/>
      <c r="F2255" s="183"/>
    </row>
    <row r="2256" spans="4:6" x14ac:dyDescent="0.3">
      <c r="D2256" s="181"/>
      <c r="E2256" s="182"/>
      <c r="F2256" s="183"/>
    </row>
    <row r="2257" spans="4:6" x14ac:dyDescent="0.3">
      <c r="D2257" s="181"/>
      <c r="E2257" s="182"/>
      <c r="F2257" s="183"/>
    </row>
    <row r="2258" spans="4:6" x14ac:dyDescent="0.3">
      <c r="D2258" s="181"/>
      <c r="E2258" s="182"/>
      <c r="F2258" s="183"/>
    </row>
    <row r="2259" spans="4:6" x14ac:dyDescent="0.3">
      <c r="D2259" s="181"/>
      <c r="E2259" s="182"/>
      <c r="F2259" s="183"/>
    </row>
    <row r="2260" spans="4:6" x14ac:dyDescent="0.3">
      <c r="D2260" s="181"/>
      <c r="E2260" s="182"/>
      <c r="F2260" s="183"/>
    </row>
    <row r="2261" spans="4:6" x14ac:dyDescent="0.3">
      <c r="D2261" s="181"/>
      <c r="E2261" s="182"/>
      <c r="F2261" s="183"/>
    </row>
    <row r="2262" spans="4:6" x14ac:dyDescent="0.3">
      <c r="D2262" s="181"/>
      <c r="E2262" s="182"/>
      <c r="F2262" s="183"/>
    </row>
    <row r="2263" spans="4:6" x14ac:dyDescent="0.3">
      <c r="D2263" s="181"/>
      <c r="E2263" s="182"/>
      <c r="F2263" s="183"/>
    </row>
    <row r="2264" spans="4:6" x14ac:dyDescent="0.3">
      <c r="D2264" s="181"/>
      <c r="E2264" s="182"/>
      <c r="F2264" s="183"/>
    </row>
    <row r="2265" spans="4:6" x14ac:dyDescent="0.3">
      <c r="D2265" s="181"/>
      <c r="E2265" s="182"/>
      <c r="F2265" s="183"/>
    </row>
    <row r="2266" spans="4:6" x14ac:dyDescent="0.3">
      <c r="D2266" s="181"/>
      <c r="E2266" s="182"/>
      <c r="F2266" s="183"/>
    </row>
    <row r="2267" spans="4:6" x14ac:dyDescent="0.3">
      <c r="D2267" s="181"/>
      <c r="E2267" s="182"/>
      <c r="F2267" s="183"/>
    </row>
    <row r="2268" spans="4:6" x14ac:dyDescent="0.3">
      <c r="D2268" s="181"/>
      <c r="E2268" s="182"/>
      <c r="F2268" s="183"/>
    </row>
    <row r="2269" spans="4:6" x14ac:dyDescent="0.3">
      <c r="D2269" s="181"/>
      <c r="E2269" s="182"/>
      <c r="F2269" s="183"/>
    </row>
    <row r="2270" spans="4:6" x14ac:dyDescent="0.3">
      <c r="D2270" s="181"/>
      <c r="E2270" s="182"/>
      <c r="F2270" s="183"/>
    </row>
    <row r="2271" spans="4:6" x14ac:dyDescent="0.3">
      <c r="D2271" s="181"/>
      <c r="E2271" s="182"/>
      <c r="F2271" s="183"/>
    </row>
    <row r="2272" spans="4:6" x14ac:dyDescent="0.3">
      <c r="D2272" s="181"/>
      <c r="E2272" s="182"/>
      <c r="F2272" s="183"/>
    </row>
    <row r="2273" spans="4:6" x14ac:dyDescent="0.3">
      <c r="D2273" s="181"/>
      <c r="E2273" s="182"/>
      <c r="F2273" s="183"/>
    </row>
    <row r="2274" spans="4:6" x14ac:dyDescent="0.3">
      <c r="D2274" s="181"/>
      <c r="E2274" s="182"/>
      <c r="F2274" s="183"/>
    </row>
    <row r="2275" spans="4:6" x14ac:dyDescent="0.3">
      <c r="D2275" s="181"/>
      <c r="E2275" s="182"/>
      <c r="F2275" s="183"/>
    </row>
    <row r="2276" spans="4:6" x14ac:dyDescent="0.3">
      <c r="D2276" s="181"/>
      <c r="E2276" s="182"/>
      <c r="F2276" s="183"/>
    </row>
    <row r="2277" spans="4:6" x14ac:dyDescent="0.3">
      <c r="D2277" s="181"/>
      <c r="E2277" s="182"/>
      <c r="F2277" s="183"/>
    </row>
    <row r="2278" spans="4:6" x14ac:dyDescent="0.3">
      <c r="D2278" s="181"/>
      <c r="E2278" s="182"/>
      <c r="F2278" s="183"/>
    </row>
    <row r="2279" spans="4:6" x14ac:dyDescent="0.3">
      <c r="D2279" s="181"/>
      <c r="E2279" s="182"/>
      <c r="F2279" s="183"/>
    </row>
    <row r="2280" spans="4:6" x14ac:dyDescent="0.3">
      <c r="D2280" s="181"/>
      <c r="E2280" s="182"/>
      <c r="F2280" s="183"/>
    </row>
    <row r="2281" spans="4:6" x14ac:dyDescent="0.3">
      <c r="D2281" s="181"/>
      <c r="E2281" s="182"/>
      <c r="F2281" s="183"/>
    </row>
    <row r="2282" spans="4:6" x14ac:dyDescent="0.3">
      <c r="D2282" s="181"/>
      <c r="E2282" s="182"/>
      <c r="F2282" s="183"/>
    </row>
    <row r="2283" spans="4:6" x14ac:dyDescent="0.3">
      <c r="D2283" s="181"/>
      <c r="E2283" s="182"/>
      <c r="F2283" s="183"/>
    </row>
    <row r="2284" spans="4:6" x14ac:dyDescent="0.3">
      <c r="D2284" s="181"/>
      <c r="E2284" s="182"/>
      <c r="F2284" s="183"/>
    </row>
    <row r="2285" spans="4:6" x14ac:dyDescent="0.3">
      <c r="D2285" s="181"/>
      <c r="E2285" s="182"/>
      <c r="F2285" s="183"/>
    </row>
    <row r="2286" spans="4:6" x14ac:dyDescent="0.3">
      <c r="D2286" s="181"/>
      <c r="E2286" s="182"/>
      <c r="F2286" s="183"/>
    </row>
    <row r="2287" spans="4:6" x14ac:dyDescent="0.3">
      <c r="D2287" s="181"/>
      <c r="E2287" s="182"/>
      <c r="F2287" s="183"/>
    </row>
    <row r="2288" spans="4:6" x14ac:dyDescent="0.3">
      <c r="D2288" s="181"/>
      <c r="E2288" s="182"/>
      <c r="F2288" s="183"/>
    </row>
    <row r="2289" spans="4:6" x14ac:dyDescent="0.3">
      <c r="D2289" s="181"/>
      <c r="E2289" s="182"/>
      <c r="F2289" s="183"/>
    </row>
    <row r="2290" spans="4:6" x14ac:dyDescent="0.3">
      <c r="D2290" s="181"/>
      <c r="E2290" s="182"/>
      <c r="F2290" s="183"/>
    </row>
    <row r="2291" spans="4:6" x14ac:dyDescent="0.3">
      <c r="D2291" s="181"/>
      <c r="E2291" s="182"/>
      <c r="F2291" s="183"/>
    </row>
    <row r="2292" spans="4:6" x14ac:dyDescent="0.3">
      <c r="D2292" s="181"/>
      <c r="E2292" s="182"/>
      <c r="F2292" s="183"/>
    </row>
    <row r="2293" spans="4:6" x14ac:dyDescent="0.3">
      <c r="D2293" s="181"/>
      <c r="E2293" s="182"/>
      <c r="F2293" s="183"/>
    </row>
    <row r="2294" spans="4:6" x14ac:dyDescent="0.3">
      <c r="D2294" s="181"/>
      <c r="E2294" s="182"/>
      <c r="F2294" s="183"/>
    </row>
    <row r="2295" spans="4:6" x14ac:dyDescent="0.3">
      <c r="D2295" s="181"/>
      <c r="E2295" s="182"/>
      <c r="F2295" s="183"/>
    </row>
    <row r="2296" spans="4:6" x14ac:dyDescent="0.3">
      <c r="D2296" s="181"/>
      <c r="E2296" s="182"/>
      <c r="F2296" s="183"/>
    </row>
    <row r="2297" spans="4:6" x14ac:dyDescent="0.3">
      <c r="D2297" s="181"/>
      <c r="E2297" s="182"/>
      <c r="F2297" s="183"/>
    </row>
    <row r="2298" spans="4:6" x14ac:dyDescent="0.3">
      <c r="D2298" s="181"/>
      <c r="E2298" s="182"/>
      <c r="F2298" s="183"/>
    </row>
    <row r="2299" spans="4:6" x14ac:dyDescent="0.3">
      <c r="D2299" s="181"/>
      <c r="E2299" s="182"/>
      <c r="F2299" s="183"/>
    </row>
    <row r="2300" spans="4:6" x14ac:dyDescent="0.3">
      <c r="D2300" s="181"/>
      <c r="E2300" s="182"/>
      <c r="F2300" s="183"/>
    </row>
    <row r="2301" spans="4:6" x14ac:dyDescent="0.3">
      <c r="D2301" s="181"/>
      <c r="E2301" s="182"/>
      <c r="F2301" s="183"/>
    </row>
    <row r="2302" spans="4:6" x14ac:dyDescent="0.3">
      <c r="D2302" s="181"/>
      <c r="E2302" s="182"/>
      <c r="F2302" s="183"/>
    </row>
    <row r="2303" spans="4:6" x14ac:dyDescent="0.3">
      <c r="D2303" s="181"/>
      <c r="E2303" s="182"/>
      <c r="F2303" s="183"/>
    </row>
    <row r="2304" spans="4:6" x14ac:dyDescent="0.3">
      <c r="D2304" s="181"/>
      <c r="E2304" s="182"/>
      <c r="F2304" s="183"/>
    </row>
    <row r="2305" spans="4:6" x14ac:dyDescent="0.3">
      <c r="D2305" s="181"/>
      <c r="E2305" s="182"/>
      <c r="F2305" s="183"/>
    </row>
    <row r="2306" spans="4:6" x14ac:dyDescent="0.3">
      <c r="D2306" s="181"/>
      <c r="E2306" s="182"/>
      <c r="F2306" s="183"/>
    </row>
    <row r="2307" spans="4:6" x14ac:dyDescent="0.3">
      <c r="D2307" s="181"/>
      <c r="E2307" s="182"/>
      <c r="F2307" s="183"/>
    </row>
    <row r="2308" spans="4:6" x14ac:dyDescent="0.3">
      <c r="D2308" s="181"/>
      <c r="E2308" s="182"/>
      <c r="F2308" s="183"/>
    </row>
    <row r="2309" spans="4:6" x14ac:dyDescent="0.3">
      <c r="D2309" s="181"/>
      <c r="E2309" s="182"/>
      <c r="F2309" s="183"/>
    </row>
    <row r="2310" spans="4:6" x14ac:dyDescent="0.3">
      <c r="D2310" s="181"/>
      <c r="E2310" s="182"/>
      <c r="F2310" s="183"/>
    </row>
    <row r="2311" spans="4:6" x14ac:dyDescent="0.3">
      <c r="D2311" s="181"/>
      <c r="E2311" s="182"/>
      <c r="F2311" s="183"/>
    </row>
    <row r="2312" spans="4:6" x14ac:dyDescent="0.3">
      <c r="D2312" s="181"/>
      <c r="E2312" s="182"/>
      <c r="F2312" s="183"/>
    </row>
    <row r="2313" spans="4:6" x14ac:dyDescent="0.3">
      <c r="D2313" s="181"/>
      <c r="E2313" s="182"/>
      <c r="F2313" s="183"/>
    </row>
    <row r="2314" spans="4:6" x14ac:dyDescent="0.3">
      <c r="D2314" s="181"/>
      <c r="E2314" s="182"/>
      <c r="F2314" s="183"/>
    </row>
    <row r="2315" spans="4:6" x14ac:dyDescent="0.3">
      <c r="D2315" s="181"/>
      <c r="E2315" s="182"/>
      <c r="F2315" s="183"/>
    </row>
    <row r="2316" spans="4:6" x14ac:dyDescent="0.3">
      <c r="D2316" s="181"/>
      <c r="E2316" s="182"/>
      <c r="F2316" s="183"/>
    </row>
    <row r="2317" spans="4:6" x14ac:dyDescent="0.3">
      <c r="D2317" s="181"/>
      <c r="E2317" s="182"/>
      <c r="F2317" s="183"/>
    </row>
    <row r="2318" spans="4:6" x14ac:dyDescent="0.3">
      <c r="D2318" s="181"/>
      <c r="E2318" s="182"/>
      <c r="F2318" s="183"/>
    </row>
    <row r="2319" spans="4:6" x14ac:dyDescent="0.3">
      <c r="D2319" s="181"/>
      <c r="E2319" s="182"/>
      <c r="F2319" s="183"/>
    </row>
    <row r="2320" spans="4:6" x14ac:dyDescent="0.3">
      <c r="D2320" s="181"/>
      <c r="E2320" s="182"/>
      <c r="F2320" s="183"/>
    </row>
    <row r="2321" spans="4:6" x14ac:dyDescent="0.3">
      <c r="D2321" s="181"/>
      <c r="E2321" s="182"/>
      <c r="F2321" s="183"/>
    </row>
    <row r="2322" spans="4:6" x14ac:dyDescent="0.3">
      <c r="D2322" s="181"/>
      <c r="E2322" s="182"/>
      <c r="F2322" s="183"/>
    </row>
    <row r="2323" spans="4:6" x14ac:dyDescent="0.3">
      <c r="D2323" s="181"/>
      <c r="E2323" s="182"/>
      <c r="F2323" s="183"/>
    </row>
    <row r="2324" spans="4:6" x14ac:dyDescent="0.3">
      <c r="D2324" s="181"/>
      <c r="E2324" s="182"/>
      <c r="F2324" s="183"/>
    </row>
    <row r="2325" spans="4:6" x14ac:dyDescent="0.3">
      <c r="D2325" s="181"/>
      <c r="E2325" s="182"/>
      <c r="F2325" s="183"/>
    </row>
    <row r="2326" spans="4:6" x14ac:dyDescent="0.3">
      <c r="D2326" s="181"/>
      <c r="E2326" s="182"/>
      <c r="F2326" s="183"/>
    </row>
    <row r="2327" spans="4:6" x14ac:dyDescent="0.3">
      <c r="D2327" s="181"/>
      <c r="E2327" s="182"/>
      <c r="F2327" s="183"/>
    </row>
    <row r="2328" spans="4:6" x14ac:dyDescent="0.3">
      <c r="D2328" s="181"/>
      <c r="E2328" s="182"/>
      <c r="F2328" s="183"/>
    </row>
    <row r="2329" spans="4:6" x14ac:dyDescent="0.3">
      <c r="D2329" s="181"/>
      <c r="E2329" s="182"/>
      <c r="F2329" s="183"/>
    </row>
    <row r="2330" spans="4:6" x14ac:dyDescent="0.3">
      <c r="D2330" s="181"/>
      <c r="E2330" s="182"/>
      <c r="F2330" s="183"/>
    </row>
    <row r="2331" spans="4:6" x14ac:dyDescent="0.3">
      <c r="D2331" s="181"/>
      <c r="E2331" s="182"/>
      <c r="F2331" s="183"/>
    </row>
    <row r="2332" spans="4:6" x14ac:dyDescent="0.3">
      <c r="D2332" s="181"/>
      <c r="E2332" s="182"/>
      <c r="F2332" s="183"/>
    </row>
    <row r="2333" spans="4:6" x14ac:dyDescent="0.3">
      <c r="D2333" s="181"/>
      <c r="E2333" s="182"/>
      <c r="F2333" s="183"/>
    </row>
    <row r="2334" spans="4:6" x14ac:dyDescent="0.3">
      <c r="D2334" s="181"/>
      <c r="E2334" s="182"/>
      <c r="F2334" s="183"/>
    </row>
    <row r="2335" spans="4:6" x14ac:dyDescent="0.3">
      <c r="D2335" s="181"/>
      <c r="E2335" s="182"/>
      <c r="F2335" s="183"/>
    </row>
    <row r="2336" spans="4:6" x14ac:dyDescent="0.3">
      <c r="D2336" s="181"/>
      <c r="E2336" s="182"/>
      <c r="F2336" s="183"/>
    </row>
    <row r="2337" spans="4:6" x14ac:dyDescent="0.3">
      <c r="D2337" s="181"/>
      <c r="E2337" s="182"/>
      <c r="F2337" s="183"/>
    </row>
    <row r="2338" spans="4:6" x14ac:dyDescent="0.3">
      <c r="D2338" s="181"/>
      <c r="E2338" s="182"/>
      <c r="F2338" s="183"/>
    </row>
    <row r="2339" spans="4:6" x14ac:dyDescent="0.3">
      <c r="D2339" s="181"/>
      <c r="E2339" s="182"/>
      <c r="F2339" s="183"/>
    </row>
    <row r="2340" spans="4:6" x14ac:dyDescent="0.3">
      <c r="D2340" s="181"/>
      <c r="E2340" s="182"/>
      <c r="F2340" s="183"/>
    </row>
    <row r="2341" spans="4:6" x14ac:dyDescent="0.3">
      <c r="D2341" s="181"/>
      <c r="E2341" s="182"/>
      <c r="F2341" s="183"/>
    </row>
    <row r="2342" spans="4:6" x14ac:dyDescent="0.3">
      <c r="D2342" s="181"/>
      <c r="E2342" s="182"/>
      <c r="F2342" s="183"/>
    </row>
    <row r="2343" spans="4:6" x14ac:dyDescent="0.3">
      <c r="D2343" s="181"/>
      <c r="E2343" s="182"/>
      <c r="F2343" s="183"/>
    </row>
    <row r="2344" spans="4:6" x14ac:dyDescent="0.3">
      <c r="D2344" s="181"/>
      <c r="E2344" s="182"/>
      <c r="F2344" s="183"/>
    </row>
    <row r="2345" spans="4:6" x14ac:dyDescent="0.3">
      <c r="D2345" s="181"/>
      <c r="E2345" s="182"/>
      <c r="F2345" s="183"/>
    </row>
    <row r="2346" spans="4:6" x14ac:dyDescent="0.3">
      <c r="D2346" s="181"/>
      <c r="E2346" s="182"/>
      <c r="F2346" s="183"/>
    </row>
    <row r="2347" spans="4:6" x14ac:dyDescent="0.3">
      <c r="D2347" s="181"/>
      <c r="E2347" s="182"/>
      <c r="F2347" s="183"/>
    </row>
    <row r="2348" spans="4:6" x14ac:dyDescent="0.3">
      <c r="D2348" s="181"/>
      <c r="E2348" s="182"/>
      <c r="F2348" s="183"/>
    </row>
    <row r="2349" spans="4:6" x14ac:dyDescent="0.3">
      <c r="D2349" s="181"/>
      <c r="E2349" s="182"/>
      <c r="F2349" s="183"/>
    </row>
    <row r="2350" spans="4:6" x14ac:dyDescent="0.3">
      <c r="D2350" s="181"/>
      <c r="E2350" s="182"/>
      <c r="F2350" s="183"/>
    </row>
    <row r="2351" spans="4:6" x14ac:dyDescent="0.3">
      <c r="D2351" s="181"/>
      <c r="E2351" s="182"/>
      <c r="F2351" s="183"/>
    </row>
    <row r="2352" spans="4:6" x14ac:dyDescent="0.3">
      <c r="D2352" s="181"/>
      <c r="E2352" s="182"/>
      <c r="F2352" s="183"/>
    </row>
    <row r="2353" spans="4:6" x14ac:dyDescent="0.3">
      <c r="D2353" s="181"/>
      <c r="E2353" s="182"/>
      <c r="F2353" s="183"/>
    </row>
    <row r="2354" spans="4:6" x14ac:dyDescent="0.3">
      <c r="D2354" s="181"/>
      <c r="E2354" s="182"/>
      <c r="F2354" s="183"/>
    </row>
    <row r="2355" spans="4:6" x14ac:dyDescent="0.3">
      <c r="D2355" s="181"/>
      <c r="E2355" s="182"/>
      <c r="F2355" s="183"/>
    </row>
    <row r="2356" spans="4:6" x14ac:dyDescent="0.3">
      <c r="D2356" s="181"/>
      <c r="E2356" s="182"/>
      <c r="F2356" s="183"/>
    </row>
    <row r="2357" spans="4:6" x14ac:dyDescent="0.3">
      <c r="D2357" s="181"/>
      <c r="E2357" s="182"/>
      <c r="F2357" s="183"/>
    </row>
    <row r="2358" spans="4:6" x14ac:dyDescent="0.3">
      <c r="D2358" s="181"/>
      <c r="E2358" s="182"/>
      <c r="F2358" s="183"/>
    </row>
    <row r="2359" spans="4:6" x14ac:dyDescent="0.3">
      <c r="D2359" s="181"/>
      <c r="E2359" s="182"/>
      <c r="F2359" s="183"/>
    </row>
    <row r="2360" spans="4:6" x14ac:dyDescent="0.3">
      <c r="D2360" s="181"/>
      <c r="E2360" s="182"/>
      <c r="F2360" s="183"/>
    </row>
    <row r="2361" spans="4:6" x14ac:dyDescent="0.3">
      <c r="D2361" s="181"/>
      <c r="E2361" s="182"/>
      <c r="F2361" s="183"/>
    </row>
    <row r="2362" spans="4:6" x14ac:dyDescent="0.3">
      <c r="D2362" s="181"/>
      <c r="E2362" s="182"/>
      <c r="F2362" s="183"/>
    </row>
    <row r="2363" spans="4:6" x14ac:dyDescent="0.3">
      <c r="D2363" s="181"/>
      <c r="E2363" s="182"/>
      <c r="F2363" s="183"/>
    </row>
    <row r="2364" spans="4:6" x14ac:dyDescent="0.3">
      <c r="D2364" s="181"/>
      <c r="E2364" s="182"/>
      <c r="F2364" s="183"/>
    </row>
    <row r="2365" spans="4:6" x14ac:dyDescent="0.3">
      <c r="D2365" s="181"/>
      <c r="E2365" s="182"/>
      <c r="F2365" s="183"/>
    </row>
    <row r="2366" spans="4:6" x14ac:dyDescent="0.3">
      <c r="D2366" s="181"/>
      <c r="E2366" s="182"/>
      <c r="F2366" s="183"/>
    </row>
    <row r="2367" spans="4:6" x14ac:dyDescent="0.3">
      <c r="D2367" s="181"/>
      <c r="E2367" s="182"/>
      <c r="F2367" s="183"/>
    </row>
    <row r="2368" spans="4:6" x14ac:dyDescent="0.3">
      <c r="D2368" s="181"/>
      <c r="E2368" s="182"/>
      <c r="F2368" s="183"/>
    </row>
    <row r="2369" spans="4:6" x14ac:dyDescent="0.3">
      <c r="D2369" s="181"/>
      <c r="E2369" s="182"/>
      <c r="F2369" s="183"/>
    </row>
    <row r="2370" spans="4:6" x14ac:dyDescent="0.3">
      <c r="D2370" s="181"/>
      <c r="E2370" s="182"/>
      <c r="F2370" s="183"/>
    </row>
    <row r="2371" spans="4:6" x14ac:dyDescent="0.3">
      <c r="D2371" s="181"/>
      <c r="E2371" s="182"/>
      <c r="F2371" s="183"/>
    </row>
    <row r="2372" spans="4:6" x14ac:dyDescent="0.3">
      <c r="D2372" s="181"/>
      <c r="E2372" s="182"/>
      <c r="F2372" s="183"/>
    </row>
    <row r="2373" spans="4:6" x14ac:dyDescent="0.3">
      <c r="D2373" s="181"/>
      <c r="E2373" s="182"/>
      <c r="F2373" s="183"/>
    </row>
    <row r="2374" spans="4:6" x14ac:dyDescent="0.3">
      <c r="D2374" s="181"/>
      <c r="E2374" s="182"/>
      <c r="F2374" s="183"/>
    </row>
    <row r="2375" spans="4:6" x14ac:dyDescent="0.3">
      <c r="D2375" s="181"/>
      <c r="E2375" s="182"/>
      <c r="F2375" s="183"/>
    </row>
    <row r="2376" spans="4:6" x14ac:dyDescent="0.3">
      <c r="D2376" s="181"/>
      <c r="E2376" s="182"/>
      <c r="F2376" s="183"/>
    </row>
    <row r="2377" spans="4:6" x14ac:dyDescent="0.3">
      <c r="D2377" s="181"/>
      <c r="E2377" s="182"/>
      <c r="F2377" s="183"/>
    </row>
    <row r="2378" spans="4:6" x14ac:dyDescent="0.3">
      <c r="D2378" s="181"/>
      <c r="E2378" s="182"/>
      <c r="F2378" s="183"/>
    </row>
    <row r="2379" spans="4:6" x14ac:dyDescent="0.3">
      <c r="D2379" s="181"/>
      <c r="E2379" s="182"/>
      <c r="F2379" s="183"/>
    </row>
    <row r="2380" spans="4:6" x14ac:dyDescent="0.3">
      <c r="D2380" s="181"/>
      <c r="E2380" s="182"/>
      <c r="F2380" s="183"/>
    </row>
    <row r="2381" spans="4:6" x14ac:dyDescent="0.3">
      <c r="D2381" s="181"/>
      <c r="E2381" s="182"/>
      <c r="F2381" s="183"/>
    </row>
    <row r="2382" spans="4:6" x14ac:dyDescent="0.3">
      <c r="D2382" s="181"/>
      <c r="E2382" s="182"/>
      <c r="F2382" s="183"/>
    </row>
    <row r="2383" spans="4:6" x14ac:dyDescent="0.3">
      <c r="D2383" s="181"/>
      <c r="E2383" s="182"/>
      <c r="F2383" s="183"/>
    </row>
    <row r="2384" spans="4:6" x14ac:dyDescent="0.3">
      <c r="D2384" s="181"/>
      <c r="E2384" s="182"/>
      <c r="F2384" s="183"/>
    </row>
    <row r="2385" spans="4:6" x14ac:dyDescent="0.3">
      <c r="D2385" s="181"/>
      <c r="E2385" s="182"/>
      <c r="F2385" s="183"/>
    </row>
    <row r="2386" spans="4:6" x14ac:dyDescent="0.3">
      <c r="D2386" s="181"/>
      <c r="E2386" s="182"/>
      <c r="F2386" s="183"/>
    </row>
    <row r="2387" spans="4:6" x14ac:dyDescent="0.3">
      <c r="D2387" s="181"/>
      <c r="E2387" s="182"/>
      <c r="F2387" s="183"/>
    </row>
    <row r="2388" spans="4:6" x14ac:dyDescent="0.3">
      <c r="D2388" s="181"/>
      <c r="E2388" s="182"/>
      <c r="F2388" s="183"/>
    </row>
    <row r="2389" spans="4:6" x14ac:dyDescent="0.3">
      <c r="D2389" s="181"/>
      <c r="E2389" s="182"/>
      <c r="F2389" s="183"/>
    </row>
    <row r="2390" spans="4:6" x14ac:dyDescent="0.3">
      <c r="D2390" s="181"/>
      <c r="E2390" s="182"/>
      <c r="F2390" s="183"/>
    </row>
    <row r="2391" spans="4:6" x14ac:dyDescent="0.3">
      <c r="D2391" s="181"/>
      <c r="E2391" s="182"/>
      <c r="F2391" s="183"/>
    </row>
    <row r="2392" spans="4:6" x14ac:dyDescent="0.3">
      <c r="D2392" s="181"/>
      <c r="E2392" s="182"/>
      <c r="F2392" s="183"/>
    </row>
    <row r="2393" spans="4:6" x14ac:dyDescent="0.3">
      <c r="D2393" s="181"/>
      <c r="E2393" s="182"/>
      <c r="F2393" s="183"/>
    </row>
    <row r="2394" spans="4:6" x14ac:dyDescent="0.3">
      <c r="D2394" s="181"/>
      <c r="E2394" s="182"/>
      <c r="F2394" s="183"/>
    </row>
    <row r="2395" spans="4:6" x14ac:dyDescent="0.3">
      <c r="D2395" s="181"/>
      <c r="E2395" s="182"/>
      <c r="F2395" s="183"/>
    </row>
    <row r="2396" spans="4:6" x14ac:dyDescent="0.3">
      <c r="D2396" s="181"/>
      <c r="E2396" s="182"/>
      <c r="F2396" s="183"/>
    </row>
    <row r="2397" spans="4:6" x14ac:dyDescent="0.3">
      <c r="D2397" s="181"/>
      <c r="E2397" s="182"/>
      <c r="F2397" s="183"/>
    </row>
    <row r="2398" spans="4:6" x14ac:dyDescent="0.3">
      <c r="D2398" s="181"/>
      <c r="E2398" s="182"/>
      <c r="F2398" s="183"/>
    </row>
    <row r="2399" spans="4:6" x14ac:dyDescent="0.3">
      <c r="D2399" s="181"/>
      <c r="E2399" s="182"/>
      <c r="F2399" s="183"/>
    </row>
    <row r="2400" spans="4:6" x14ac:dyDescent="0.3">
      <c r="D2400" s="181"/>
      <c r="E2400" s="182"/>
      <c r="F2400" s="183"/>
    </row>
    <row r="2401" spans="4:6" x14ac:dyDescent="0.3">
      <c r="D2401" s="181"/>
      <c r="E2401" s="182"/>
      <c r="F2401" s="183"/>
    </row>
    <row r="2402" spans="4:6" x14ac:dyDescent="0.3">
      <c r="D2402" s="181"/>
      <c r="E2402" s="182"/>
      <c r="F2402" s="183"/>
    </row>
    <row r="2403" spans="4:6" x14ac:dyDescent="0.3">
      <c r="D2403" s="181"/>
      <c r="E2403" s="182"/>
      <c r="F2403" s="183"/>
    </row>
    <row r="2404" spans="4:6" x14ac:dyDescent="0.3">
      <c r="D2404" s="181"/>
      <c r="E2404" s="182"/>
      <c r="F2404" s="183"/>
    </row>
    <row r="2405" spans="4:6" x14ac:dyDescent="0.3">
      <c r="D2405" s="181"/>
      <c r="E2405" s="182"/>
      <c r="F2405" s="183"/>
    </row>
    <row r="2406" spans="4:6" x14ac:dyDescent="0.3">
      <c r="D2406" s="181"/>
      <c r="E2406" s="182"/>
      <c r="F2406" s="183"/>
    </row>
    <row r="2407" spans="4:6" x14ac:dyDescent="0.3">
      <c r="D2407" s="181"/>
      <c r="E2407" s="182"/>
      <c r="F2407" s="183"/>
    </row>
    <row r="2408" spans="4:6" x14ac:dyDescent="0.3">
      <c r="D2408" s="181"/>
      <c r="E2408" s="182"/>
      <c r="F2408" s="183"/>
    </row>
    <row r="2409" spans="4:6" x14ac:dyDescent="0.3">
      <c r="D2409" s="181"/>
      <c r="E2409" s="182"/>
      <c r="F2409" s="183"/>
    </row>
    <row r="2410" spans="4:6" x14ac:dyDescent="0.3">
      <c r="D2410" s="181"/>
      <c r="E2410" s="182"/>
      <c r="F2410" s="183"/>
    </row>
    <row r="2411" spans="4:6" x14ac:dyDescent="0.3">
      <c r="D2411" s="181"/>
      <c r="E2411" s="182"/>
      <c r="F2411" s="183"/>
    </row>
    <row r="2412" spans="4:6" x14ac:dyDescent="0.3">
      <c r="D2412" s="181"/>
      <c r="E2412" s="182"/>
      <c r="F2412" s="183"/>
    </row>
    <row r="2413" spans="4:6" x14ac:dyDescent="0.3">
      <c r="D2413" s="181"/>
      <c r="E2413" s="182"/>
      <c r="F2413" s="183"/>
    </row>
    <row r="2414" spans="4:6" x14ac:dyDescent="0.3">
      <c r="D2414" s="181"/>
      <c r="E2414" s="182"/>
      <c r="F2414" s="183"/>
    </row>
    <row r="2415" spans="4:6" x14ac:dyDescent="0.3">
      <c r="D2415" s="181"/>
      <c r="E2415" s="182"/>
      <c r="F2415" s="183"/>
    </row>
    <row r="2416" spans="4:6" x14ac:dyDescent="0.3">
      <c r="D2416" s="181"/>
      <c r="E2416" s="182"/>
      <c r="F2416" s="183"/>
    </row>
    <row r="2417" spans="4:6" x14ac:dyDescent="0.3">
      <c r="D2417" s="181"/>
      <c r="E2417" s="182"/>
      <c r="F2417" s="183"/>
    </row>
    <row r="2418" spans="4:6" x14ac:dyDescent="0.3">
      <c r="D2418" s="181"/>
      <c r="E2418" s="182"/>
      <c r="F2418" s="183"/>
    </row>
    <row r="2419" spans="4:6" x14ac:dyDescent="0.3">
      <c r="D2419" s="181"/>
      <c r="E2419" s="182"/>
      <c r="F2419" s="183"/>
    </row>
    <row r="2420" spans="4:6" x14ac:dyDescent="0.3">
      <c r="D2420" s="181"/>
      <c r="E2420" s="182"/>
      <c r="F2420" s="183"/>
    </row>
    <row r="2421" spans="4:6" x14ac:dyDescent="0.3">
      <c r="D2421" s="181"/>
      <c r="E2421" s="182"/>
      <c r="F2421" s="183"/>
    </row>
    <row r="2422" spans="4:6" x14ac:dyDescent="0.3">
      <c r="D2422" s="181"/>
      <c r="E2422" s="182"/>
      <c r="F2422" s="183"/>
    </row>
    <row r="2423" spans="4:6" x14ac:dyDescent="0.3">
      <c r="D2423" s="181"/>
      <c r="E2423" s="182"/>
      <c r="F2423" s="183"/>
    </row>
    <row r="2424" spans="4:6" x14ac:dyDescent="0.3">
      <c r="D2424" s="181"/>
      <c r="E2424" s="182"/>
      <c r="F2424" s="183"/>
    </row>
    <row r="2425" spans="4:6" x14ac:dyDescent="0.3">
      <c r="D2425" s="181"/>
      <c r="E2425" s="182"/>
      <c r="F2425" s="183"/>
    </row>
    <row r="2426" spans="4:6" x14ac:dyDescent="0.3">
      <c r="D2426" s="181"/>
      <c r="E2426" s="182"/>
      <c r="F2426" s="183"/>
    </row>
    <row r="2427" spans="4:6" x14ac:dyDescent="0.3">
      <c r="D2427" s="181"/>
      <c r="E2427" s="182"/>
      <c r="F2427" s="183"/>
    </row>
    <row r="2428" spans="4:6" x14ac:dyDescent="0.3">
      <c r="D2428" s="181"/>
      <c r="E2428" s="182"/>
      <c r="F2428" s="183"/>
    </row>
    <row r="2429" spans="4:6" x14ac:dyDescent="0.3">
      <c r="D2429" s="181"/>
      <c r="E2429" s="182"/>
      <c r="F2429" s="183"/>
    </row>
    <row r="2430" spans="4:6" x14ac:dyDescent="0.3">
      <c r="D2430" s="181"/>
      <c r="E2430" s="182"/>
      <c r="F2430" s="183"/>
    </row>
    <row r="2431" spans="4:6" x14ac:dyDescent="0.3">
      <c r="D2431" s="181"/>
      <c r="E2431" s="182"/>
      <c r="F2431" s="183"/>
    </row>
    <row r="2432" spans="4:6" x14ac:dyDescent="0.3">
      <c r="D2432" s="181"/>
      <c r="E2432" s="182"/>
      <c r="F2432" s="183"/>
    </row>
    <row r="2433" spans="4:6" x14ac:dyDescent="0.3">
      <c r="D2433" s="181"/>
      <c r="E2433" s="182"/>
      <c r="F2433" s="183"/>
    </row>
    <row r="2434" spans="4:6" x14ac:dyDescent="0.3">
      <c r="D2434" s="181"/>
      <c r="E2434" s="182"/>
      <c r="F2434" s="183"/>
    </row>
    <row r="2435" spans="4:6" x14ac:dyDescent="0.3">
      <c r="D2435" s="181"/>
      <c r="E2435" s="182"/>
      <c r="F2435" s="183"/>
    </row>
    <row r="2436" spans="4:6" x14ac:dyDescent="0.3">
      <c r="D2436" s="181"/>
      <c r="E2436" s="182"/>
      <c r="F2436" s="183"/>
    </row>
    <row r="2437" spans="4:6" x14ac:dyDescent="0.3">
      <c r="D2437" s="181"/>
      <c r="E2437" s="182"/>
      <c r="F2437" s="183"/>
    </row>
    <row r="2438" spans="4:6" x14ac:dyDescent="0.3">
      <c r="D2438" s="181"/>
      <c r="E2438" s="182"/>
      <c r="F2438" s="183"/>
    </row>
    <row r="2439" spans="4:6" x14ac:dyDescent="0.3">
      <c r="D2439" s="181"/>
      <c r="E2439" s="182"/>
      <c r="F2439" s="183"/>
    </row>
    <row r="2440" spans="4:6" x14ac:dyDescent="0.3">
      <c r="D2440" s="181"/>
      <c r="E2440" s="182"/>
      <c r="F2440" s="183"/>
    </row>
    <row r="2441" spans="4:6" x14ac:dyDescent="0.3">
      <c r="D2441" s="181"/>
      <c r="E2441" s="182"/>
      <c r="F2441" s="183"/>
    </row>
    <row r="2442" spans="4:6" x14ac:dyDescent="0.3">
      <c r="D2442" s="181"/>
      <c r="E2442" s="182"/>
      <c r="F2442" s="183"/>
    </row>
    <row r="2443" spans="4:6" x14ac:dyDescent="0.3">
      <c r="D2443" s="181"/>
      <c r="E2443" s="182"/>
      <c r="F2443" s="183"/>
    </row>
    <row r="2444" spans="4:6" x14ac:dyDescent="0.3">
      <c r="D2444" s="181"/>
      <c r="E2444" s="182"/>
      <c r="F2444" s="183"/>
    </row>
    <row r="2445" spans="4:6" x14ac:dyDescent="0.3">
      <c r="D2445" s="181"/>
      <c r="E2445" s="182"/>
      <c r="F2445" s="183"/>
    </row>
    <row r="2446" spans="4:6" x14ac:dyDescent="0.3">
      <c r="D2446" s="181"/>
      <c r="E2446" s="182"/>
      <c r="F2446" s="183"/>
    </row>
    <row r="2447" spans="4:6" x14ac:dyDescent="0.3">
      <c r="D2447" s="181"/>
      <c r="E2447" s="182"/>
      <c r="F2447" s="183"/>
    </row>
    <row r="2448" spans="4:6" x14ac:dyDescent="0.3">
      <c r="D2448" s="181"/>
      <c r="E2448" s="182"/>
      <c r="F2448" s="183"/>
    </row>
    <row r="2449" spans="4:6" x14ac:dyDescent="0.3">
      <c r="D2449" s="181"/>
      <c r="E2449" s="182"/>
      <c r="F2449" s="183"/>
    </row>
    <row r="2450" spans="4:6" x14ac:dyDescent="0.3">
      <c r="D2450" s="181"/>
      <c r="E2450" s="182"/>
      <c r="F2450" s="183"/>
    </row>
    <row r="2451" spans="4:6" x14ac:dyDescent="0.3">
      <c r="D2451" s="181"/>
      <c r="E2451" s="182"/>
      <c r="F2451" s="183"/>
    </row>
    <row r="2452" spans="4:6" x14ac:dyDescent="0.3">
      <c r="D2452" s="181"/>
      <c r="E2452" s="182"/>
      <c r="F2452" s="183"/>
    </row>
    <row r="2453" spans="4:6" x14ac:dyDescent="0.3">
      <c r="D2453" s="181"/>
      <c r="E2453" s="182"/>
      <c r="F2453" s="183"/>
    </row>
    <row r="2454" spans="4:6" x14ac:dyDescent="0.3">
      <c r="D2454" s="181"/>
      <c r="E2454" s="182"/>
      <c r="F2454" s="183"/>
    </row>
    <row r="2455" spans="4:6" x14ac:dyDescent="0.3">
      <c r="D2455" s="181"/>
      <c r="E2455" s="182"/>
      <c r="F2455" s="183"/>
    </row>
    <row r="2456" spans="4:6" x14ac:dyDescent="0.3">
      <c r="D2456" s="181"/>
      <c r="E2456" s="182"/>
    </row>
    <row r="2457" spans="4:6" x14ac:dyDescent="0.3">
      <c r="D2457" s="181"/>
      <c r="E2457" s="182"/>
    </row>
    <row r="2458" spans="4:6" x14ac:dyDescent="0.3">
      <c r="D2458" s="181"/>
      <c r="E2458" s="182"/>
    </row>
    <row r="2459" spans="4:6" x14ac:dyDescent="0.3">
      <c r="D2459" s="181"/>
      <c r="E2459" s="182"/>
    </row>
    <row r="2460" spans="4:6" x14ac:dyDescent="0.3">
      <c r="D2460" s="181"/>
      <c r="E2460" s="182"/>
    </row>
    <row r="2461" spans="4:6" x14ac:dyDescent="0.3">
      <c r="D2461" s="181"/>
      <c r="E2461" s="182"/>
    </row>
    <row r="2462" spans="4:6" x14ac:dyDescent="0.3">
      <c r="D2462" s="181"/>
      <c r="E2462" s="182"/>
    </row>
    <row r="2463" spans="4:6" x14ac:dyDescent="0.3">
      <c r="D2463" s="181"/>
      <c r="E2463" s="182"/>
    </row>
    <row r="2464" spans="4:6" x14ac:dyDescent="0.3">
      <c r="D2464" s="181"/>
      <c r="E2464" s="182"/>
    </row>
    <row r="2465" spans="4:5" x14ac:dyDescent="0.3">
      <c r="D2465" s="181"/>
      <c r="E2465" s="182"/>
    </row>
    <row r="2466" spans="4:5" x14ac:dyDescent="0.3">
      <c r="D2466" s="181"/>
      <c r="E2466" s="182"/>
    </row>
    <row r="2467" spans="4:5" x14ac:dyDescent="0.3">
      <c r="D2467" s="181"/>
      <c r="E2467" s="182"/>
    </row>
    <row r="2468" spans="4:5" x14ac:dyDescent="0.3">
      <c r="D2468" s="181"/>
      <c r="E2468" s="182"/>
    </row>
    <row r="2469" spans="4:5" x14ac:dyDescent="0.3">
      <c r="D2469" s="181"/>
      <c r="E2469" s="182"/>
    </row>
    <row r="2470" spans="4:5" x14ac:dyDescent="0.3">
      <c r="D2470" s="181"/>
      <c r="E2470" s="182"/>
    </row>
    <row r="2471" spans="4:5" x14ac:dyDescent="0.3">
      <c r="D2471" s="181"/>
      <c r="E2471" s="182"/>
    </row>
    <row r="2472" spans="4:5" x14ac:dyDescent="0.3">
      <c r="D2472" s="181"/>
      <c r="E2472" s="182"/>
    </row>
    <row r="2473" spans="4:5" x14ac:dyDescent="0.3">
      <c r="D2473" s="181"/>
      <c r="E2473" s="182"/>
    </row>
    <row r="2474" spans="4:5" x14ac:dyDescent="0.3">
      <c r="D2474" s="181"/>
      <c r="E2474" s="182"/>
    </row>
    <row r="2475" spans="4:5" x14ac:dyDescent="0.3">
      <c r="D2475" s="181"/>
      <c r="E2475" s="182"/>
    </row>
    <row r="2476" spans="4:5" x14ac:dyDescent="0.3">
      <c r="D2476" s="181"/>
      <c r="E2476" s="182"/>
    </row>
    <row r="2477" spans="4:5" x14ac:dyDescent="0.3">
      <c r="D2477" s="181"/>
      <c r="E2477" s="182"/>
    </row>
    <row r="2478" spans="4:5" x14ac:dyDescent="0.3">
      <c r="D2478" s="181"/>
      <c r="E2478" s="182"/>
    </row>
    <row r="2479" spans="4:5" x14ac:dyDescent="0.3">
      <c r="D2479" s="181"/>
      <c r="E2479" s="182"/>
    </row>
    <row r="2480" spans="4:5" x14ac:dyDescent="0.3">
      <c r="D2480" s="181"/>
      <c r="E2480" s="182"/>
    </row>
  </sheetData>
  <conditionalFormatting sqref="F20 F24:F25 F32:F2455">
    <cfRule type="cellIs" dxfId="12" priority="1" operator="greaterThan">
      <formula>0</formula>
    </cfRule>
    <cfRule type="cellIs" dxfId="11" priority="2" operator="lessThan">
      <formula>0</formula>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F33EC745-76D3-4DF5-9F49-47723F9EC2CE}">
          <x14:colorSeries rgb="FF376092"/>
          <x14:colorNegative rgb="FFD00000"/>
          <x14:colorAxis rgb="FF000000"/>
          <x14:colorMarkers rgb="FFD00000"/>
          <x14:colorFirst rgb="FFD00000"/>
          <x14:colorLast rgb="FFD00000"/>
          <x14:colorHigh rgb="FFD00000"/>
          <x14:colorLow rgb="FFD00000"/>
          <x14:sparklines>
            <x14:sparkline>
              <xm:f>'Ratio Analysis'!C31:Q31</xm:f>
              <xm:sqref>R31</xm:sqref>
            </x14:sparkline>
          </x14:sparklines>
        </x14:sparklineGroup>
        <x14:sparklineGroup displayEmptyCellsAs="gap" xr2:uid="{ED4E6733-90FF-42F0-8A13-74E99C3CFAB9}">
          <x14:colorSeries rgb="FF376092"/>
          <x14:colorNegative rgb="FFD00000"/>
          <x14:colorAxis rgb="FF000000"/>
          <x14:colorMarkers rgb="FFD00000"/>
          <x14:colorFirst rgb="FFD00000"/>
          <x14:colorLast rgb="FFD00000"/>
          <x14:colorHigh rgb="FFD00000"/>
          <x14:colorLow rgb="FFD00000"/>
          <x14:sparklines>
            <x14:sparkline>
              <xm:f>'Ratio Analysis'!C30:Q30</xm:f>
              <xm:sqref>R30</xm:sqref>
            </x14:sparkline>
          </x14:sparklines>
        </x14:sparklineGroup>
        <x14:sparklineGroup displayEmptyCellsAs="gap" xr2:uid="{AA6137B6-0DCF-4248-8925-5C4AE42FBBDD}">
          <x14:colorSeries rgb="FF376092"/>
          <x14:colorNegative rgb="FFD00000"/>
          <x14:colorAxis rgb="FF000000"/>
          <x14:colorMarkers rgb="FFD00000"/>
          <x14:colorFirst rgb="FFD00000"/>
          <x14:colorLast rgb="FFD00000"/>
          <x14:colorHigh rgb="FFD00000"/>
          <x14:colorLow rgb="FFD00000"/>
          <x14:sparklines>
            <x14:sparkline>
              <xm:f>'Ratio Analysis'!C29:Q29</xm:f>
              <xm:sqref>R29</xm:sqref>
            </x14:sparkline>
          </x14:sparklines>
        </x14:sparklineGroup>
        <x14:sparklineGroup displayEmptyCellsAs="gap" xr2:uid="{406D80E9-6B8A-4AE5-AE1A-C640F247A076}">
          <x14:colorSeries rgb="FF376092"/>
          <x14:colorNegative rgb="FFD00000"/>
          <x14:colorAxis rgb="FF000000"/>
          <x14:colorMarkers rgb="FFD00000"/>
          <x14:colorFirst rgb="FFD00000"/>
          <x14:colorLast rgb="FFD00000"/>
          <x14:colorHigh rgb="FFD00000"/>
          <x14:colorLow rgb="FFD00000"/>
          <x14:sparklines>
            <x14:sparkline>
              <xm:f>'Ratio Analysis'!C28:Q28</xm:f>
              <xm:sqref>R28</xm:sqref>
            </x14:sparkline>
          </x14:sparklines>
        </x14:sparklineGroup>
        <x14:sparklineGroup displayEmptyCellsAs="gap" xr2:uid="{0A5E59FA-5EB6-4854-9544-68FE41CAD65E}">
          <x14:colorSeries rgb="FF376092"/>
          <x14:colorNegative rgb="FFD00000"/>
          <x14:colorAxis rgb="FF000000"/>
          <x14:colorMarkers rgb="FFD00000"/>
          <x14:colorFirst rgb="FFD00000"/>
          <x14:colorLast rgb="FFD00000"/>
          <x14:colorHigh rgb="FFD00000"/>
          <x14:colorLow rgb="FFD00000"/>
          <x14:sparklines>
            <x14:sparkline>
              <xm:f>'Ratio Analysis'!C27:Q27</xm:f>
              <xm:sqref>R27</xm:sqref>
            </x14:sparkline>
          </x14:sparklines>
        </x14:sparklineGroup>
        <x14:sparklineGroup displayEmptyCellsAs="gap" xr2:uid="{045AEDFF-8AFB-4562-BF4B-09A5A77D61CC}">
          <x14:colorSeries rgb="FF376092"/>
          <x14:colorNegative rgb="FFD00000"/>
          <x14:colorAxis rgb="FF000000"/>
          <x14:colorMarkers rgb="FFD00000"/>
          <x14:colorFirst rgb="FFD00000"/>
          <x14:colorLast rgb="FFD00000"/>
          <x14:colorHigh rgb="FFD00000"/>
          <x14:colorLow rgb="FFD00000"/>
          <x14:sparklines>
            <x14:sparkline>
              <xm:f>'Ratio Analysis'!C26:Q26</xm:f>
              <xm:sqref>R26</xm:sqref>
            </x14:sparkline>
          </x14:sparklines>
        </x14:sparklineGroup>
        <x14:sparklineGroup displayEmptyCellsAs="gap" xr2:uid="{052EABFB-FED6-425E-A42F-BE78651E0615}">
          <x14:colorSeries rgb="FF376092"/>
          <x14:colorNegative rgb="FFD00000"/>
          <x14:colorAxis rgb="FF000000"/>
          <x14:colorMarkers rgb="FFD00000"/>
          <x14:colorFirst rgb="FFD00000"/>
          <x14:colorLast rgb="FFD00000"/>
          <x14:colorHigh rgb="FFD00000"/>
          <x14:colorLow rgb="FFD00000"/>
          <x14:sparklines>
            <x14:sparkline>
              <xm:f>'Ratio Analysis'!C23:Q23</xm:f>
              <xm:sqref>R23</xm:sqref>
            </x14:sparkline>
          </x14:sparklines>
        </x14:sparklineGroup>
        <x14:sparklineGroup displayEmptyCellsAs="gap" xr2:uid="{D1C6BE90-3817-4F67-BC53-D9B522A0C292}">
          <x14:colorSeries rgb="FF376092"/>
          <x14:colorNegative rgb="FFD00000"/>
          <x14:colorAxis rgb="FF000000"/>
          <x14:colorMarkers rgb="FFD00000"/>
          <x14:colorFirst rgb="FFD00000"/>
          <x14:colorLast rgb="FFD00000"/>
          <x14:colorHigh rgb="FFD00000"/>
          <x14:colorLow rgb="FFD00000"/>
          <x14:sparklines>
            <x14:sparkline>
              <xm:f>'Ratio Analysis'!C22:Q22</xm:f>
              <xm:sqref>R22</xm:sqref>
            </x14:sparkline>
          </x14:sparklines>
        </x14:sparklineGroup>
        <x14:sparklineGroup displayEmptyCellsAs="gap" xr2:uid="{4056B7D4-0FB0-4692-B010-3AF5375A578C}">
          <x14:colorSeries rgb="FF376092"/>
          <x14:colorNegative rgb="FFD00000"/>
          <x14:colorAxis rgb="FF000000"/>
          <x14:colorMarkers rgb="FFD00000"/>
          <x14:colorFirst rgb="FFD00000"/>
          <x14:colorLast rgb="FFD00000"/>
          <x14:colorHigh rgb="FFD00000"/>
          <x14:colorLow rgb="FFD00000"/>
          <x14:sparklines>
            <x14:sparkline>
              <xm:f>'Ratio Analysis'!C21:Q21</xm:f>
              <xm:sqref>R21</xm:sqref>
            </x14:sparkline>
          </x14:sparklines>
        </x14:sparklineGroup>
        <x14:sparklineGroup displayEmptyCellsAs="gap" xr2:uid="{50430F75-E461-498D-957A-B81C05B9EA6E}">
          <x14:colorSeries rgb="FF376092"/>
          <x14:colorNegative rgb="FFD00000"/>
          <x14:colorAxis rgb="FF000000"/>
          <x14:colorMarkers rgb="FFD00000"/>
          <x14:colorFirst rgb="FFD00000"/>
          <x14:colorLast rgb="FFD00000"/>
          <x14:colorHigh rgb="FFD00000"/>
          <x14:colorLow rgb="FFD00000"/>
          <x14:sparklines>
            <x14:sparkline>
              <xm:f>'Ratio Analysis'!C18:Q18</xm:f>
              <xm:sqref>R18</xm:sqref>
            </x14:sparkline>
          </x14:sparklines>
        </x14:sparklineGroup>
        <x14:sparklineGroup displayEmptyCellsAs="gap" xr2:uid="{09A84244-2D27-4871-AA0B-2E7106713F2C}">
          <x14:colorSeries rgb="FF376092"/>
          <x14:colorNegative rgb="FFD00000"/>
          <x14:colorAxis rgb="FF000000"/>
          <x14:colorMarkers rgb="FFD00000"/>
          <x14:colorFirst rgb="FFD00000"/>
          <x14:colorLast rgb="FFD00000"/>
          <x14:colorHigh rgb="FFD00000"/>
          <x14:colorLow rgb="FFD00000"/>
          <x14:sparklines>
            <x14:sparkline>
              <xm:f>'Ratio Analysis'!C17:Q17</xm:f>
              <xm:sqref>R17</xm:sqref>
            </x14:sparkline>
          </x14:sparklines>
        </x14:sparklineGroup>
        <x14:sparklineGroup displayEmptyCellsAs="gap" xr2:uid="{65790B25-B738-413E-98FB-63A1998708B0}">
          <x14:colorSeries rgb="FF376092"/>
          <x14:colorNegative rgb="FFD00000"/>
          <x14:colorAxis rgb="FF000000"/>
          <x14:colorMarkers rgb="FFD00000"/>
          <x14:colorFirst rgb="FFD00000"/>
          <x14:colorLast rgb="FFD00000"/>
          <x14:colorHigh rgb="FFD00000"/>
          <x14:colorLow rgb="FFD00000"/>
          <x14:sparklines>
            <x14:sparkline>
              <xm:f>'Ratio Analysis'!C14:Q14</xm:f>
              <xm:sqref>R14</xm:sqref>
            </x14:sparkline>
          </x14:sparklines>
        </x14:sparklineGroup>
        <x14:sparklineGroup displayEmptyCellsAs="gap" xr2:uid="{CAB8B1FA-4542-4D38-AB92-812B2D016D46}">
          <x14:colorSeries rgb="FF376092"/>
          <x14:colorNegative rgb="FFD00000"/>
          <x14:colorAxis rgb="FF000000"/>
          <x14:colorMarkers rgb="FFD00000"/>
          <x14:colorFirst rgb="FFD00000"/>
          <x14:colorLast rgb="FFD00000"/>
          <x14:colorHigh rgb="FFD00000"/>
          <x14:colorLow rgb="FFD00000"/>
          <x14:sparklines>
            <x14:sparkline>
              <xm:f>'Ratio Analysis'!C13:Q13</xm:f>
              <xm:sqref>R13</xm:sqref>
            </x14:sparkline>
          </x14:sparklines>
        </x14:sparklineGroup>
        <x14:sparklineGroup displayEmptyCellsAs="gap" xr2:uid="{BD877141-CA0E-4DE5-ACB9-F2ABED2F9DD2}">
          <x14:colorSeries rgb="FF376092"/>
          <x14:colorNegative rgb="FFD00000"/>
          <x14:colorAxis rgb="FF000000"/>
          <x14:colorMarkers rgb="FFD00000"/>
          <x14:colorFirst rgb="FFD00000"/>
          <x14:colorLast rgb="FFD00000"/>
          <x14:colorHigh rgb="FFD00000"/>
          <x14:colorLow rgb="FFD00000"/>
          <x14:sparklines>
            <x14:sparkline>
              <xm:f>'Ratio Analysis'!C12:Q12</xm:f>
              <xm:sqref>R12</xm:sqref>
            </x14:sparkline>
          </x14:sparklines>
        </x14:sparklineGroup>
        <x14:sparklineGroup displayEmptyCellsAs="gap" xr2:uid="{CA786CF0-12D9-4B00-A524-BBCA9F257025}">
          <x14:colorSeries rgb="FF376092"/>
          <x14:colorNegative rgb="FFD00000"/>
          <x14:colorAxis rgb="FF000000"/>
          <x14:colorMarkers rgb="FFD00000"/>
          <x14:colorFirst rgb="FFD00000"/>
          <x14:colorLast rgb="FFD00000"/>
          <x14:colorHigh rgb="FFD00000"/>
          <x14:colorLow rgb="FFD00000"/>
          <x14:sparklines>
            <x14:sparkline>
              <xm:f>'Ratio Analysis'!C11:Q11</xm:f>
              <xm:sqref>R11</xm:sqref>
            </x14:sparkline>
          </x14:sparklines>
        </x14:sparklineGroup>
        <x14:sparklineGroup displayEmptyCellsAs="gap" xr2:uid="{0265C7EB-EBD9-4895-B032-009199C1A809}">
          <x14:colorSeries rgb="FF376092"/>
          <x14:colorNegative rgb="FFD00000"/>
          <x14:colorAxis rgb="FF000000"/>
          <x14:colorMarkers rgb="FFD00000"/>
          <x14:colorFirst rgb="FFD00000"/>
          <x14:colorLast rgb="FFD00000"/>
          <x14:colorHigh rgb="FFD00000"/>
          <x14:colorLow rgb="FFD00000"/>
          <x14:sparklines>
            <x14:sparkline>
              <xm:f>'Ratio Analysis'!C10:Q10</xm:f>
              <xm:sqref>R10</xm:sqref>
            </x14:sparkline>
          </x14:sparklines>
        </x14:sparklineGroup>
        <x14:sparklineGroup displayEmptyCellsAs="gap" xr2:uid="{8F4E343A-41C5-45B1-AFDB-E40A9F275AE5}">
          <x14:colorSeries rgb="FF376092"/>
          <x14:colorNegative rgb="FFD00000"/>
          <x14:colorAxis rgb="FF000000"/>
          <x14:colorMarkers rgb="FFD00000"/>
          <x14:colorFirst rgb="FFD00000"/>
          <x14:colorLast rgb="FFD00000"/>
          <x14:colorHigh rgb="FFD00000"/>
          <x14:colorLow rgb="FFD00000"/>
          <x14:sparklines>
            <x14:sparkline>
              <xm:f>'Ratio Analysis'!C9:Q9</xm:f>
              <xm:sqref>R9</xm:sqref>
            </x14:sparkline>
          </x14:sparklines>
        </x14:sparklineGroup>
        <x14:sparklineGroup displayEmptyCellsAs="gap" xr2:uid="{4F1D1C0F-19C9-43F8-8DC7-98F5CC936E19}">
          <x14:colorSeries rgb="FF376092"/>
          <x14:colorNegative rgb="FFD00000"/>
          <x14:colorAxis rgb="FF000000"/>
          <x14:colorMarkers rgb="FFD00000"/>
          <x14:colorFirst rgb="FFD00000"/>
          <x14:colorLast rgb="FFD00000"/>
          <x14:colorHigh rgb="FFD00000"/>
          <x14:colorLow rgb="FFD00000"/>
          <x14:sparklines>
            <x14:sparkline>
              <xm:f>'Ratio Analysis'!C8:Q8</xm:f>
              <xm:sqref>R8</xm:sqref>
            </x14:sparkline>
          </x14:sparklines>
        </x14:sparklineGroup>
        <x14:sparklineGroup displayEmptyCellsAs="gap" xr2:uid="{C0B753F2-ABB5-4177-8C3D-4763C8A236D6}">
          <x14:colorSeries rgb="FF376092"/>
          <x14:colorNegative rgb="FFD00000"/>
          <x14:colorAxis rgb="FF000000"/>
          <x14:colorMarkers rgb="FFD00000"/>
          <x14:colorFirst rgb="FFD00000"/>
          <x14:colorLast rgb="FFD00000"/>
          <x14:colorHigh rgb="FFD00000"/>
          <x14:colorLow rgb="FFD00000"/>
          <x14:sparklines>
            <x14:sparkline>
              <xm:f>'Ratio Analysis'!C7:Q7</xm:f>
              <xm:sqref>R7</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4D11B-8D4F-41DE-A41B-7219D50C5381}">
  <dimension ref="A1:R2528"/>
  <sheetViews>
    <sheetView showGridLines="0" zoomScale="88" workbookViewId="0">
      <pane ySplit="4" topLeftCell="A5" activePane="bottomLeft" state="frozen"/>
      <selection pane="bottomLeft" activeCell="K8" sqref="K8"/>
    </sheetView>
  </sheetViews>
  <sheetFormatPr defaultColWidth="11.77734375" defaultRowHeight="14.4" x14ac:dyDescent="0.3"/>
  <cols>
    <col min="1" max="3" width="1.33203125" style="1" customWidth="1"/>
    <col min="4" max="6" width="25" style="1" customWidth="1"/>
    <col min="7" max="8" width="18.109375" style="1" customWidth="1"/>
    <col min="9" max="9" width="12.77734375" style="1" customWidth="1"/>
    <col min="10" max="10" width="12.88671875" style="15" bestFit="1" customWidth="1"/>
    <col min="11" max="11" width="14.21875" style="15" bestFit="1" customWidth="1"/>
    <col min="12" max="12" width="11.88671875" style="15" bestFit="1" customWidth="1"/>
    <col min="13" max="16384" width="11.77734375" style="1"/>
  </cols>
  <sheetData>
    <row r="1" spans="1:17" ht="43.8" customHeight="1" x14ac:dyDescent="0.45">
      <c r="A1" s="2" t="s">
        <v>0</v>
      </c>
      <c r="B1" s="3"/>
      <c r="C1" s="3"/>
      <c r="D1" s="3"/>
      <c r="E1" s="3"/>
      <c r="F1" s="3"/>
      <c r="G1" s="3"/>
      <c r="H1" s="3"/>
      <c r="I1" s="3"/>
      <c r="J1" s="3"/>
      <c r="K1" s="3"/>
      <c r="L1" s="3"/>
      <c r="M1" s="7"/>
      <c r="N1" s="3"/>
      <c r="O1" s="3"/>
      <c r="P1" s="3"/>
      <c r="Q1" s="3"/>
    </row>
    <row r="2" spans="1:17" ht="17.399999999999999" customHeight="1" x14ac:dyDescent="0.35">
      <c r="A2" s="4" t="s">
        <v>337</v>
      </c>
      <c r="B2" s="3"/>
      <c r="C2" s="3"/>
      <c r="D2" s="3"/>
      <c r="E2" s="3"/>
      <c r="F2" s="3"/>
      <c r="G2" s="3"/>
      <c r="H2" s="3"/>
      <c r="I2" s="3"/>
      <c r="J2" s="93"/>
      <c r="K2" s="93"/>
      <c r="L2" s="93"/>
      <c r="M2" s="8"/>
      <c r="N2" s="9"/>
      <c r="O2" s="9"/>
      <c r="P2" s="9"/>
      <c r="Q2" s="9"/>
    </row>
    <row r="3" spans="1:17" s="11" customFormat="1" ht="17.399999999999999" customHeight="1" x14ac:dyDescent="0.35">
      <c r="A3" s="10"/>
      <c r="J3" s="12"/>
      <c r="K3" s="12"/>
      <c r="L3" s="12"/>
      <c r="M3" s="13"/>
      <c r="N3" s="13"/>
      <c r="O3" s="13"/>
      <c r="P3" s="13"/>
      <c r="Q3" s="13"/>
    </row>
    <row r="4" spans="1:17" s="11" customFormat="1" ht="17.399999999999999" customHeight="1" x14ac:dyDescent="0.35">
      <c r="A4" s="10"/>
      <c r="B4" s="10"/>
      <c r="D4" s="54"/>
      <c r="E4" s="54"/>
      <c r="F4" s="54"/>
      <c r="G4" s="54"/>
      <c r="H4" s="54"/>
      <c r="I4" s="54"/>
      <c r="J4" s="54"/>
      <c r="K4" s="54"/>
      <c r="L4" s="54"/>
      <c r="M4" s="13"/>
      <c r="N4" s="13"/>
      <c r="O4" s="13"/>
      <c r="P4" s="13"/>
      <c r="Q4" s="13"/>
    </row>
    <row r="5" spans="1:17" s="11" customFormat="1" ht="17.399999999999999" customHeight="1" x14ac:dyDescent="0.35">
      <c r="A5" s="10"/>
      <c r="B5" s="10"/>
      <c r="D5" s="303" t="s">
        <v>305</v>
      </c>
      <c r="E5" s="85" t="s">
        <v>339</v>
      </c>
      <c r="F5" s="113" t="s">
        <v>338</v>
      </c>
      <c r="G5" s="304" t="s">
        <v>306</v>
      </c>
      <c r="H5" s="113" t="s">
        <v>338</v>
      </c>
      <c r="I5" s="54"/>
      <c r="J5" s="54"/>
      <c r="K5" s="54"/>
      <c r="L5" s="54"/>
      <c r="M5" s="13"/>
      <c r="N5" s="13"/>
      <c r="O5" s="13"/>
      <c r="P5" s="13"/>
      <c r="Q5" s="13"/>
    </row>
    <row r="6" spans="1:17" ht="15.6" x14ac:dyDescent="0.3">
      <c r="C6" s="14"/>
      <c r="D6" s="303"/>
      <c r="E6" s="85" t="s">
        <v>340</v>
      </c>
      <c r="F6" s="113" t="s">
        <v>256</v>
      </c>
      <c r="G6" s="304"/>
      <c r="H6" s="113" t="s">
        <v>256</v>
      </c>
      <c r="I6" s="21"/>
      <c r="J6" s="147" t="s">
        <v>341</v>
      </c>
      <c r="K6" s="148">
        <f>_xlfn.COVARIANCE.S(F7:F502,H7:H502)</f>
        <v>4.7548656999741259E-5</v>
      </c>
      <c r="L6" s="31"/>
    </row>
    <row r="7" spans="1:17" ht="15.6" x14ac:dyDescent="0.3">
      <c r="C7" s="22"/>
      <c r="D7" s="145">
        <v>46206</v>
      </c>
      <c r="E7" s="187">
        <v>420.05</v>
      </c>
      <c r="F7" s="146">
        <f t="shared" ref="F7:F13" si="0">E7/E8-1</f>
        <v>7.6766222861941458E-3</v>
      </c>
      <c r="G7" s="187">
        <v>24270.85</v>
      </c>
      <c r="H7" s="146">
        <f t="shared" ref="H7:H13" si="1">G7/G8-1</f>
        <v>3.9357702155469187E-3</v>
      </c>
      <c r="I7" s="21"/>
      <c r="J7" s="149" t="s">
        <v>342</v>
      </c>
      <c r="K7" s="148">
        <f>_xlfn.VAR.S(H7:H502)</f>
        <v>7.0714928477665616E-5</v>
      </c>
      <c r="L7" s="61"/>
    </row>
    <row r="8" spans="1:17" ht="15.6" x14ac:dyDescent="0.3">
      <c r="D8" s="145">
        <v>46205</v>
      </c>
      <c r="E8" s="187">
        <v>416.85</v>
      </c>
      <c r="F8" s="146">
        <f t="shared" si="0"/>
        <v>5.1844707017121294E-3</v>
      </c>
      <c r="G8" s="187">
        <v>24175.7</v>
      </c>
      <c r="H8" s="146">
        <f t="shared" si="1"/>
        <v>7.0753587146468178E-3</v>
      </c>
      <c r="I8" s="21"/>
      <c r="J8" s="150" t="s">
        <v>343</v>
      </c>
      <c r="K8" s="120">
        <f>K6/K7</f>
        <v>0.67239913867351053</v>
      </c>
      <c r="L8" s="65"/>
    </row>
    <row r="9" spans="1:17" ht="15.6" x14ac:dyDescent="0.3">
      <c r="D9" s="145">
        <v>46204</v>
      </c>
      <c r="E9" s="187">
        <v>414.7</v>
      </c>
      <c r="F9" s="146">
        <f t="shared" si="0"/>
        <v>2.5723472668810254E-2</v>
      </c>
      <c r="G9" s="187">
        <v>24005.85</v>
      </c>
      <c r="H9" s="146">
        <f t="shared" si="1"/>
        <v>5.8703371987052222E-3</v>
      </c>
      <c r="I9" s="21"/>
      <c r="J9" s="245"/>
      <c r="K9" s="246"/>
      <c r="L9" s="65"/>
    </row>
    <row r="10" spans="1:17" ht="15.6" x14ac:dyDescent="0.3">
      <c r="D10" s="145">
        <v>46203</v>
      </c>
      <c r="E10" s="187">
        <v>404.3</v>
      </c>
      <c r="F10" s="146">
        <f t="shared" si="0"/>
        <v>-1.0402643495288189E-2</v>
      </c>
      <c r="G10" s="187">
        <v>23865.75</v>
      </c>
      <c r="H10" s="146">
        <f t="shared" si="1"/>
        <v>-3.3616954637991636E-3</v>
      </c>
      <c r="I10" s="21"/>
      <c r="J10" s="245"/>
      <c r="K10" s="246"/>
      <c r="L10" s="65"/>
    </row>
    <row r="11" spans="1:17" ht="15.6" x14ac:dyDescent="0.3">
      <c r="D11" s="145">
        <v>46202</v>
      </c>
      <c r="E11" s="187">
        <v>408.55</v>
      </c>
      <c r="F11" s="146">
        <f t="shared" si="0"/>
        <v>2.9222824033253714E-2</v>
      </c>
      <c r="G11" s="187">
        <v>23946.25</v>
      </c>
      <c r="H11" s="146">
        <f t="shared" si="1"/>
        <v>-4.5622713668107551E-3</v>
      </c>
      <c r="I11" s="21"/>
      <c r="J11" s="245"/>
      <c r="K11" s="246"/>
      <c r="L11" s="65"/>
    </row>
    <row r="12" spans="1:17" ht="15.6" x14ac:dyDescent="0.3">
      <c r="D12" s="145">
        <v>46198</v>
      </c>
      <c r="E12" s="187">
        <v>396.95</v>
      </c>
      <c r="F12" s="146">
        <f t="shared" si="0"/>
        <v>-1.7207229512255506E-2</v>
      </c>
      <c r="G12" s="187">
        <v>24056</v>
      </c>
      <c r="H12" s="146">
        <f t="shared" si="1"/>
        <v>1.4299600568652426E-3</v>
      </c>
      <c r="I12" s="21"/>
      <c r="J12" s="245"/>
      <c r="K12" s="246"/>
      <c r="L12" s="65"/>
    </row>
    <row r="13" spans="1:17" ht="15.6" x14ac:dyDescent="0.3">
      <c r="D13" s="145">
        <v>46197</v>
      </c>
      <c r="E13" s="187">
        <v>403.9</v>
      </c>
      <c r="F13" s="146">
        <f t="shared" si="0"/>
        <v>6.6043613707165161E-3</v>
      </c>
      <c r="G13" s="187">
        <v>24021.65</v>
      </c>
      <c r="H13" s="146">
        <f t="shared" si="1"/>
        <v>8.2920236231380784E-3</v>
      </c>
      <c r="I13" s="21"/>
      <c r="J13" s="245"/>
      <c r="K13" s="246"/>
      <c r="L13" s="65"/>
    </row>
    <row r="14" spans="1:17" ht="15.6" x14ac:dyDescent="0.3">
      <c r="D14" s="145">
        <v>46196</v>
      </c>
      <c r="E14" s="187">
        <v>401.25</v>
      </c>
      <c r="F14" s="146">
        <f>E14/E15-1</f>
        <v>-1.3643067846607737E-2</v>
      </c>
      <c r="G14" s="187">
        <v>23824.1</v>
      </c>
      <c r="H14" s="146">
        <f>G14/G15-1</f>
        <v>-1.1567072841857318E-2</v>
      </c>
      <c r="I14" s="21"/>
      <c r="J14" s="245"/>
      <c r="K14" s="246"/>
      <c r="L14" s="65"/>
    </row>
    <row r="15" spans="1:17" ht="15.6" x14ac:dyDescent="0.3">
      <c r="D15" s="145">
        <v>46195</v>
      </c>
      <c r="E15" s="187">
        <v>406.8</v>
      </c>
      <c r="F15" s="146">
        <f>E15/E16-1</f>
        <v>-1.6203143893591232E-2</v>
      </c>
      <c r="G15" s="187">
        <v>24102.9</v>
      </c>
      <c r="H15" s="146">
        <f>G15/G16-1</f>
        <v>3.7396254544395102E-3</v>
      </c>
      <c r="I15" s="21"/>
      <c r="J15" s="245"/>
      <c r="K15" s="246"/>
      <c r="L15" s="65"/>
    </row>
    <row r="16" spans="1:17" ht="15.6" x14ac:dyDescent="0.3">
      <c r="D16" s="145">
        <v>46192</v>
      </c>
      <c r="E16" s="187">
        <v>413.5</v>
      </c>
      <c r="F16" s="146">
        <f>E16/E17-1</f>
        <v>3.2846259522917309E-2</v>
      </c>
      <c r="G16" s="187">
        <v>24013.1</v>
      </c>
      <c r="H16" s="146">
        <f>G16/G17-1</f>
        <v>-6.4093015557763477E-3</v>
      </c>
      <c r="I16" s="21"/>
      <c r="J16" s="245"/>
      <c r="K16" s="246"/>
      <c r="L16" s="65"/>
    </row>
    <row r="17" spans="3:12" ht="15.6" x14ac:dyDescent="0.3">
      <c r="D17" s="145">
        <v>46191</v>
      </c>
      <c r="E17" s="187">
        <v>400.35</v>
      </c>
      <c r="F17" s="146">
        <f>E17/E18-1</f>
        <v>4.9981257028619552E-4</v>
      </c>
      <c r="G17" s="187">
        <v>24168</v>
      </c>
      <c r="H17" s="146">
        <f>G17/G18-1</f>
        <v>3.4169652532414219E-3</v>
      </c>
      <c r="I17" s="21"/>
      <c r="J17" s="245"/>
      <c r="K17" s="246"/>
      <c r="L17" s="65"/>
    </row>
    <row r="18" spans="3:12" ht="15.6" x14ac:dyDescent="0.3">
      <c r="D18" s="145">
        <v>46190</v>
      </c>
      <c r="E18" s="187">
        <v>400.15</v>
      </c>
      <c r="F18" s="146">
        <f t="shared" ref="F18:F20" si="2">E18/E19-1</f>
        <v>0</v>
      </c>
      <c r="G18" s="187">
        <v>24085.7</v>
      </c>
      <c r="H18" s="146">
        <f t="shared" ref="H18:H20" si="3">G18/G19-1</f>
        <v>4.0247361828158468E-3</v>
      </c>
      <c r="I18" s="21"/>
      <c r="J18" s="245"/>
      <c r="K18" s="246"/>
      <c r="L18" s="65"/>
    </row>
    <row r="19" spans="3:12" ht="15.6" x14ac:dyDescent="0.3">
      <c r="D19" s="145">
        <v>46189</v>
      </c>
      <c r="E19" s="187">
        <v>400.15</v>
      </c>
      <c r="F19" s="146">
        <f t="shared" si="2"/>
        <v>8.4425403225805162E-3</v>
      </c>
      <c r="G19" s="187">
        <v>23989.15</v>
      </c>
      <c r="H19" s="146">
        <f t="shared" si="3"/>
        <v>5.6699323800299961E-3</v>
      </c>
      <c r="I19" s="21"/>
      <c r="J19" s="245"/>
      <c r="K19" s="246"/>
      <c r="L19" s="65"/>
    </row>
    <row r="20" spans="3:12" ht="15.6" x14ac:dyDescent="0.3">
      <c r="D20" s="145">
        <v>46188</v>
      </c>
      <c r="E20" s="187">
        <v>396.8</v>
      </c>
      <c r="F20" s="146">
        <f t="shared" si="2"/>
        <v>1.535312180143289E-2</v>
      </c>
      <c r="G20" s="187">
        <v>23853.9</v>
      </c>
      <c r="H20" s="146">
        <f t="shared" si="3"/>
        <v>9.7786469908436313E-3</v>
      </c>
      <c r="I20" s="21"/>
      <c r="J20" s="245"/>
      <c r="K20" s="246"/>
      <c r="L20" s="65"/>
    </row>
    <row r="21" spans="3:12" ht="15.6" x14ac:dyDescent="0.3">
      <c r="D21" s="145">
        <v>46185</v>
      </c>
      <c r="E21" s="187">
        <v>390.8</v>
      </c>
      <c r="F21" s="146">
        <f>E21/E22-1</f>
        <v>1.1256307413636923E-2</v>
      </c>
      <c r="G21" s="187">
        <v>23622.9</v>
      </c>
      <c r="H21" s="146">
        <f>G21/G22-1</f>
        <v>1.9916586073501108E-2</v>
      </c>
      <c r="I21" s="21"/>
      <c r="J21" s="245"/>
      <c r="K21" s="246"/>
      <c r="L21" s="65"/>
    </row>
    <row r="22" spans="3:12" ht="15.6" x14ac:dyDescent="0.3">
      <c r="D22" s="145">
        <v>46184</v>
      </c>
      <c r="E22" s="187">
        <v>386.45</v>
      </c>
      <c r="F22" s="146">
        <f>E22/E23-1</f>
        <v>-2.1273901481575375E-2</v>
      </c>
      <c r="G22" s="187">
        <v>23161.599999999999</v>
      </c>
      <c r="H22" s="146">
        <f>G22/G23-1</f>
        <v>-2.2980880854794883E-3</v>
      </c>
      <c r="I22" s="21"/>
      <c r="J22" s="245"/>
      <c r="K22" s="246"/>
      <c r="L22" s="65"/>
    </row>
    <row r="23" spans="3:12" ht="15.6" x14ac:dyDescent="0.3">
      <c r="D23" s="145">
        <v>46183</v>
      </c>
      <c r="E23" s="187">
        <v>394.85</v>
      </c>
      <c r="F23" s="146">
        <f t="shared" ref="F23:F25" si="4">E23/E24-1</f>
        <v>1.0104886160143378E-2</v>
      </c>
      <c r="G23" s="187">
        <v>23214.95</v>
      </c>
      <c r="H23" s="146">
        <f t="shared" ref="H23:H25" si="5">G23/G24-1</f>
        <v>-1.1681388514805935E-3</v>
      </c>
      <c r="I23" s="21"/>
      <c r="J23" s="57"/>
      <c r="K23" s="57"/>
      <c r="L23" s="57"/>
    </row>
    <row r="24" spans="3:12" ht="15.6" x14ac:dyDescent="0.3">
      <c r="C24" s="14"/>
      <c r="D24" s="145">
        <v>46182</v>
      </c>
      <c r="E24" s="187">
        <v>390.9</v>
      </c>
      <c r="F24" s="146">
        <f t="shared" si="4"/>
        <v>1.5324675324675185E-2</v>
      </c>
      <c r="G24" s="187">
        <v>23242.1</v>
      </c>
      <c r="H24" s="146">
        <f t="shared" si="5"/>
        <v>5.1507157375771939E-3</v>
      </c>
      <c r="I24" s="21"/>
      <c r="J24" s="65"/>
      <c r="K24" s="65"/>
      <c r="L24" s="65"/>
    </row>
    <row r="25" spans="3:12" ht="15.6" x14ac:dyDescent="0.3">
      <c r="C25" s="14"/>
      <c r="D25" s="145">
        <v>46181</v>
      </c>
      <c r="E25" s="187">
        <v>385</v>
      </c>
      <c r="F25" s="146">
        <f t="shared" si="4"/>
        <v>5.197505197505059E-4</v>
      </c>
      <c r="G25" s="187">
        <v>23123</v>
      </c>
      <c r="H25" s="146">
        <f t="shared" si="5"/>
        <v>-1.0429371712736502E-2</v>
      </c>
      <c r="I25" s="21"/>
      <c r="J25" s="65"/>
      <c r="K25" s="65"/>
      <c r="L25" s="65"/>
    </row>
    <row r="26" spans="3:12" ht="15.6" x14ac:dyDescent="0.3">
      <c r="C26" s="14"/>
      <c r="D26" s="145">
        <v>46178</v>
      </c>
      <c r="E26" s="187">
        <v>384.8</v>
      </c>
      <c r="F26" s="146">
        <f>E26/E27-1</f>
        <v>-1.5101100588686966E-2</v>
      </c>
      <c r="G26" s="187">
        <v>23366.7</v>
      </c>
      <c r="H26" s="146">
        <f>G26/G27-1</f>
        <v>-2.1288362290772245E-3</v>
      </c>
      <c r="I26" s="21"/>
      <c r="J26" s="65"/>
      <c r="K26" s="65"/>
      <c r="L26" s="65"/>
    </row>
    <row r="27" spans="3:12" ht="15.6" x14ac:dyDescent="0.3">
      <c r="C27" s="14"/>
      <c r="D27" s="145">
        <v>46177</v>
      </c>
      <c r="E27" s="187">
        <v>390.7</v>
      </c>
      <c r="F27" s="146">
        <f>E27/E28-1</f>
        <v>-1.2795905310303279E-4</v>
      </c>
      <c r="G27" s="187">
        <v>23416.55</v>
      </c>
      <c r="H27" s="146">
        <f>G27/G28-1</f>
        <v>4.6783675701544958E-4</v>
      </c>
      <c r="I27" s="21"/>
      <c r="J27" s="65"/>
      <c r="K27" s="65"/>
      <c r="L27" s="65"/>
    </row>
    <row r="28" spans="3:12" ht="15.6" x14ac:dyDescent="0.3">
      <c r="C28" s="14"/>
      <c r="D28" s="145">
        <v>46176</v>
      </c>
      <c r="E28" s="187">
        <v>390.75</v>
      </c>
      <c r="F28" s="146">
        <f>E28/E29-1</f>
        <v>-2.4253255042123723E-3</v>
      </c>
      <c r="G28" s="187">
        <v>23405.599999999999</v>
      </c>
      <c r="H28" s="146">
        <f>G28/G29-1</f>
        <v>-3.3193448179683616E-3</v>
      </c>
      <c r="I28" s="21"/>
      <c r="J28" s="65"/>
      <c r="K28" s="65"/>
      <c r="L28" s="65"/>
    </row>
    <row r="29" spans="3:12" ht="15.6" x14ac:dyDescent="0.3">
      <c r="C29" s="14"/>
      <c r="D29" s="145">
        <v>46175</v>
      </c>
      <c r="E29" s="187">
        <v>391.7</v>
      </c>
      <c r="F29" s="146">
        <f>E29/E30-1</f>
        <v>-1.4839034205231472E-2</v>
      </c>
      <c r="G29" s="187">
        <v>23483.55</v>
      </c>
      <c r="H29" s="146">
        <f>G29/G30-1</f>
        <v>4.3173128736753164E-3</v>
      </c>
      <c r="I29" s="21"/>
      <c r="J29" s="65"/>
      <c r="K29" s="65"/>
      <c r="L29" s="65"/>
    </row>
    <row r="30" spans="3:12" ht="15.6" x14ac:dyDescent="0.3">
      <c r="D30" s="145">
        <v>46174</v>
      </c>
      <c r="E30" s="187">
        <v>397.6</v>
      </c>
      <c r="F30" s="146">
        <f t="shared" ref="F30:F90" si="6">E30/E31-1</f>
        <v>-3.7584565271862047E-3</v>
      </c>
      <c r="G30" s="187">
        <v>23382.6</v>
      </c>
      <c r="H30" s="146">
        <f t="shared" ref="H30:H90" si="7">G30/G31-1</f>
        <v>-7.0134089244195952E-3</v>
      </c>
      <c r="I30" s="21"/>
      <c r="J30" s="31"/>
      <c r="K30" s="31"/>
      <c r="L30" s="31"/>
    </row>
    <row r="31" spans="3:12" ht="15.6" x14ac:dyDescent="0.3">
      <c r="D31" s="145">
        <v>46171</v>
      </c>
      <c r="E31" s="187">
        <v>399.1</v>
      </c>
      <c r="F31" s="146">
        <f t="shared" si="6"/>
        <v>-3.3712073916842833E-3</v>
      </c>
      <c r="G31" s="187">
        <v>23547.75</v>
      </c>
      <c r="H31" s="146">
        <f t="shared" si="7"/>
        <v>-1.5033159535954743E-2</v>
      </c>
      <c r="I31" s="21"/>
      <c r="J31" s="31"/>
      <c r="K31" s="31"/>
      <c r="L31" s="31"/>
    </row>
    <row r="32" spans="3:12" ht="15.6" x14ac:dyDescent="0.3">
      <c r="D32" s="145">
        <v>46169</v>
      </c>
      <c r="E32" s="187">
        <v>400.45</v>
      </c>
      <c r="F32" s="146">
        <f t="shared" si="6"/>
        <v>-8.5417182470908237E-3</v>
      </c>
      <c r="G32" s="187">
        <v>23907.15</v>
      </c>
      <c r="H32" s="146">
        <f t="shared" si="7"/>
        <v>-2.7390157106588209E-4</v>
      </c>
      <c r="I32" s="21"/>
      <c r="J32" s="31"/>
      <c r="K32" s="31"/>
      <c r="L32" s="31"/>
    </row>
    <row r="33" spans="4:12" ht="15.6" x14ac:dyDescent="0.3">
      <c r="D33" s="145">
        <v>46168</v>
      </c>
      <c r="E33" s="187">
        <v>403.9</v>
      </c>
      <c r="F33" s="146">
        <f t="shared" si="6"/>
        <v>-3.7124118302200859E-4</v>
      </c>
      <c r="G33" s="187">
        <v>23913.7</v>
      </c>
      <c r="H33" s="146">
        <f t="shared" si="7"/>
        <v>-4.9101811357498137E-3</v>
      </c>
      <c r="I33" s="21"/>
      <c r="J33" s="31"/>
      <c r="K33" s="31"/>
      <c r="L33" s="31"/>
    </row>
    <row r="34" spans="4:12" ht="15.6" x14ac:dyDescent="0.3">
      <c r="D34" s="145">
        <v>46167</v>
      </c>
      <c r="E34" s="187">
        <v>404.05</v>
      </c>
      <c r="F34" s="146">
        <f t="shared" si="6"/>
        <v>2.8543062794739171E-3</v>
      </c>
      <c r="G34" s="187">
        <v>24031.7</v>
      </c>
      <c r="H34" s="146">
        <f t="shared" si="7"/>
        <v>1.3170709085006838E-2</v>
      </c>
      <c r="I34" s="21"/>
      <c r="J34" s="31"/>
      <c r="K34" s="31"/>
      <c r="L34" s="31"/>
    </row>
    <row r="35" spans="4:12" ht="15.6" x14ac:dyDescent="0.3">
      <c r="D35" s="145">
        <v>46164</v>
      </c>
      <c r="E35" s="187">
        <v>402.9</v>
      </c>
      <c r="F35" s="146">
        <f t="shared" si="6"/>
        <v>-3.0674846625766916E-2</v>
      </c>
      <c r="G35" s="187">
        <v>23719.3</v>
      </c>
      <c r="H35" s="146">
        <f t="shared" si="7"/>
        <v>2.7309583296342144E-3</v>
      </c>
      <c r="I35" s="21"/>
      <c r="J35" s="31"/>
      <c r="K35" s="31"/>
      <c r="L35" s="31"/>
    </row>
    <row r="36" spans="4:12" ht="15.6" x14ac:dyDescent="0.3">
      <c r="D36" s="145">
        <v>46163</v>
      </c>
      <c r="E36" s="187">
        <v>415.65</v>
      </c>
      <c r="F36" s="146">
        <f t="shared" si="6"/>
        <v>-3.0666977611940371E-2</v>
      </c>
      <c r="G36" s="187">
        <v>23654.7</v>
      </c>
      <c r="H36" s="146">
        <f t="shared" si="7"/>
        <v>-1.8174901728729154E-4</v>
      </c>
      <c r="I36" s="21"/>
      <c r="J36" s="31"/>
      <c r="K36" s="31"/>
      <c r="L36" s="31"/>
    </row>
    <row r="37" spans="4:12" ht="15.6" x14ac:dyDescent="0.3">
      <c r="D37" s="145">
        <v>46162</v>
      </c>
      <c r="E37" s="187">
        <v>428.8</v>
      </c>
      <c r="F37" s="146">
        <f t="shared" si="6"/>
        <v>-1.4366164808642723E-2</v>
      </c>
      <c r="G37" s="187">
        <v>23659</v>
      </c>
      <c r="H37" s="146">
        <f t="shared" si="7"/>
        <v>1.7359640951817301E-3</v>
      </c>
      <c r="I37" s="21"/>
      <c r="J37" s="31"/>
      <c r="K37" s="31"/>
      <c r="L37" s="31"/>
    </row>
    <row r="38" spans="4:12" ht="15.6" x14ac:dyDescent="0.3">
      <c r="D38" s="145">
        <v>46161</v>
      </c>
      <c r="E38" s="187">
        <v>435.05</v>
      </c>
      <c r="F38" s="146">
        <f t="shared" si="6"/>
        <v>3.0191806772436713E-2</v>
      </c>
      <c r="G38" s="187">
        <v>23618</v>
      </c>
      <c r="H38" s="146">
        <f t="shared" si="7"/>
        <v>-1.3509542303472566E-3</v>
      </c>
      <c r="I38" s="21"/>
      <c r="J38" s="31"/>
      <c r="K38" s="31"/>
      <c r="L38" s="31"/>
    </row>
    <row r="39" spans="4:12" ht="15.6" x14ac:dyDescent="0.3">
      <c r="D39" s="145">
        <v>46160</v>
      </c>
      <c r="E39" s="187">
        <v>422.3</v>
      </c>
      <c r="F39" s="146">
        <f t="shared" si="6"/>
        <v>-1.3433010162364201E-2</v>
      </c>
      <c r="G39" s="187">
        <v>23649.95</v>
      </c>
      <c r="H39" s="146">
        <f t="shared" si="7"/>
        <v>2.7280225008996517E-4</v>
      </c>
      <c r="I39" s="21"/>
      <c r="J39" s="31"/>
      <c r="K39" s="31"/>
      <c r="L39" s="31"/>
    </row>
    <row r="40" spans="4:12" ht="15.6" x14ac:dyDescent="0.3">
      <c r="D40" s="145">
        <v>46157</v>
      </c>
      <c r="E40" s="187">
        <v>428.05</v>
      </c>
      <c r="F40" s="146">
        <f t="shared" si="6"/>
        <v>8.3627797408716287E-3</v>
      </c>
      <c r="G40" s="187">
        <v>23643.5</v>
      </c>
      <c r="H40" s="146">
        <f t="shared" si="7"/>
        <v>-1.946001620964366E-3</v>
      </c>
      <c r="I40" s="21"/>
      <c r="J40" s="31"/>
      <c r="K40" s="31"/>
      <c r="L40" s="31"/>
    </row>
    <row r="41" spans="4:12" ht="15.6" x14ac:dyDescent="0.3">
      <c r="D41" s="145">
        <v>46156</v>
      </c>
      <c r="E41" s="187">
        <v>424.5</v>
      </c>
      <c r="F41" s="146">
        <f t="shared" si="6"/>
        <v>-1.0258801585451116E-2</v>
      </c>
      <c r="G41" s="187">
        <v>23689.599999999999</v>
      </c>
      <c r="H41" s="146">
        <f t="shared" si="7"/>
        <v>1.1831236171975679E-2</v>
      </c>
      <c r="I41" s="21"/>
      <c r="J41" s="31"/>
      <c r="K41" s="31"/>
      <c r="L41" s="31"/>
    </row>
    <row r="42" spans="4:12" ht="15.6" x14ac:dyDescent="0.3">
      <c r="D42" s="145">
        <v>46155</v>
      </c>
      <c r="E42" s="187">
        <v>428.9</v>
      </c>
      <c r="F42" s="146">
        <f t="shared" si="6"/>
        <v>-8.0943570767807449E-3</v>
      </c>
      <c r="G42" s="187">
        <v>23412.6</v>
      </c>
      <c r="H42" s="146">
        <f t="shared" si="7"/>
        <v>1.4136285771111368E-3</v>
      </c>
      <c r="I42" s="21"/>
      <c r="J42" s="31"/>
      <c r="K42" s="31"/>
      <c r="L42" s="31"/>
    </row>
    <row r="43" spans="4:12" ht="15.6" x14ac:dyDescent="0.3">
      <c r="D43" s="145">
        <v>46154</v>
      </c>
      <c r="E43" s="187">
        <v>432.4</v>
      </c>
      <c r="F43" s="146">
        <f t="shared" si="6"/>
        <v>-2.7331008885389751E-2</v>
      </c>
      <c r="G43" s="187">
        <v>23379.55</v>
      </c>
      <c r="H43" s="146">
        <f t="shared" si="7"/>
        <v>-1.8319732447088732E-2</v>
      </c>
      <c r="I43" s="21"/>
      <c r="J43" s="31"/>
      <c r="K43" s="31"/>
      <c r="L43" s="31"/>
    </row>
    <row r="44" spans="4:12" ht="15.6" x14ac:dyDescent="0.3">
      <c r="D44" s="145">
        <v>46153</v>
      </c>
      <c r="E44" s="187">
        <v>444.55</v>
      </c>
      <c r="F44" s="146">
        <f t="shared" si="6"/>
        <v>-2.7136448189079676E-2</v>
      </c>
      <c r="G44" s="187">
        <v>23815.85</v>
      </c>
      <c r="H44" s="146">
        <f t="shared" si="7"/>
        <v>-1.4903117328441629E-2</v>
      </c>
      <c r="I44" s="21"/>
      <c r="J44" s="31"/>
      <c r="K44" s="31"/>
      <c r="L44" s="31"/>
    </row>
    <row r="45" spans="4:12" ht="15.6" x14ac:dyDescent="0.3">
      <c r="D45" s="145">
        <v>46150</v>
      </c>
      <c r="E45" s="187">
        <v>456.95</v>
      </c>
      <c r="F45" s="146">
        <f t="shared" si="6"/>
        <v>5.6117957746479874E-3</v>
      </c>
      <c r="G45" s="187">
        <v>24176.15</v>
      </c>
      <c r="H45" s="146">
        <f t="shared" si="7"/>
        <v>-6.1866307115858721E-3</v>
      </c>
      <c r="I45" s="21"/>
      <c r="J45" s="31"/>
      <c r="K45" s="31"/>
      <c r="L45" s="31"/>
    </row>
    <row r="46" spans="4:12" ht="15.6" x14ac:dyDescent="0.3">
      <c r="D46" s="145">
        <v>46149</v>
      </c>
      <c r="E46" s="187">
        <v>454.4</v>
      </c>
      <c r="F46" s="146">
        <f t="shared" si="6"/>
        <v>4.8651039363112325E-3</v>
      </c>
      <c r="G46" s="187">
        <v>24326.65</v>
      </c>
      <c r="H46" s="146">
        <f t="shared" si="7"/>
        <v>-1.7672963858783586E-4</v>
      </c>
      <c r="I46" s="21"/>
      <c r="J46" s="31"/>
      <c r="K46" s="31"/>
      <c r="L46" s="31"/>
    </row>
    <row r="47" spans="4:12" ht="15.6" x14ac:dyDescent="0.3">
      <c r="D47" s="145">
        <v>46148</v>
      </c>
      <c r="E47" s="187">
        <v>452.2</v>
      </c>
      <c r="F47" s="146">
        <f t="shared" si="6"/>
        <v>-1.105583195135651E-4</v>
      </c>
      <c r="G47" s="187">
        <v>24330.95</v>
      </c>
      <c r="H47" s="146">
        <f t="shared" si="7"/>
        <v>1.2405961852135494E-2</v>
      </c>
      <c r="I47" s="21"/>
      <c r="J47" s="31"/>
      <c r="K47" s="31"/>
      <c r="L47" s="31"/>
    </row>
    <row r="48" spans="4:12" ht="15.6" x14ac:dyDescent="0.3">
      <c r="D48" s="145">
        <v>46147</v>
      </c>
      <c r="E48" s="187">
        <v>452.25</v>
      </c>
      <c r="F48" s="146">
        <f t="shared" si="6"/>
        <v>-8.3324196908234338E-3</v>
      </c>
      <c r="G48" s="187">
        <v>24032.799999999999</v>
      </c>
      <c r="H48" s="146">
        <f t="shared" si="7"/>
        <v>-3.5863395703855661E-3</v>
      </c>
      <c r="I48" s="21"/>
      <c r="J48" s="31"/>
      <c r="K48" s="31"/>
      <c r="L48" s="31"/>
    </row>
    <row r="49" spans="4:15" ht="15.6" x14ac:dyDescent="0.3">
      <c r="D49" s="145">
        <v>46146</v>
      </c>
      <c r="E49" s="187">
        <v>456.05</v>
      </c>
      <c r="F49" s="146">
        <f t="shared" si="6"/>
        <v>2.5984251968504068E-2</v>
      </c>
      <c r="G49" s="187">
        <v>24119.3</v>
      </c>
      <c r="H49" s="146">
        <f t="shared" si="7"/>
        <v>5.0734345797800451E-3</v>
      </c>
      <c r="I49" s="21"/>
      <c r="J49" s="31"/>
      <c r="K49" s="31"/>
      <c r="L49" s="31"/>
    </row>
    <row r="50" spans="4:15" ht="15.6" x14ac:dyDescent="0.3">
      <c r="D50" s="145">
        <v>46142</v>
      </c>
      <c r="E50" s="187">
        <v>444.5</v>
      </c>
      <c r="F50" s="146">
        <f t="shared" si="6"/>
        <v>-2.926403144791434E-2</v>
      </c>
      <c r="G50" s="187">
        <v>23997.55</v>
      </c>
      <c r="H50" s="146">
        <f t="shared" si="7"/>
        <v>-7.4490283381554168E-3</v>
      </c>
      <c r="I50" s="21"/>
      <c r="J50" s="31"/>
      <c r="K50" s="31"/>
      <c r="L50" s="31"/>
    </row>
    <row r="51" spans="4:15" ht="15.6" x14ac:dyDescent="0.3">
      <c r="D51" s="145">
        <v>46141</v>
      </c>
      <c r="E51" s="187">
        <v>457.9</v>
      </c>
      <c r="F51" s="146">
        <f t="shared" si="6"/>
        <v>7.369926300736962E-3</v>
      </c>
      <c r="G51" s="187">
        <v>24177.65</v>
      </c>
      <c r="H51" s="146">
        <f t="shared" si="7"/>
        <v>7.5826085506986995E-3</v>
      </c>
      <c r="I51" s="21"/>
      <c r="J51" s="31"/>
      <c r="K51" s="31"/>
      <c r="L51" s="31"/>
    </row>
    <row r="52" spans="4:15" ht="15.6" x14ac:dyDescent="0.3">
      <c r="D52" s="145">
        <v>46140</v>
      </c>
      <c r="E52" s="187">
        <v>454.55</v>
      </c>
      <c r="F52" s="146">
        <f t="shared" si="6"/>
        <v>-1.5272963604852752E-2</v>
      </c>
      <c r="G52" s="187">
        <v>23995.7</v>
      </c>
      <c r="H52" s="146">
        <f t="shared" si="7"/>
        <v>-4.0261157944107007E-3</v>
      </c>
      <c r="I52" s="21"/>
      <c r="J52" s="31"/>
      <c r="K52" s="31"/>
      <c r="L52" s="31"/>
    </row>
    <row r="53" spans="4:15" ht="15.6" x14ac:dyDescent="0.3">
      <c r="D53" s="145">
        <v>46139</v>
      </c>
      <c r="E53" s="187">
        <v>461.6</v>
      </c>
      <c r="F53" s="146">
        <f t="shared" si="6"/>
        <v>3.1511463653157712E-3</v>
      </c>
      <c r="G53" s="187">
        <v>24092.7</v>
      </c>
      <c r="H53" s="146">
        <f t="shared" si="7"/>
        <v>8.1492345577758307E-3</v>
      </c>
      <c r="I53" s="21"/>
      <c r="J53" s="31"/>
      <c r="K53" s="31"/>
      <c r="L53" s="31"/>
    </row>
    <row r="54" spans="4:15" ht="15.6" x14ac:dyDescent="0.3">
      <c r="D54" s="145">
        <v>46136</v>
      </c>
      <c r="E54" s="187">
        <v>460.15</v>
      </c>
      <c r="F54" s="146">
        <f t="shared" si="6"/>
        <v>-1.5511339323919571E-2</v>
      </c>
      <c r="G54" s="187">
        <v>23897.95</v>
      </c>
      <c r="H54" s="146">
        <f t="shared" si="7"/>
        <v>-1.1380442269386726E-2</v>
      </c>
      <c r="I54" s="21"/>
      <c r="J54" s="31"/>
      <c r="K54" s="31"/>
      <c r="L54" s="31"/>
    </row>
    <row r="55" spans="4:15" ht="15.6" x14ac:dyDescent="0.3">
      <c r="D55" s="145">
        <v>46135</v>
      </c>
      <c r="E55" s="187">
        <v>467.4</v>
      </c>
      <c r="F55" s="146">
        <f t="shared" si="6"/>
        <v>-1.2256973795435333E-2</v>
      </c>
      <c r="G55" s="187">
        <v>24173.05</v>
      </c>
      <c r="H55" s="146">
        <f t="shared" si="7"/>
        <v>-8.4112379553779038E-3</v>
      </c>
      <c r="I55" s="21"/>
      <c r="J55" s="31"/>
      <c r="K55" s="31"/>
      <c r="L55" s="31"/>
    </row>
    <row r="56" spans="4:15" ht="15.6" x14ac:dyDescent="0.3">
      <c r="D56" s="145">
        <v>46134</v>
      </c>
      <c r="E56" s="187">
        <v>473.2</v>
      </c>
      <c r="F56" s="146">
        <f t="shared" si="6"/>
        <v>4.2635231904814219E-2</v>
      </c>
      <c r="G56" s="187">
        <v>24378.1</v>
      </c>
      <c r="H56" s="146">
        <f t="shared" si="7"/>
        <v>-8.0767884898643727E-3</v>
      </c>
      <c r="I56" s="21"/>
      <c r="J56" s="31"/>
      <c r="K56" s="31"/>
      <c r="L56" s="31"/>
    </row>
    <row r="57" spans="4:15" ht="15.6" x14ac:dyDescent="0.3">
      <c r="D57" s="145">
        <v>46133</v>
      </c>
      <c r="E57" s="187">
        <v>453.85</v>
      </c>
      <c r="F57" s="146">
        <f t="shared" si="6"/>
        <v>1.9429469901168117E-2</v>
      </c>
      <c r="G57" s="187">
        <v>24576.6</v>
      </c>
      <c r="H57" s="146">
        <f t="shared" si="7"/>
        <v>8.690798424779933E-3</v>
      </c>
      <c r="I57" s="21"/>
      <c r="J57" s="31"/>
      <c r="K57" s="31"/>
      <c r="L57" s="31"/>
    </row>
    <row r="58" spans="4:15" ht="15.6" x14ac:dyDescent="0.3">
      <c r="D58" s="145">
        <v>46132</v>
      </c>
      <c r="E58" s="187">
        <v>445.2</v>
      </c>
      <c r="F58" s="146">
        <f t="shared" si="6"/>
        <v>-1.5262110152621133E-2</v>
      </c>
      <c r="G58" s="187">
        <v>24364.85</v>
      </c>
      <c r="H58" s="146">
        <f t="shared" si="7"/>
        <v>4.6399806188412995E-4</v>
      </c>
      <c r="I58" s="21"/>
      <c r="J58" s="31"/>
      <c r="K58" s="31"/>
      <c r="L58" s="31"/>
      <c r="N58" s="24"/>
      <c r="O58" s="24"/>
    </row>
    <row r="59" spans="4:15" ht="15.6" x14ac:dyDescent="0.3">
      <c r="D59" s="145">
        <v>46129</v>
      </c>
      <c r="E59" s="187">
        <v>452.1</v>
      </c>
      <c r="F59" s="146">
        <f t="shared" si="6"/>
        <v>6.2514688601645219E-2</v>
      </c>
      <c r="G59" s="187">
        <v>24353.55</v>
      </c>
      <c r="H59" s="146">
        <f t="shared" si="7"/>
        <v>6.4802091189932742E-3</v>
      </c>
      <c r="I59" s="21"/>
      <c r="J59" s="59"/>
      <c r="K59" s="59"/>
      <c r="L59" s="59"/>
    </row>
    <row r="60" spans="4:15" ht="15.6" x14ac:dyDescent="0.3">
      <c r="D60" s="145">
        <v>46128</v>
      </c>
      <c r="E60" s="187">
        <v>425.5</v>
      </c>
      <c r="F60" s="146">
        <f t="shared" si="6"/>
        <v>2.3557126030624431E-3</v>
      </c>
      <c r="G60" s="187">
        <v>24196.75</v>
      </c>
      <c r="H60" s="146">
        <f t="shared" si="7"/>
        <v>-1.4258417831481962E-3</v>
      </c>
      <c r="J60" s="27"/>
      <c r="K60" s="27"/>
      <c r="L60" s="27"/>
    </row>
    <row r="61" spans="4:15" ht="15.6" x14ac:dyDescent="0.3">
      <c r="D61" s="145">
        <v>46127</v>
      </c>
      <c r="E61" s="187">
        <v>424.5</v>
      </c>
      <c r="F61" s="146">
        <f t="shared" si="6"/>
        <v>1.2973227974997226E-3</v>
      </c>
      <c r="G61" s="187">
        <v>24231.3</v>
      </c>
      <c r="H61" s="146">
        <f t="shared" si="7"/>
        <v>1.6300620946077649E-2</v>
      </c>
      <c r="J61" s="24"/>
      <c r="K61" s="24"/>
      <c r="L61" s="24"/>
    </row>
    <row r="62" spans="4:15" ht="15.6" x14ac:dyDescent="0.3">
      <c r="D62" s="145">
        <v>46125</v>
      </c>
      <c r="E62" s="187">
        <v>423.95</v>
      </c>
      <c r="F62" s="146">
        <f t="shared" si="6"/>
        <v>-4.7153129788990444E-4</v>
      </c>
      <c r="G62" s="187">
        <v>23842.65</v>
      </c>
      <c r="H62" s="146">
        <f t="shared" si="7"/>
        <v>-8.6463539371157694E-3</v>
      </c>
      <c r="J62" s="24"/>
      <c r="K62" s="24"/>
      <c r="L62" s="26"/>
    </row>
    <row r="63" spans="4:15" ht="15.6" x14ac:dyDescent="0.3">
      <c r="D63" s="145">
        <v>46122</v>
      </c>
      <c r="E63" s="187">
        <v>424.15</v>
      </c>
      <c r="F63" s="146">
        <f t="shared" si="6"/>
        <v>1.2411982336794303E-2</v>
      </c>
      <c r="G63" s="187">
        <v>24050.6</v>
      </c>
      <c r="H63" s="146">
        <f t="shared" si="7"/>
        <v>1.1587753574117565E-2</v>
      </c>
      <c r="J63" s="24"/>
      <c r="K63" s="24"/>
      <c r="L63" s="24"/>
    </row>
    <row r="64" spans="4:15" ht="15.6" x14ac:dyDescent="0.3">
      <c r="D64" s="145">
        <v>46121</v>
      </c>
      <c r="E64" s="187">
        <v>418.95</v>
      </c>
      <c r="F64" s="146">
        <f t="shared" si="6"/>
        <v>3.9539899352982744E-3</v>
      </c>
      <c r="G64" s="187">
        <v>23775.1</v>
      </c>
      <c r="H64" s="146">
        <f t="shared" si="7"/>
        <v>-9.2614392839209803E-3</v>
      </c>
      <c r="J64" s="24"/>
      <c r="K64" s="24"/>
      <c r="L64" s="24"/>
    </row>
    <row r="65" spans="4:12" ht="15.6" x14ac:dyDescent="0.3">
      <c r="D65" s="145">
        <v>46120</v>
      </c>
      <c r="E65" s="187">
        <v>417.3</v>
      </c>
      <c r="F65" s="146">
        <f t="shared" si="6"/>
        <v>1.7060687301974076E-2</v>
      </c>
      <c r="G65" s="187">
        <v>23997.35</v>
      </c>
      <c r="H65" s="146">
        <f t="shared" si="7"/>
        <v>3.7783827380192925E-2</v>
      </c>
      <c r="J65" s="24"/>
      <c r="K65" s="24"/>
      <c r="L65" s="24"/>
    </row>
    <row r="66" spans="4:12" ht="15.6" x14ac:dyDescent="0.3">
      <c r="D66" s="145">
        <v>46119</v>
      </c>
      <c r="E66" s="187">
        <v>410.3</v>
      </c>
      <c r="F66" s="146">
        <f t="shared" si="6"/>
        <v>2.5237381309345386E-2</v>
      </c>
      <c r="G66" s="187">
        <v>23123.65</v>
      </c>
      <c r="H66" s="146">
        <f t="shared" si="7"/>
        <v>6.7658615697756552E-3</v>
      </c>
      <c r="J66" s="27"/>
      <c r="K66" s="27"/>
      <c r="L66" s="27"/>
    </row>
    <row r="67" spans="4:12" ht="15.6" x14ac:dyDescent="0.3">
      <c r="D67" s="145">
        <v>46118</v>
      </c>
      <c r="E67" s="187">
        <v>400.2</v>
      </c>
      <c r="F67" s="146">
        <f t="shared" si="6"/>
        <v>4.7702736630679254E-3</v>
      </c>
      <c r="G67" s="187">
        <v>22968.25</v>
      </c>
      <c r="H67" s="146">
        <f t="shared" si="7"/>
        <v>1.123360527625028E-2</v>
      </c>
      <c r="J67" s="27"/>
      <c r="K67" s="27"/>
      <c r="L67" s="27"/>
    </row>
    <row r="68" spans="4:12" ht="15.6" x14ac:dyDescent="0.3">
      <c r="D68" s="145">
        <v>46114</v>
      </c>
      <c r="E68" s="187">
        <v>398.3</v>
      </c>
      <c r="F68" s="146">
        <f t="shared" si="6"/>
        <v>1.2326852204854521E-2</v>
      </c>
      <c r="G68" s="187">
        <v>22713.1</v>
      </c>
      <c r="H68" s="146">
        <f t="shared" si="7"/>
        <v>1.4859299628737777E-3</v>
      </c>
      <c r="J68" s="27"/>
      <c r="K68" s="27"/>
      <c r="L68" s="27"/>
    </row>
    <row r="69" spans="4:12" ht="15.6" x14ac:dyDescent="0.3">
      <c r="D69" s="145">
        <v>46113</v>
      </c>
      <c r="E69" s="187">
        <v>393.45</v>
      </c>
      <c r="F69" s="146">
        <f t="shared" si="6"/>
        <v>1.2709710218605785E-4</v>
      </c>
      <c r="G69" s="187">
        <v>22679.4</v>
      </c>
      <c r="H69" s="146">
        <f t="shared" si="7"/>
        <v>1.5583438566323604E-2</v>
      </c>
      <c r="J69" s="24"/>
      <c r="K69" s="24"/>
      <c r="L69" s="27"/>
    </row>
    <row r="70" spans="4:12" ht="15.6" x14ac:dyDescent="0.3">
      <c r="D70" s="145">
        <v>46111</v>
      </c>
      <c r="E70" s="187">
        <v>393.4</v>
      </c>
      <c r="F70" s="146">
        <f t="shared" si="6"/>
        <v>7.6316458916303453E-4</v>
      </c>
      <c r="G70" s="187">
        <v>22331.4</v>
      </c>
      <c r="H70" s="146">
        <f t="shared" si="7"/>
        <v>-2.1393889463443561E-2</v>
      </c>
      <c r="J70" s="27"/>
      <c r="K70" s="27"/>
      <c r="L70" s="27"/>
    </row>
    <row r="71" spans="4:12" ht="15.6" x14ac:dyDescent="0.3">
      <c r="D71" s="145">
        <v>46108</v>
      </c>
      <c r="E71" s="187">
        <v>393.1</v>
      </c>
      <c r="F71" s="146">
        <f t="shared" si="6"/>
        <v>-4.2270678523571581E-2</v>
      </c>
      <c r="G71" s="187">
        <v>22819.599999999999</v>
      </c>
      <c r="H71" s="146">
        <f t="shared" si="7"/>
        <v>-2.0889067189554966E-2</v>
      </c>
      <c r="J71" s="24"/>
      <c r="K71" s="24"/>
      <c r="L71" s="26"/>
    </row>
    <row r="72" spans="4:12" ht="15.6" x14ac:dyDescent="0.3">
      <c r="D72" s="145">
        <v>46106</v>
      </c>
      <c r="E72" s="187">
        <v>410.45</v>
      </c>
      <c r="F72" s="146">
        <f t="shared" si="6"/>
        <v>1.9245095604668583E-2</v>
      </c>
      <c r="G72" s="187">
        <v>23306.45</v>
      </c>
      <c r="H72" s="146">
        <f t="shared" si="7"/>
        <v>1.7198111066496713E-2</v>
      </c>
      <c r="J72" s="24"/>
      <c r="K72" s="24"/>
      <c r="L72" s="24"/>
    </row>
    <row r="73" spans="4:12" ht="15.6" x14ac:dyDescent="0.3">
      <c r="D73" s="145">
        <v>46105</v>
      </c>
      <c r="E73" s="187">
        <v>402.7</v>
      </c>
      <c r="F73" s="146">
        <f t="shared" si="6"/>
        <v>2.4894199651481763E-3</v>
      </c>
      <c r="G73" s="187">
        <v>22912.400000000001</v>
      </c>
      <c r="H73" s="146">
        <f t="shared" si="7"/>
        <v>1.7756683464629885E-2</v>
      </c>
      <c r="J73" s="24"/>
      <c r="K73" s="24"/>
      <c r="L73" s="24"/>
    </row>
    <row r="74" spans="4:12" ht="15.6" x14ac:dyDescent="0.3">
      <c r="D74" s="145">
        <v>46104</v>
      </c>
      <c r="E74" s="187">
        <v>401.7</v>
      </c>
      <c r="F74" s="146">
        <f t="shared" si="6"/>
        <v>-2.6070763500931626E-3</v>
      </c>
      <c r="G74" s="187">
        <v>22512.65</v>
      </c>
      <c r="H74" s="146">
        <f t="shared" si="7"/>
        <v>-2.6037768500291936E-2</v>
      </c>
      <c r="J74" s="24"/>
      <c r="K74" s="24"/>
      <c r="L74" s="24"/>
    </row>
    <row r="75" spans="4:12" ht="15.6" x14ac:dyDescent="0.3">
      <c r="D75" s="145">
        <v>46101</v>
      </c>
      <c r="E75" s="187">
        <v>402.75</v>
      </c>
      <c r="F75" s="146">
        <f t="shared" si="6"/>
        <v>-7.2713827951688126E-3</v>
      </c>
      <c r="G75" s="187">
        <v>23114.5</v>
      </c>
      <c r="H75" s="146">
        <f t="shared" si="7"/>
        <v>4.8843260303927938E-3</v>
      </c>
      <c r="J75" s="24"/>
      <c r="K75" s="24"/>
      <c r="L75" s="24"/>
    </row>
    <row r="76" spans="4:12" ht="15.6" x14ac:dyDescent="0.3">
      <c r="D76" s="145">
        <v>46100</v>
      </c>
      <c r="E76" s="187">
        <v>405.7</v>
      </c>
      <c r="F76" s="146">
        <f t="shared" si="6"/>
        <v>-2.674823077845756E-2</v>
      </c>
      <c r="G76" s="187">
        <v>23002.15</v>
      </c>
      <c r="H76" s="146">
        <f t="shared" si="7"/>
        <v>-3.2620763905828021E-2</v>
      </c>
      <c r="J76" s="28"/>
      <c r="K76" s="27"/>
      <c r="L76" s="27"/>
    </row>
    <row r="77" spans="4:12" ht="15.6" x14ac:dyDescent="0.3">
      <c r="D77" s="145">
        <v>46099</v>
      </c>
      <c r="E77" s="187">
        <v>416.85</v>
      </c>
      <c r="F77" s="146">
        <f t="shared" si="6"/>
        <v>-4.0616413809579921E-3</v>
      </c>
      <c r="G77" s="187">
        <v>23777.8</v>
      </c>
      <c r="H77" s="146">
        <f t="shared" si="7"/>
        <v>8.3392879482127036E-3</v>
      </c>
      <c r="J77" s="27"/>
      <c r="K77" s="27"/>
      <c r="L77" s="27"/>
    </row>
    <row r="78" spans="4:12" ht="15.6" x14ac:dyDescent="0.3">
      <c r="D78" s="145">
        <v>46098</v>
      </c>
      <c r="E78" s="187">
        <v>418.55</v>
      </c>
      <c r="F78" s="146">
        <f t="shared" si="6"/>
        <v>-1.3086536194293785E-2</v>
      </c>
      <c r="G78" s="187">
        <v>23581.15</v>
      </c>
      <c r="H78" s="146">
        <f t="shared" si="7"/>
        <v>7.3626157684290039E-3</v>
      </c>
      <c r="J78" s="24"/>
      <c r="K78" s="24"/>
      <c r="L78" s="24"/>
    </row>
    <row r="79" spans="4:12" ht="15.6" x14ac:dyDescent="0.3">
      <c r="D79" s="145">
        <v>46097</v>
      </c>
      <c r="E79" s="187">
        <v>424.1</v>
      </c>
      <c r="F79" s="146">
        <f t="shared" si="6"/>
        <v>1.9348635981252249E-2</v>
      </c>
      <c r="G79" s="187">
        <v>23408.799999999999</v>
      </c>
      <c r="H79" s="146">
        <f t="shared" si="7"/>
        <v>1.1131220546755971E-2</v>
      </c>
      <c r="J79" s="24"/>
      <c r="K79" s="24"/>
      <c r="L79" s="24"/>
    </row>
    <row r="80" spans="4:12" ht="15.6" x14ac:dyDescent="0.3">
      <c r="D80" s="145">
        <v>46094</v>
      </c>
      <c r="E80" s="187">
        <v>416.05</v>
      </c>
      <c r="F80" s="146">
        <f t="shared" si="6"/>
        <v>-2.8147629058631218E-2</v>
      </c>
      <c r="G80" s="187">
        <v>23151.1</v>
      </c>
      <c r="H80" s="146">
        <f t="shared" si="7"/>
        <v>-2.0645835404403456E-2</v>
      </c>
      <c r="J80" s="24"/>
      <c r="K80" s="24"/>
      <c r="L80" s="24"/>
    </row>
    <row r="81" spans="4:12" ht="15.6" x14ac:dyDescent="0.3">
      <c r="D81" s="145">
        <v>46093</v>
      </c>
      <c r="E81" s="187">
        <v>428.1</v>
      </c>
      <c r="F81" s="146">
        <f t="shared" si="6"/>
        <v>-1.188690132717829E-2</v>
      </c>
      <c r="G81" s="187">
        <v>23639.15</v>
      </c>
      <c r="H81" s="146">
        <f t="shared" si="7"/>
        <v>-9.5404295078738155E-3</v>
      </c>
    </row>
    <row r="82" spans="4:12" ht="15.6" x14ac:dyDescent="0.3">
      <c r="D82" s="145">
        <v>46092</v>
      </c>
      <c r="E82" s="187">
        <v>433.25</v>
      </c>
      <c r="F82" s="146">
        <f t="shared" si="6"/>
        <v>-2.57476950753317E-2</v>
      </c>
      <c r="G82" s="187">
        <v>23866.85</v>
      </c>
      <c r="H82" s="146">
        <f t="shared" si="7"/>
        <v>-1.6270567481122433E-2</v>
      </c>
    </row>
    <row r="83" spans="4:12" ht="15.6" x14ac:dyDescent="0.3">
      <c r="D83" s="145">
        <v>46091</v>
      </c>
      <c r="E83" s="187">
        <v>444.7</v>
      </c>
      <c r="F83" s="146">
        <f t="shared" si="6"/>
        <v>3.7241846292743741E-3</v>
      </c>
      <c r="G83" s="187">
        <v>24261.599999999999</v>
      </c>
      <c r="H83" s="146">
        <f t="shared" si="7"/>
        <v>9.7198898787043131E-3</v>
      </c>
      <c r="J83" s="1"/>
    </row>
    <row r="84" spans="4:12" ht="15.6" x14ac:dyDescent="0.3">
      <c r="D84" s="145">
        <v>46090</v>
      </c>
      <c r="E84" s="187">
        <v>443.05</v>
      </c>
      <c r="F84" s="146">
        <f t="shared" si="6"/>
        <v>-3.3591449449231092E-2</v>
      </c>
      <c r="G84" s="187">
        <v>24028.05</v>
      </c>
      <c r="H84" s="146">
        <f t="shared" si="7"/>
        <v>-1.7275755660938863E-2</v>
      </c>
      <c r="J84" s="1"/>
      <c r="L84" s="1"/>
    </row>
    <row r="85" spans="4:12" ht="15.6" x14ac:dyDescent="0.3">
      <c r="D85" s="145">
        <v>46087</v>
      </c>
      <c r="E85" s="187">
        <v>458.45</v>
      </c>
      <c r="F85" s="146">
        <f t="shared" si="6"/>
        <v>-2.8398855568506964E-2</v>
      </c>
      <c r="G85" s="187">
        <v>24450.45</v>
      </c>
      <c r="H85" s="146">
        <f t="shared" si="7"/>
        <v>-1.2737271813259343E-2</v>
      </c>
    </row>
    <row r="86" spans="4:12" ht="15.6" x14ac:dyDescent="0.3">
      <c r="D86" s="145">
        <v>46086</v>
      </c>
      <c r="E86" s="187">
        <v>471.85</v>
      </c>
      <c r="F86" s="146">
        <f t="shared" si="6"/>
        <v>2.5760869565217392E-2</v>
      </c>
      <c r="G86" s="187">
        <v>24765.9</v>
      </c>
      <c r="H86" s="146">
        <f t="shared" si="7"/>
        <v>1.1658258613999051E-2</v>
      </c>
      <c r="J86" s="16"/>
      <c r="K86" s="16"/>
      <c r="L86" s="16"/>
    </row>
    <row r="87" spans="4:12" ht="15.6" x14ac:dyDescent="0.3">
      <c r="D87" s="145">
        <v>46085</v>
      </c>
      <c r="E87" s="187">
        <v>460</v>
      </c>
      <c r="F87" s="146">
        <f t="shared" si="6"/>
        <v>2.8340963592763391E-3</v>
      </c>
      <c r="G87" s="187">
        <v>24480.5</v>
      </c>
      <c r="H87" s="146">
        <f t="shared" si="7"/>
        <v>-1.5491218827541564E-2</v>
      </c>
      <c r="J87" s="16"/>
      <c r="K87" s="16"/>
      <c r="L87" s="16"/>
    </row>
    <row r="88" spans="4:12" ht="15.6" x14ac:dyDescent="0.3">
      <c r="D88" s="145">
        <v>46083</v>
      </c>
      <c r="E88" s="187">
        <v>458.7</v>
      </c>
      <c r="F88" s="146">
        <f t="shared" si="6"/>
        <v>-8.4306095979248541E-3</v>
      </c>
      <c r="G88" s="187">
        <v>24865.7</v>
      </c>
      <c r="H88" s="146">
        <f t="shared" si="7"/>
        <v>-1.2429181072059148E-2</v>
      </c>
      <c r="J88" s="1"/>
      <c r="L88" s="1"/>
    </row>
    <row r="89" spans="4:12" ht="15.6" x14ac:dyDescent="0.3">
      <c r="D89" s="145">
        <v>46080</v>
      </c>
      <c r="E89" s="187">
        <v>462.6</v>
      </c>
      <c r="F89" s="146">
        <f t="shared" si="6"/>
        <v>-2.5797620301147739E-2</v>
      </c>
      <c r="G89" s="187">
        <v>25178.65</v>
      </c>
      <c r="H89" s="146">
        <f t="shared" si="7"/>
        <v>-1.2468353561560175E-2</v>
      </c>
    </row>
    <row r="90" spans="4:12" ht="15.6" x14ac:dyDescent="0.3">
      <c r="D90" s="145">
        <v>46079</v>
      </c>
      <c r="E90" s="187">
        <v>474.85</v>
      </c>
      <c r="F90" s="146">
        <f t="shared" si="6"/>
        <v>-8.8707994155708958E-3</v>
      </c>
      <c r="G90" s="187">
        <v>25496.55</v>
      </c>
      <c r="H90" s="146">
        <f t="shared" si="7"/>
        <v>5.5135877563028401E-4</v>
      </c>
    </row>
    <row r="91" spans="4:12" ht="15.6" x14ac:dyDescent="0.3">
      <c r="D91" s="145">
        <v>46078</v>
      </c>
      <c r="E91" s="187">
        <v>479.1</v>
      </c>
      <c r="F91" s="146">
        <f t="shared" ref="F91:F154" si="8">E91/E92-1</f>
        <v>9.2690120075837878E-3</v>
      </c>
      <c r="G91" s="187">
        <v>25482.5</v>
      </c>
      <c r="H91" s="146">
        <f t="shared" ref="H91:H154" si="9">G91/G92-1</f>
        <v>2.275350889786143E-3</v>
      </c>
      <c r="J91" s="1"/>
      <c r="L91" s="1"/>
    </row>
    <row r="92" spans="4:12" ht="15.6" x14ac:dyDescent="0.3">
      <c r="D92" s="145">
        <v>46077</v>
      </c>
      <c r="E92" s="187">
        <v>474.7</v>
      </c>
      <c r="F92" s="146">
        <f t="shared" si="8"/>
        <v>-1.0526315789473717E-2</v>
      </c>
      <c r="G92" s="187">
        <v>25424.65</v>
      </c>
      <c r="H92" s="146">
        <f t="shared" si="9"/>
        <v>-1.1214171819702079E-2</v>
      </c>
    </row>
    <row r="93" spans="4:12" ht="15.6" x14ac:dyDescent="0.3">
      <c r="D93" s="145">
        <v>46076</v>
      </c>
      <c r="E93" s="187">
        <v>479.75</v>
      </c>
      <c r="F93" s="146">
        <f t="shared" si="8"/>
        <v>3.1276063386154185E-4</v>
      </c>
      <c r="G93" s="187">
        <v>25713</v>
      </c>
      <c r="H93" s="146">
        <f t="shared" si="9"/>
        <v>5.5433347998239402E-3</v>
      </c>
    </row>
    <row r="94" spans="4:12" ht="15.6" x14ac:dyDescent="0.3">
      <c r="D94" s="145">
        <v>46073</v>
      </c>
      <c r="E94" s="187">
        <v>479.6</v>
      </c>
      <c r="F94" s="146">
        <f t="shared" si="8"/>
        <v>-1.2355848434925876E-2</v>
      </c>
      <c r="G94" s="187">
        <v>25571.25</v>
      </c>
      <c r="H94" s="146">
        <f t="shared" si="9"/>
        <v>4.5925352641100758E-3</v>
      </c>
      <c r="J94" s="1"/>
      <c r="L94" s="1"/>
    </row>
    <row r="95" spans="4:12" ht="15.6" x14ac:dyDescent="0.3">
      <c r="D95" s="145">
        <v>46072</v>
      </c>
      <c r="E95" s="187">
        <v>485.6</v>
      </c>
      <c r="F95" s="146">
        <f t="shared" si="8"/>
        <v>-5.2238041585577211E-3</v>
      </c>
      <c r="G95" s="187">
        <v>25454.35</v>
      </c>
      <c r="H95" s="146">
        <f t="shared" si="9"/>
        <v>-1.4136684308474035E-2</v>
      </c>
    </row>
    <row r="96" spans="4:12" ht="15.6" x14ac:dyDescent="0.3">
      <c r="D96" s="145">
        <v>46071</v>
      </c>
      <c r="E96" s="187">
        <v>488.15</v>
      </c>
      <c r="F96" s="146">
        <f t="shared" si="8"/>
        <v>-4.9938850387282185E-3</v>
      </c>
      <c r="G96" s="187">
        <v>25819.35</v>
      </c>
      <c r="H96" s="146">
        <f t="shared" si="9"/>
        <v>3.6520326214557475E-3</v>
      </c>
    </row>
    <row r="97" spans="2:12" ht="15.6" x14ac:dyDescent="0.3">
      <c r="D97" s="145">
        <v>46070</v>
      </c>
      <c r="E97" s="187">
        <v>490.6</v>
      </c>
      <c r="F97" s="146">
        <f t="shared" si="8"/>
        <v>5.1219012497438765E-3</v>
      </c>
      <c r="G97" s="187">
        <v>25725.4</v>
      </c>
      <c r="H97" s="146">
        <f t="shared" si="9"/>
        <v>1.6606477110123752E-3</v>
      </c>
      <c r="J97" s="1"/>
      <c r="L97" s="1"/>
    </row>
    <row r="98" spans="2:12" ht="15.6" x14ac:dyDescent="0.3">
      <c r="D98" s="145">
        <v>46069</v>
      </c>
      <c r="E98" s="187">
        <v>488.1</v>
      </c>
      <c r="F98" s="146">
        <f t="shared" si="8"/>
        <v>-3.0637254901960675E-3</v>
      </c>
      <c r="G98" s="187">
        <v>25682.75</v>
      </c>
      <c r="H98" s="146">
        <f t="shared" si="9"/>
        <v>8.3094173396516258E-3</v>
      </c>
    </row>
    <row r="99" spans="2:12" ht="15.6" x14ac:dyDescent="0.3">
      <c r="D99" s="145">
        <v>46066</v>
      </c>
      <c r="E99" s="187">
        <v>489.6</v>
      </c>
      <c r="F99" s="146">
        <f t="shared" si="8"/>
        <v>-1.1607953971939033E-2</v>
      </c>
      <c r="G99" s="187">
        <v>25471.1</v>
      </c>
      <c r="H99" s="146">
        <f t="shared" si="9"/>
        <v>-1.3023497318577881E-2</v>
      </c>
    </row>
    <row r="100" spans="2:12" ht="15.6" x14ac:dyDescent="0.3">
      <c r="D100" s="145">
        <v>46065</v>
      </c>
      <c r="E100" s="187">
        <v>495.35</v>
      </c>
      <c r="F100" s="146">
        <f t="shared" si="8"/>
        <v>-1.1080055899380992E-2</v>
      </c>
      <c r="G100" s="187">
        <v>25807.200000000001</v>
      </c>
      <c r="H100" s="146">
        <f t="shared" si="9"/>
        <v>-5.6504141004127817E-3</v>
      </c>
    </row>
    <row r="101" spans="2:12" ht="15.6" x14ac:dyDescent="0.3">
      <c r="D101" s="145">
        <v>46064</v>
      </c>
      <c r="E101" s="187">
        <v>500.9</v>
      </c>
      <c r="F101" s="146">
        <f t="shared" si="8"/>
        <v>3.6064916850329087E-3</v>
      </c>
      <c r="G101" s="187">
        <v>25953.85</v>
      </c>
      <c r="H101" s="146">
        <f t="shared" si="9"/>
        <v>7.2102918240291025E-4</v>
      </c>
    </row>
    <row r="102" spans="2:12" ht="15.6" x14ac:dyDescent="0.3">
      <c r="D102" s="145">
        <v>46063</v>
      </c>
      <c r="E102" s="187">
        <v>499.1</v>
      </c>
      <c r="F102" s="146">
        <f t="shared" si="8"/>
        <v>-1.5290519877675823E-2</v>
      </c>
      <c r="G102" s="187">
        <v>25935.15</v>
      </c>
      <c r="H102" s="146">
        <f t="shared" si="9"/>
        <v>2.6230027873028749E-3</v>
      </c>
    </row>
    <row r="103" spans="2:12" ht="18" x14ac:dyDescent="0.35">
      <c r="B103" s="10"/>
      <c r="D103" s="145">
        <v>46062</v>
      </c>
      <c r="E103" s="187">
        <v>506.85</v>
      </c>
      <c r="F103" s="146">
        <f t="shared" si="8"/>
        <v>4.9568751858828364E-3</v>
      </c>
      <c r="G103" s="187">
        <v>25867.3</v>
      </c>
      <c r="H103" s="146">
        <f t="shared" si="9"/>
        <v>6.7565200807979675E-3</v>
      </c>
    </row>
    <row r="104" spans="2:12" ht="15.6" x14ac:dyDescent="0.3">
      <c r="C104" s="14"/>
      <c r="D104" s="145">
        <v>46059</v>
      </c>
      <c r="E104" s="187">
        <v>504.35</v>
      </c>
      <c r="F104" s="146">
        <f t="shared" si="8"/>
        <v>2.0862308762170656E-3</v>
      </c>
      <c r="G104" s="187">
        <v>25693.7</v>
      </c>
      <c r="H104" s="146">
        <f t="shared" si="9"/>
        <v>1.9849626405852305E-3</v>
      </c>
    </row>
    <row r="105" spans="2:12" ht="15.6" x14ac:dyDescent="0.3">
      <c r="D105" s="145">
        <v>46058</v>
      </c>
      <c r="E105" s="187">
        <v>503.3</v>
      </c>
      <c r="F105" s="146">
        <f t="shared" si="8"/>
        <v>2.8717424629534971E-2</v>
      </c>
      <c r="G105" s="187">
        <v>25642.799999999999</v>
      </c>
      <c r="H105" s="146">
        <f t="shared" si="9"/>
        <v>-5.16759776536313E-3</v>
      </c>
    </row>
    <row r="106" spans="2:12" ht="15.6" x14ac:dyDescent="0.3">
      <c r="D106" s="145">
        <v>46057</v>
      </c>
      <c r="E106" s="187">
        <v>489.25</v>
      </c>
      <c r="F106" s="146">
        <f t="shared" si="8"/>
        <v>1.283511023703543E-2</v>
      </c>
      <c r="G106" s="187">
        <v>25776</v>
      </c>
      <c r="H106" s="146">
        <f t="shared" si="9"/>
        <v>1.8831952517825989E-3</v>
      </c>
    </row>
    <row r="107" spans="2:12" ht="15.6" x14ac:dyDescent="0.3">
      <c r="D107" s="145">
        <v>46056</v>
      </c>
      <c r="E107" s="187">
        <v>483.05</v>
      </c>
      <c r="F107" s="146">
        <f t="shared" si="8"/>
        <v>1.2436521919370058E-3</v>
      </c>
      <c r="G107" s="187">
        <v>25727.55</v>
      </c>
      <c r="H107" s="146">
        <f t="shared" si="9"/>
        <v>2.5475917156932981E-2</v>
      </c>
    </row>
    <row r="108" spans="2:12" ht="15.6" x14ac:dyDescent="0.3">
      <c r="D108" s="145">
        <v>46055</v>
      </c>
      <c r="E108" s="187">
        <v>482.45</v>
      </c>
      <c r="F108" s="146">
        <f t="shared" si="8"/>
        <v>1.5577307651825967E-2</v>
      </c>
      <c r="G108" s="187">
        <v>25088.400000000001</v>
      </c>
      <c r="H108" s="146">
        <f t="shared" si="9"/>
        <v>1.05919530159575E-2</v>
      </c>
    </row>
    <row r="109" spans="2:12" ht="15.6" x14ac:dyDescent="0.3">
      <c r="D109" s="145">
        <v>46054</v>
      </c>
      <c r="E109" s="187">
        <v>475.05</v>
      </c>
      <c r="F109" s="146">
        <f t="shared" si="8"/>
        <v>-1.8085985944605198E-2</v>
      </c>
      <c r="G109" s="187">
        <v>24825.45</v>
      </c>
      <c r="H109" s="146">
        <f t="shared" si="9"/>
        <v>-1.955715986753892E-2</v>
      </c>
    </row>
    <row r="110" spans="2:12" ht="15.6" x14ac:dyDescent="0.3">
      <c r="D110" s="145">
        <v>46052</v>
      </c>
      <c r="E110" s="187">
        <v>483.8</v>
      </c>
      <c r="F110" s="146">
        <f t="shared" si="8"/>
        <v>7.1822629332778387E-3</v>
      </c>
      <c r="G110" s="187">
        <v>25320.65</v>
      </c>
      <c r="H110" s="146">
        <f t="shared" si="9"/>
        <v>-3.8652341368037302E-3</v>
      </c>
    </row>
    <row r="111" spans="2:12" ht="15.6" x14ac:dyDescent="0.3">
      <c r="D111" s="145">
        <v>46051</v>
      </c>
      <c r="E111" s="187">
        <v>480.35</v>
      </c>
      <c r="F111" s="146">
        <f t="shared" si="8"/>
        <v>-1.5877893874206128E-2</v>
      </c>
      <c r="G111" s="187">
        <v>25418.9</v>
      </c>
      <c r="H111" s="146">
        <f t="shared" si="9"/>
        <v>3.004804135305017E-3</v>
      </c>
    </row>
    <row r="112" spans="2:12" ht="15.6" x14ac:dyDescent="0.3">
      <c r="D112" s="145">
        <v>46050</v>
      </c>
      <c r="E112" s="187">
        <v>488.1</v>
      </c>
      <c r="F112" s="146">
        <f t="shared" si="8"/>
        <v>-1.5828208488758877E-2</v>
      </c>
      <c r="G112" s="187">
        <v>25342.75</v>
      </c>
      <c r="H112" s="146">
        <f t="shared" si="9"/>
        <v>6.6473621074540912E-3</v>
      </c>
    </row>
    <row r="113" spans="4:12" ht="15.6" x14ac:dyDescent="0.3">
      <c r="D113" s="145">
        <v>46049</v>
      </c>
      <c r="E113" s="187">
        <v>495.95</v>
      </c>
      <c r="F113" s="146">
        <f t="shared" si="8"/>
        <v>-1.6850034691247906E-2</v>
      </c>
      <c r="G113" s="187">
        <v>25175.4</v>
      </c>
      <c r="H113" s="146">
        <f t="shared" si="9"/>
        <v>5.0601529423741631E-3</v>
      </c>
    </row>
    <row r="114" spans="4:12" ht="15.6" x14ac:dyDescent="0.3">
      <c r="D114" s="145">
        <v>46045</v>
      </c>
      <c r="E114" s="187">
        <v>504.45</v>
      </c>
      <c r="F114" s="146">
        <f t="shared" si="8"/>
        <v>3.780718336483968E-3</v>
      </c>
      <c r="G114" s="187">
        <v>25048.65</v>
      </c>
      <c r="H114" s="146">
        <f t="shared" si="9"/>
        <v>-9.5393813340503009E-3</v>
      </c>
    </row>
    <row r="115" spans="4:12" ht="15.6" x14ac:dyDescent="0.3">
      <c r="D115" s="145">
        <v>46044</v>
      </c>
      <c r="E115" s="187">
        <v>502.55</v>
      </c>
      <c r="F115" s="146">
        <f t="shared" si="8"/>
        <v>3.2460195172059558E-2</v>
      </c>
      <c r="G115" s="187">
        <v>25289.9</v>
      </c>
      <c r="H115" s="146">
        <f t="shared" si="9"/>
        <v>5.2628440822817257E-3</v>
      </c>
    </row>
    <row r="116" spans="4:12" ht="15.6" x14ac:dyDescent="0.3">
      <c r="D116" s="145">
        <v>46043</v>
      </c>
      <c r="E116" s="187">
        <v>486.75</v>
      </c>
      <c r="F116" s="146">
        <f t="shared" si="8"/>
        <v>-1.7262265293761403E-2</v>
      </c>
      <c r="G116" s="187">
        <v>25157.5</v>
      </c>
      <c r="H116" s="146">
        <f t="shared" si="9"/>
        <v>-2.9723570791637677E-3</v>
      </c>
    </row>
    <row r="117" spans="4:12" ht="15.6" x14ac:dyDescent="0.3">
      <c r="D117" s="145">
        <v>46042</v>
      </c>
      <c r="E117" s="187">
        <v>495.3</v>
      </c>
      <c r="F117" s="146">
        <f t="shared" si="8"/>
        <v>-1.3739545997610514E-2</v>
      </c>
      <c r="G117" s="187">
        <v>25232.5</v>
      </c>
      <c r="H117" s="146">
        <f t="shared" si="9"/>
        <v>-1.3796877137441155E-2</v>
      </c>
    </row>
    <row r="118" spans="4:12" ht="15.6" x14ac:dyDescent="0.3">
      <c r="D118" s="145">
        <v>46041</v>
      </c>
      <c r="E118" s="187">
        <v>502.2</v>
      </c>
      <c r="F118" s="146">
        <f t="shared" si="8"/>
        <v>-6.5281899109792541E-3</v>
      </c>
      <c r="G118" s="187">
        <v>25585.5</v>
      </c>
      <c r="H118" s="146">
        <f t="shared" si="9"/>
        <v>-4.2363398957357967E-3</v>
      </c>
    </row>
    <row r="119" spans="4:12" ht="15.6" x14ac:dyDescent="0.3">
      <c r="D119" s="145">
        <v>46038</v>
      </c>
      <c r="E119" s="187">
        <v>505.5</v>
      </c>
      <c r="F119" s="146">
        <f t="shared" si="8"/>
        <v>7.0724175714713677E-3</v>
      </c>
      <c r="G119" s="187">
        <v>25694.35</v>
      </c>
      <c r="H119" s="146">
        <f t="shared" si="9"/>
        <v>1.1201764229162858E-3</v>
      </c>
    </row>
    <row r="120" spans="4:12" ht="15.6" x14ac:dyDescent="0.3">
      <c r="D120" s="145">
        <v>46036</v>
      </c>
      <c r="E120" s="187">
        <v>501.95</v>
      </c>
      <c r="F120" s="146">
        <f t="shared" si="8"/>
        <v>-1.6844579375183688E-2</v>
      </c>
      <c r="G120" s="187">
        <v>25665.599999999999</v>
      </c>
      <c r="H120" s="146">
        <f t="shared" si="9"/>
        <v>-2.5920729977498835E-3</v>
      </c>
      <c r="J120" s="16"/>
      <c r="K120" s="16"/>
      <c r="L120" s="16"/>
    </row>
    <row r="121" spans="4:12" ht="15.6" x14ac:dyDescent="0.3">
      <c r="D121" s="145">
        <v>46035</v>
      </c>
      <c r="E121" s="187">
        <v>510.55</v>
      </c>
      <c r="F121" s="146">
        <f t="shared" si="8"/>
        <v>-4.1934854690852674E-3</v>
      </c>
      <c r="G121" s="187">
        <v>25732.3</v>
      </c>
      <c r="H121" s="146">
        <f t="shared" si="9"/>
        <v>-2.2469731778482771E-3</v>
      </c>
    </row>
    <row r="122" spans="4:12" ht="15.6" x14ac:dyDescent="0.3">
      <c r="D122" s="145">
        <v>46034</v>
      </c>
      <c r="E122" s="187">
        <v>512.70000000000005</v>
      </c>
      <c r="F122" s="146">
        <f t="shared" si="8"/>
        <v>9.2519685039371691E-3</v>
      </c>
      <c r="G122" s="187">
        <v>25790.25</v>
      </c>
      <c r="H122" s="146">
        <f t="shared" si="9"/>
        <v>4.164184509000135E-3</v>
      </c>
    </row>
    <row r="123" spans="4:12" ht="15.6" x14ac:dyDescent="0.3">
      <c r="D123" s="145">
        <v>46031</v>
      </c>
      <c r="E123" s="187">
        <v>508</v>
      </c>
      <c r="F123" s="146">
        <f t="shared" si="8"/>
        <v>-1.5599263637244398E-2</v>
      </c>
      <c r="G123" s="187">
        <v>25683.3</v>
      </c>
      <c r="H123" s="146">
        <f t="shared" si="9"/>
        <v>-7.4796584592019544E-3</v>
      </c>
      <c r="L123" s="1"/>
    </row>
    <row r="124" spans="4:12" ht="15.6" x14ac:dyDescent="0.3">
      <c r="D124" s="145">
        <v>46030</v>
      </c>
      <c r="E124" s="187">
        <v>516.04999999999995</v>
      </c>
      <c r="F124" s="146">
        <f t="shared" si="8"/>
        <v>-1.9568728032677951E-2</v>
      </c>
      <c r="G124" s="187">
        <v>25876.85</v>
      </c>
      <c r="H124" s="146">
        <f t="shared" si="9"/>
        <v>-1.0095349215305638E-2</v>
      </c>
    </row>
    <row r="125" spans="4:12" ht="15.6" x14ac:dyDescent="0.3">
      <c r="D125" s="145">
        <v>46029</v>
      </c>
      <c r="E125" s="187">
        <v>526.35</v>
      </c>
      <c r="F125" s="146">
        <f t="shared" si="8"/>
        <v>8.7198160214643217E-3</v>
      </c>
      <c r="G125" s="187">
        <v>26140.75</v>
      </c>
      <c r="H125" s="146">
        <f t="shared" si="9"/>
        <v>-1.4496518161711824E-3</v>
      </c>
    </row>
    <row r="126" spans="4:12" ht="15.6" x14ac:dyDescent="0.3">
      <c r="D126" s="145">
        <v>46028</v>
      </c>
      <c r="E126" s="187">
        <v>521.79999999999995</v>
      </c>
      <c r="F126" s="146">
        <f t="shared" si="8"/>
        <v>-9.5852709499858468E-3</v>
      </c>
      <c r="G126" s="187">
        <v>26178.7</v>
      </c>
      <c r="H126" s="146">
        <f t="shared" si="9"/>
        <v>-2.7275878751861216E-3</v>
      </c>
    </row>
    <row r="127" spans="4:12" ht="15.6" x14ac:dyDescent="0.3">
      <c r="D127" s="145">
        <v>46027</v>
      </c>
      <c r="E127" s="187">
        <v>526.85</v>
      </c>
      <c r="F127" s="146">
        <f t="shared" si="8"/>
        <v>8.2288776193666369E-3</v>
      </c>
      <c r="G127" s="187">
        <v>26250.3</v>
      </c>
      <c r="H127" s="146">
        <f t="shared" si="9"/>
        <v>-2.9720588486642496E-3</v>
      </c>
    </row>
    <row r="128" spans="4:12" ht="15.6" x14ac:dyDescent="0.3">
      <c r="D128" s="145">
        <v>46024</v>
      </c>
      <c r="E128" s="187">
        <v>522.54999999999995</v>
      </c>
      <c r="F128" s="146">
        <f t="shared" si="8"/>
        <v>-4.5718639870465649E-3</v>
      </c>
      <c r="G128" s="187">
        <v>26328.55</v>
      </c>
      <c r="H128" s="146">
        <f t="shared" si="9"/>
        <v>6.9607653782239876E-3</v>
      </c>
    </row>
    <row r="129" spans="3:18" ht="15.6" x14ac:dyDescent="0.3">
      <c r="D129" s="145">
        <v>46023</v>
      </c>
      <c r="E129" s="187">
        <v>524.95000000000005</v>
      </c>
      <c r="F129" s="146">
        <f t="shared" si="8"/>
        <v>-6.9050321604237075E-3</v>
      </c>
      <c r="G129" s="187">
        <v>26146.55</v>
      </c>
      <c r="H129" s="146">
        <f t="shared" si="9"/>
        <v>6.4868960871966586E-4</v>
      </c>
    </row>
    <row r="130" spans="3:18" ht="15.6" x14ac:dyDescent="0.3">
      <c r="D130" s="145">
        <v>46022</v>
      </c>
      <c r="E130" s="187">
        <v>528.6</v>
      </c>
      <c r="F130" s="146">
        <f t="shared" si="8"/>
        <v>8.5203067310435365E-4</v>
      </c>
      <c r="G130" s="187">
        <v>26129.599999999999</v>
      </c>
      <c r="H130" s="146">
        <f t="shared" si="9"/>
        <v>7.3538341136942798E-3</v>
      </c>
    </row>
    <row r="131" spans="3:18" ht="15.6" x14ac:dyDescent="0.3">
      <c r="D131" s="145">
        <v>46021</v>
      </c>
      <c r="E131" s="187">
        <v>528.15</v>
      </c>
      <c r="F131" s="146">
        <f t="shared" si="8"/>
        <v>-7.6099210822999641E-3</v>
      </c>
      <c r="G131" s="187">
        <v>25938.85</v>
      </c>
      <c r="H131" s="146">
        <f t="shared" si="9"/>
        <v>-1.2527898666647719E-4</v>
      </c>
    </row>
    <row r="132" spans="3:18" ht="15.6" x14ac:dyDescent="0.3">
      <c r="D132" s="145">
        <v>46020</v>
      </c>
      <c r="E132" s="187">
        <v>532.20000000000005</v>
      </c>
      <c r="F132" s="146">
        <f t="shared" si="8"/>
        <v>3.4000388575869511E-2</v>
      </c>
      <c r="G132" s="187">
        <v>25942.1</v>
      </c>
      <c r="H132" s="146">
        <f t="shared" si="9"/>
        <v>-3.8475864266981352E-3</v>
      </c>
      <c r="J132" s="16"/>
      <c r="K132" s="16"/>
      <c r="L132" s="16"/>
    </row>
    <row r="133" spans="3:18" ht="15.6" x14ac:dyDescent="0.3">
      <c r="D133" s="145">
        <v>46017</v>
      </c>
      <c r="E133" s="187">
        <v>514.70000000000005</v>
      </c>
      <c r="F133" s="146">
        <f t="shared" si="8"/>
        <v>-3.8707180181923873E-3</v>
      </c>
      <c r="G133" s="187">
        <v>26042.3</v>
      </c>
      <c r="H133" s="146">
        <f t="shared" si="9"/>
        <v>-3.8175969030797008E-3</v>
      </c>
      <c r="J133" s="16"/>
      <c r="K133" s="16"/>
      <c r="L133" s="16"/>
    </row>
    <row r="134" spans="3:18" ht="15.6" x14ac:dyDescent="0.3">
      <c r="C134" s="14"/>
      <c r="D134" s="145">
        <v>46015</v>
      </c>
      <c r="E134" s="187">
        <v>516.70000000000005</v>
      </c>
      <c r="F134" s="146">
        <f t="shared" si="8"/>
        <v>-9.2992042948900622E-3</v>
      </c>
      <c r="G134" s="187">
        <v>26142.1</v>
      </c>
      <c r="H134" s="146">
        <f t="shared" si="9"/>
        <v>-1.3389540114184806E-3</v>
      </c>
    </row>
    <row r="135" spans="3:18" ht="15.6" x14ac:dyDescent="0.3">
      <c r="D135" s="145">
        <v>46014</v>
      </c>
      <c r="E135" s="187">
        <v>521.54999999999995</v>
      </c>
      <c r="F135" s="146">
        <f t="shared" si="8"/>
        <v>-4.1054038571702867E-3</v>
      </c>
      <c r="G135" s="187">
        <v>26177.15</v>
      </c>
      <c r="H135" s="146">
        <f t="shared" si="9"/>
        <v>1.8148889670044355E-4</v>
      </c>
    </row>
    <row r="136" spans="3:18" ht="15.6" x14ac:dyDescent="0.3">
      <c r="D136" s="145">
        <v>46013</v>
      </c>
      <c r="E136" s="187">
        <v>523.70000000000005</v>
      </c>
      <c r="F136" s="146">
        <f t="shared" si="8"/>
        <v>8.5700529610015508E-3</v>
      </c>
      <c r="G136" s="187">
        <v>26172.400000000001</v>
      </c>
      <c r="H136" s="146">
        <f t="shared" si="9"/>
        <v>7.9333292254606391E-3</v>
      </c>
    </row>
    <row r="137" spans="3:18" ht="15.6" x14ac:dyDescent="0.3">
      <c r="D137" s="145">
        <v>46010</v>
      </c>
      <c r="E137" s="187">
        <v>519.25</v>
      </c>
      <c r="F137" s="146">
        <f t="shared" si="8"/>
        <v>-1.5826383623957607E-2</v>
      </c>
      <c r="G137" s="187">
        <v>25966.400000000001</v>
      </c>
      <c r="H137" s="146">
        <f t="shared" si="9"/>
        <v>5.8433773442752024E-3</v>
      </c>
      <c r="N137" s="15"/>
      <c r="O137" s="15"/>
      <c r="P137" s="15"/>
      <c r="Q137" s="15"/>
      <c r="R137" s="15"/>
    </row>
    <row r="138" spans="3:18" ht="15.6" x14ac:dyDescent="0.3">
      <c r="D138" s="145">
        <v>46009</v>
      </c>
      <c r="E138" s="187">
        <v>527.6</v>
      </c>
      <c r="F138" s="146">
        <f t="shared" si="8"/>
        <v>-1.8601190476190466E-2</v>
      </c>
      <c r="G138" s="187">
        <v>25815.55</v>
      </c>
      <c r="H138" s="146">
        <f t="shared" si="9"/>
        <v>-1.1619552608488348E-4</v>
      </c>
    </row>
    <row r="139" spans="3:18" ht="15.6" x14ac:dyDescent="0.3">
      <c r="D139" s="145">
        <v>46008</v>
      </c>
      <c r="E139" s="187">
        <v>537.6</v>
      </c>
      <c r="F139" s="146">
        <f t="shared" si="8"/>
        <v>-8.7581819858024712E-3</v>
      </c>
      <c r="G139" s="187">
        <v>25818.55</v>
      </c>
      <c r="H139" s="146">
        <f t="shared" si="9"/>
        <v>-1.6067223251263751E-3</v>
      </c>
    </row>
    <row r="140" spans="3:18" ht="15.6" x14ac:dyDescent="0.3">
      <c r="D140" s="145">
        <v>46007</v>
      </c>
      <c r="E140" s="187">
        <v>542.35</v>
      </c>
      <c r="F140" s="146">
        <f t="shared" si="8"/>
        <v>-6.2299587723315675E-3</v>
      </c>
      <c r="G140" s="187">
        <v>25860.1</v>
      </c>
      <c r="H140" s="146">
        <f t="shared" si="9"/>
        <v>-6.4240240055634112E-3</v>
      </c>
      <c r="J140" s="16"/>
      <c r="K140" s="16"/>
      <c r="L140" s="16"/>
    </row>
    <row r="141" spans="3:18" ht="15.6" x14ac:dyDescent="0.3">
      <c r="D141" s="145">
        <v>46006</v>
      </c>
      <c r="E141" s="187">
        <v>545.75</v>
      </c>
      <c r="F141" s="146">
        <f t="shared" si="8"/>
        <v>1.1491057362617019E-2</v>
      </c>
      <c r="G141" s="187">
        <v>26027.3</v>
      </c>
      <c r="H141" s="146">
        <f t="shared" si="9"/>
        <v>-7.5440694591888402E-4</v>
      </c>
    </row>
    <row r="142" spans="3:18" ht="15.6" x14ac:dyDescent="0.3">
      <c r="D142" s="145">
        <v>46003</v>
      </c>
      <c r="E142" s="187">
        <v>539.54999999999995</v>
      </c>
      <c r="F142" s="146">
        <f t="shared" si="8"/>
        <v>1.6293087210397461E-2</v>
      </c>
      <c r="G142" s="187">
        <v>26046.95</v>
      </c>
      <c r="H142" s="146">
        <f t="shared" si="9"/>
        <v>5.7300505240640565E-3</v>
      </c>
    </row>
    <row r="143" spans="3:18" ht="15.6" x14ac:dyDescent="0.3">
      <c r="D143" s="145">
        <v>46002</v>
      </c>
      <c r="E143" s="187">
        <v>530.9</v>
      </c>
      <c r="F143" s="146">
        <f t="shared" si="8"/>
        <v>9.4115410210093842E-3</v>
      </c>
      <c r="G143" s="187">
        <v>25898.55</v>
      </c>
      <c r="H143" s="146">
        <f t="shared" si="9"/>
        <v>5.4565571861169282E-3</v>
      </c>
    </row>
    <row r="144" spans="3:18" ht="15.6" x14ac:dyDescent="0.3">
      <c r="D144" s="145">
        <v>46001</v>
      </c>
      <c r="E144" s="187">
        <v>525.95000000000005</v>
      </c>
      <c r="F144" s="146">
        <f t="shared" si="8"/>
        <v>1.1928811928812122E-2</v>
      </c>
      <c r="G144" s="187">
        <v>25758</v>
      </c>
      <c r="H144" s="146">
        <f t="shared" si="9"/>
        <v>-3.15987252149319E-3</v>
      </c>
    </row>
    <row r="145" spans="4:12" ht="15.6" x14ac:dyDescent="0.3">
      <c r="D145" s="145">
        <v>46000</v>
      </c>
      <c r="E145" s="187">
        <v>519.75</v>
      </c>
      <c r="F145" s="146">
        <f t="shared" si="8"/>
        <v>-5.1679586563307955E-3</v>
      </c>
      <c r="G145" s="187">
        <v>25839.65</v>
      </c>
      <c r="H145" s="146">
        <f t="shared" si="9"/>
        <v>-4.6570662023723841E-3</v>
      </c>
    </row>
    <row r="146" spans="4:12" ht="15.6" x14ac:dyDescent="0.3">
      <c r="D146" s="145">
        <v>45999</v>
      </c>
      <c r="E146" s="187">
        <v>522.45000000000005</v>
      </c>
      <c r="F146" s="146">
        <f t="shared" si="8"/>
        <v>-5.4254711593373361E-3</v>
      </c>
      <c r="G146" s="187">
        <v>25960.55</v>
      </c>
      <c r="H146" s="146">
        <f t="shared" si="9"/>
        <v>-8.626598870790092E-3</v>
      </c>
    </row>
    <row r="147" spans="4:12" ht="15.6" x14ac:dyDescent="0.3">
      <c r="D147" s="145">
        <v>45996</v>
      </c>
      <c r="E147" s="187">
        <v>525.29999999999995</v>
      </c>
      <c r="F147" s="146">
        <f t="shared" si="8"/>
        <v>1.6939308876197767E-2</v>
      </c>
      <c r="G147" s="187">
        <v>26186.45</v>
      </c>
      <c r="H147" s="146">
        <f t="shared" si="9"/>
        <v>5.8654631007826197E-3</v>
      </c>
    </row>
    <row r="148" spans="4:12" ht="15.6" x14ac:dyDescent="0.3">
      <c r="D148" s="145">
        <v>45995</v>
      </c>
      <c r="E148" s="187">
        <v>516.54999999999995</v>
      </c>
      <c r="F148" s="146">
        <f t="shared" si="8"/>
        <v>-8.1605222734254523E-3</v>
      </c>
      <c r="G148" s="187">
        <v>26033.75</v>
      </c>
      <c r="H148" s="146">
        <f t="shared" si="9"/>
        <v>1.8375278996383138E-3</v>
      </c>
    </row>
    <row r="149" spans="4:12" ht="15.6" x14ac:dyDescent="0.3">
      <c r="D149" s="145">
        <v>45994</v>
      </c>
      <c r="E149" s="187">
        <v>520.79999999999995</v>
      </c>
      <c r="F149" s="146">
        <f t="shared" si="8"/>
        <v>-2.2988505747126853E-3</v>
      </c>
      <c r="G149" s="187">
        <v>25986</v>
      </c>
      <c r="H149" s="146">
        <f t="shared" si="9"/>
        <v>-1.7747251480858539E-3</v>
      </c>
      <c r="J149" s="16"/>
      <c r="K149" s="16"/>
      <c r="L149" s="16"/>
    </row>
    <row r="150" spans="4:12" ht="15.6" x14ac:dyDescent="0.3">
      <c r="D150" s="145">
        <v>45993</v>
      </c>
      <c r="E150" s="187">
        <v>522</v>
      </c>
      <c r="F150" s="146">
        <f t="shared" si="8"/>
        <v>-7.0382347346396035E-3</v>
      </c>
      <c r="G150" s="187">
        <v>26032.2</v>
      </c>
      <c r="H150" s="146">
        <f t="shared" si="9"/>
        <v>-5.4840835506145824E-3</v>
      </c>
    </row>
    <row r="151" spans="4:12" ht="15.6" x14ac:dyDescent="0.3">
      <c r="D151" s="145">
        <v>45992</v>
      </c>
      <c r="E151" s="187">
        <v>525.70000000000005</v>
      </c>
      <c r="F151" s="146">
        <f t="shared" si="8"/>
        <v>-9.0480678605088238E-3</v>
      </c>
      <c r="G151" s="187">
        <v>26175.75</v>
      </c>
      <c r="H151" s="146">
        <f t="shared" si="9"/>
        <v>-1.0380510591364578E-3</v>
      </c>
    </row>
    <row r="152" spans="4:12" ht="15.6" x14ac:dyDescent="0.3">
      <c r="D152" s="145">
        <v>45989</v>
      </c>
      <c r="E152" s="187">
        <v>530.5</v>
      </c>
      <c r="F152" s="146">
        <f t="shared" si="8"/>
        <v>5.115574081091312E-3</v>
      </c>
      <c r="G152" s="187">
        <v>26202.95</v>
      </c>
      <c r="H152" s="146">
        <f t="shared" si="9"/>
        <v>-4.806307706685109E-4</v>
      </c>
    </row>
    <row r="153" spans="4:12" ht="15.6" x14ac:dyDescent="0.3">
      <c r="D153" s="145">
        <v>45988</v>
      </c>
      <c r="E153" s="187">
        <v>527.79999999999995</v>
      </c>
      <c r="F153" s="146">
        <f t="shared" si="8"/>
        <v>2.6748370781052522E-2</v>
      </c>
      <c r="G153" s="187">
        <v>26215.55</v>
      </c>
      <c r="H153" s="146">
        <f t="shared" si="9"/>
        <v>3.9114224985015156E-4</v>
      </c>
    </row>
    <row r="154" spans="4:12" ht="15.6" x14ac:dyDescent="0.3">
      <c r="D154" s="145">
        <v>45987</v>
      </c>
      <c r="E154" s="187">
        <v>514.04999999999995</v>
      </c>
      <c r="F154" s="146">
        <f t="shared" si="8"/>
        <v>-2.9095141111434852E-3</v>
      </c>
      <c r="G154" s="187">
        <v>26205.3</v>
      </c>
      <c r="H154" s="146">
        <f t="shared" si="9"/>
        <v>1.238178390406719E-2</v>
      </c>
      <c r="L154" s="1"/>
    </row>
    <row r="155" spans="4:12" ht="15.6" x14ac:dyDescent="0.3">
      <c r="D155" s="145">
        <v>45986</v>
      </c>
      <c r="E155" s="187">
        <v>515.54999999999995</v>
      </c>
      <c r="F155" s="146">
        <f t="shared" ref="F155:F218" si="10">E155/E156-1</f>
        <v>1.7265193370165743E-2</v>
      </c>
      <c r="G155" s="187">
        <v>25884.799999999999</v>
      </c>
      <c r="H155" s="146">
        <f t="shared" ref="H155:H218" si="11">G155/G156-1</f>
        <v>-2.8775592750245327E-3</v>
      </c>
    </row>
    <row r="156" spans="4:12" ht="15.6" x14ac:dyDescent="0.3">
      <c r="D156" s="145">
        <v>45985</v>
      </c>
      <c r="E156" s="187">
        <v>506.8</v>
      </c>
      <c r="F156" s="146">
        <f t="shared" si="10"/>
        <v>-1.2663159945450864E-2</v>
      </c>
      <c r="G156" s="187">
        <v>25959.5</v>
      </c>
      <c r="H156" s="146">
        <f t="shared" si="11"/>
        <v>-4.1679213906625767E-3</v>
      </c>
    </row>
    <row r="157" spans="4:12" ht="15.6" x14ac:dyDescent="0.3">
      <c r="D157" s="145">
        <v>45982</v>
      </c>
      <c r="E157" s="187">
        <v>513.29999999999995</v>
      </c>
      <c r="F157" s="146">
        <f t="shared" si="10"/>
        <v>-1.1363636363636576E-2</v>
      </c>
      <c r="G157" s="187">
        <v>26068.15</v>
      </c>
      <c r="H157" s="146">
        <f t="shared" si="11"/>
        <v>-4.7342428933859759E-3</v>
      </c>
    </row>
    <row r="158" spans="4:12" ht="15.6" x14ac:dyDescent="0.3">
      <c r="D158" s="145">
        <v>45981</v>
      </c>
      <c r="E158" s="187">
        <v>519.20000000000005</v>
      </c>
      <c r="F158" s="146">
        <f t="shared" si="10"/>
        <v>1.5848170612404733E-2</v>
      </c>
      <c r="G158" s="187">
        <v>26192.15</v>
      </c>
      <c r="H158" s="146">
        <f t="shared" si="11"/>
        <v>5.3545416685059077E-3</v>
      </c>
    </row>
    <row r="159" spans="4:12" ht="15.6" x14ac:dyDescent="0.3">
      <c r="D159" s="145">
        <v>45980</v>
      </c>
      <c r="E159" s="187">
        <v>511.1</v>
      </c>
      <c r="F159" s="146">
        <f t="shared" si="10"/>
        <v>-1.5600924499229674E-2</v>
      </c>
      <c r="G159" s="187">
        <v>26052.65</v>
      </c>
      <c r="H159" s="146">
        <f t="shared" si="11"/>
        <v>5.5036559172985111E-3</v>
      </c>
    </row>
    <row r="160" spans="4:12" ht="15.6" x14ac:dyDescent="0.3">
      <c r="D160" s="145">
        <v>45979</v>
      </c>
      <c r="E160" s="187">
        <v>519.20000000000005</v>
      </c>
      <c r="F160" s="146">
        <f t="shared" si="10"/>
        <v>-5.6497175141241307E-3</v>
      </c>
      <c r="G160" s="187">
        <v>25910.05</v>
      </c>
      <c r="H160" s="146">
        <f t="shared" si="11"/>
        <v>-3.9748668477268545E-3</v>
      </c>
    </row>
    <row r="161" spans="2:12" ht="15.6" x14ac:dyDescent="0.3">
      <c r="D161" s="145">
        <v>45978</v>
      </c>
      <c r="E161" s="187">
        <v>522.15</v>
      </c>
      <c r="F161" s="146">
        <f t="shared" si="10"/>
        <v>3.4592101470163339E-3</v>
      </c>
      <c r="G161" s="187">
        <v>26013.45</v>
      </c>
      <c r="H161" s="146">
        <f t="shared" si="11"/>
        <v>3.9907294659795589E-3</v>
      </c>
      <c r="J161" s="16"/>
      <c r="K161" s="16"/>
      <c r="L161" s="16"/>
    </row>
    <row r="162" spans="2:12" ht="15.6" x14ac:dyDescent="0.3">
      <c r="D162" s="145">
        <v>45975</v>
      </c>
      <c r="E162" s="187">
        <v>520.35</v>
      </c>
      <c r="F162" s="146">
        <f t="shared" si="10"/>
        <v>-3.5427039448487907E-3</v>
      </c>
      <c r="G162" s="187">
        <v>25910.05</v>
      </c>
      <c r="H162" s="146">
        <f t="shared" si="11"/>
        <v>1.194011395273753E-3</v>
      </c>
      <c r="J162" s="16"/>
      <c r="K162" s="16"/>
      <c r="L162" s="16"/>
    </row>
    <row r="163" spans="2:12" ht="15.6" x14ac:dyDescent="0.3">
      <c r="D163" s="145">
        <v>45974</v>
      </c>
      <c r="E163" s="187">
        <v>522.20000000000005</v>
      </c>
      <c r="F163" s="146">
        <f t="shared" si="10"/>
        <v>-7.6959619952493563E-3</v>
      </c>
      <c r="G163" s="187">
        <v>25879.15</v>
      </c>
      <c r="H163" s="146">
        <f t="shared" si="11"/>
        <v>1.2946459626372864E-4</v>
      </c>
    </row>
    <row r="164" spans="2:12" ht="15.6" x14ac:dyDescent="0.3">
      <c r="D164" s="145">
        <v>45973</v>
      </c>
      <c r="E164" s="187">
        <v>526.25</v>
      </c>
      <c r="F164" s="146">
        <f t="shared" si="10"/>
        <v>1.5225045199351861E-3</v>
      </c>
      <c r="G164" s="187">
        <v>25875.8</v>
      </c>
      <c r="H164" s="146">
        <f t="shared" si="11"/>
        <v>7.0383480022337963E-3</v>
      </c>
    </row>
    <row r="165" spans="2:12" ht="15.6" x14ac:dyDescent="0.3">
      <c r="D165" s="145">
        <v>45972</v>
      </c>
      <c r="E165" s="187">
        <v>525.45000000000005</v>
      </c>
      <c r="F165" s="146">
        <f t="shared" si="10"/>
        <v>-5.706134094149995E-4</v>
      </c>
      <c r="G165" s="187">
        <v>25694.95</v>
      </c>
      <c r="H165" s="146">
        <f t="shared" si="11"/>
        <v>4.7156623726507529E-3</v>
      </c>
    </row>
    <row r="166" spans="2:12" ht="18" x14ac:dyDescent="0.35">
      <c r="B166" s="10"/>
      <c r="D166" s="145">
        <v>45971</v>
      </c>
      <c r="E166" s="187">
        <v>525.75</v>
      </c>
      <c r="F166" s="146">
        <f t="shared" si="10"/>
        <v>2.26609609025481E-2</v>
      </c>
      <c r="G166" s="187">
        <v>25574.35</v>
      </c>
      <c r="H166" s="146">
        <f t="shared" si="11"/>
        <v>3.2186189555276634E-3</v>
      </c>
    </row>
    <row r="167" spans="2:12" ht="15.6" x14ac:dyDescent="0.3">
      <c r="C167" s="14"/>
      <c r="D167" s="145">
        <v>45968</v>
      </c>
      <c r="E167" s="187">
        <v>514.1</v>
      </c>
      <c r="F167" s="146">
        <f t="shared" si="10"/>
        <v>-1.7017208413001916E-2</v>
      </c>
      <c r="G167" s="187">
        <v>25492.3</v>
      </c>
      <c r="H167" s="146">
        <f t="shared" si="11"/>
        <v>-6.8209347816716726E-4</v>
      </c>
    </row>
    <row r="168" spans="2:12" ht="15.6" x14ac:dyDescent="0.3">
      <c r="D168" s="145">
        <v>45967</v>
      </c>
      <c r="E168" s="187">
        <v>523</v>
      </c>
      <c r="F168" s="146">
        <f t="shared" si="10"/>
        <v>-2.7157738095238138E-2</v>
      </c>
      <c r="G168" s="187">
        <v>25509.7</v>
      </c>
      <c r="H168" s="146">
        <f t="shared" si="11"/>
        <v>-3.4358622764198987E-3</v>
      </c>
    </row>
    <row r="169" spans="2:12" ht="15.6" x14ac:dyDescent="0.3">
      <c r="D169" s="145">
        <v>45965</v>
      </c>
      <c r="E169" s="187">
        <v>537.6</v>
      </c>
      <c r="F169" s="146">
        <f t="shared" si="10"/>
        <v>7.307476110174127E-3</v>
      </c>
      <c r="G169" s="187">
        <v>25597.65</v>
      </c>
      <c r="H169" s="146">
        <f t="shared" si="11"/>
        <v>-6.4316170063286604E-3</v>
      </c>
    </row>
    <row r="170" spans="2:12" ht="15.6" x14ac:dyDescent="0.3">
      <c r="D170" s="145">
        <v>45964</v>
      </c>
      <c r="E170" s="187">
        <v>533.70000000000005</v>
      </c>
      <c r="F170" s="146">
        <f t="shared" si="10"/>
        <v>-1.3098802395208331E-3</v>
      </c>
      <c r="G170" s="187">
        <v>25763.35</v>
      </c>
      <c r="H170" s="146">
        <f t="shared" si="11"/>
        <v>1.6036793263380922E-3</v>
      </c>
    </row>
    <row r="171" spans="2:12" ht="15.6" x14ac:dyDescent="0.3">
      <c r="D171" s="145">
        <v>45961</v>
      </c>
      <c r="E171" s="187">
        <v>534.4</v>
      </c>
      <c r="F171" s="146">
        <f t="shared" si="10"/>
        <v>-1.5293900866040322E-2</v>
      </c>
      <c r="G171" s="187">
        <v>25722.1</v>
      </c>
      <c r="H171" s="146">
        <f t="shared" si="11"/>
        <v>-6.0186607465457787E-3</v>
      </c>
    </row>
    <row r="172" spans="2:12" ht="15.6" x14ac:dyDescent="0.3">
      <c r="D172" s="145">
        <v>45960</v>
      </c>
      <c r="E172" s="187">
        <v>542.70000000000005</v>
      </c>
      <c r="F172" s="146">
        <f t="shared" si="10"/>
        <v>-2.2980053313723658E-3</v>
      </c>
      <c r="G172" s="187">
        <v>25877.85</v>
      </c>
      <c r="H172" s="146">
        <f t="shared" si="11"/>
        <v>-6.7571457632064069E-3</v>
      </c>
    </row>
    <row r="173" spans="2:12" ht="15.6" x14ac:dyDescent="0.3">
      <c r="D173" s="145">
        <v>45959</v>
      </c>
      <c r="E173" s="187">
        <v>543.95000000000005</v>
      </c>
      <c r="F173" s="146">
        <f t="shared" si="10"/>
        <v>-1.2077733381765321E-2</v>
      </c>
      <c r="G173" s="187">
        <v>26053.9</v>
      </c>
      <c r="H173" s="146">
        <f t="shared" si="11"/>
        <v>4.5380587749941359E-3</v>
      </c>
    </row>
    <row r="174" spans="2:12" ht="15.6" x14ac:dyDescent="0.3">
      <c r="D174" s="145">
        <v>45958</v>
      </c>
      <c r="E174" s="187">
        <v>550.6</v>
      </c>
      <c r="F174" s="146">
        <f t="shared" si="10"/>
        <v>1.0553363311003094E-2</v>
      </c>
      <c r="G174" s="187">
        <v>25936.2</v>
      </c>
      <c r="H174" s="146">
        <f t="shared" si="11"/>
        <v>-1.1495780066663741E-3</v>
      </c>
    </row>
    <row r="175" spans="2:12" ht="15.6" x14ac:dyDescent="0.3">
      <c r="D175" s="145">
        <v>45957</v>
      </c>
      <c r="E175" s="187">
        <v>544.85</v>
      </c>
      <c r="F175" s="146">
        <f t="shared" si="10"/>
        <v>3.6720829890768414E-4</v>
      </c>
      <c r="G175" s="187">
        <v>25966.05</v>
      </c>
      <c r="H175" s="146">
        <f t="shared" si="11"/>
        <v>6.6252764570082778E-3</v>
      </c>
    </row>
    <row r="176" spans="2:12" ht="15.6" x14ac:dyDescent="0.3">
      <c r="D176" s="145">
        <v>45954</v>
      </c>
      <c r="E176" s="187">
        <v>544.65</v>
      </c>
      <c r="F176" s="146">
        <f t="shared" si="10"/>
        <v>-3.5675082327113472E-3</v>
      </c>
      <c r="G176" s="187">
        <v>25795.15</v>
      </c>
      <c r="H176" s="146">
        <f t="shared" si="11"/>
        <v>-3.7174505820465331E-3</v>
      </c>
    </row>
    <row r="177" spans="4:13" ht="15.6" x14ac:dyDescent="0.3">
      <c r="D177" s="145">
        <v>45953</v>
      </c>
      <c r="E177" s="187">
        <v>546.6</v>
      </c>
      <c r="F177" s="146">
        <f t="shared" si="10"/>
        <v>4.7794117647059764E-3</v>
      </c>
      <c r="G177" s="187">
        <v>25891.4</v>
      </c>
      <c r="H177" s="146">
        <f t="shared" si="11"/>
        <v>8.8137742282157205E-4</v>
      </c>
    </row>
    <row r="178" spans="4:13" ht="15.6" x14ac:dyDescent="0.3">
      <c r="D178" s="145">
        <v>45951</v>
      </c>
      <c r="E178" s="187">
        <v>544</v>
      </c>
      <c r="F178" s="146">
        <f t="shared" si="10"/>
        <v>4.7095761381474865E-3</v>
      </c>
      <c r="G178" s="187">
        <v>25868.6</v>
      </c>
      <c r="H178" s="146">
        <f t="shared" si="11"/>
        <v>9.8478707123539344E-4</v>
      </c>
      <c r="J178" s="17"/>
      <c r="K178" s="17"/>
      <c r="L178" s="17"/>
    </row>
    <row r="179" spans="4:13" ht="15.6" x14ac:dyDescent="0.3">
      <c r="D179" s="145">
        <v>45950</v>
      </c>
      <c r="E179" s="187">
        <v>541.45000000000005</v>
      </c>
      <c r="F179" s="146">
        <f t="shared" si="10"/>
        <v>-1.8223028105167627E-2</v>
      </c>
      <c r="G179" s="187">
        <v>25843.15</v>
      </c>
      <c r="H179" s="146">
        <f t="shared" si="11"/>
        <v>5.1847832640019575E-3</v>
      </c>
    </row>
    <row r="180" spans="4:13" ht="15.6" x14ac:dyDescent="0.3">
      <c r="D180" s="145">
        <v>45947</v>
      </c>
      <c r="E180" s="187">
        <v>551.5</v>
      </c>
      <c r="F180" s="146">
        <f t="shared" si="10"/>
        <v>2.3286019111234735E-2</v>
      </c>
      <c r="G180" s="187">
        <v>25709.85</v>
      </c>
      <c r="H180" s="146">
        <f t="shared" si="11"/>
        <v>4.8680296889229702E-3</v>
      </c>
      <c r="J180" s="17"/>
    </row>
    <row r="181" spans="4:13" ht="15.6" x14ac:dyDescent="0.3">
      <c r="D181" s="145">
        <v>45946</v>
      </c>
      <c r="E181" s="187">
        <v>538.95000000000005</v>
      </c>
      <c r="F181" s="146">
        <f t="shared" si="10"/>
        <v>-2.5909132969371695E-3</v>
      </c>
      <c r="G181" s="187">
        <v>25585.3</v>
      </c>
      <c r="H181" s="146">
        <f t="shared" si="11"/>
        <v>1.0336228530360092E-2</v>
      </c>
      <c r="J181" s="17"/>
      <c r="K181" s="17"/>
      <c r="L181" s="18"/>
    </row>
    <row r="182" spans="4:13" ht="15.6" x14ac:dyDescent="0.3">
      <c r="D182" s="145">
        <v>45945</v>
      </c>
      <c r="E182" s="187">
        <v>540.35</v>
      </c>
      <c r="F182" s="146">
        <f t="shared" si="10"/>
        <v>1.5695488721804596E-2</v>
      </c>
      <c r="G182" s="187">
        <v>25323.55</v>
      </c>
      <c r="H182" s="146">
        <f t="shared" si="11"/>
        <v>7.0807898033444783E-3</v>
      </c>
      <c r="K182" s="17"/>
      <c r="L182" s="18"/>
    </row>
    <row r="183" spans="4:13" ht="15.6" x14ac:dyDescent="0.3">
      <c r="D183" s="145">
        <v>45944</v>
      </c>
      <c r="E183" s="187">
        <v>532</v>
      </c>
      <c r="F183" s="146">
        <f t="shared" si="10"/>
        <v>-9.0341808698891635E-3</v>
      </c>
      <c r="G183" s="187">
        <v>25145.5</v>
      </c>
      <c r="H183" s="146">
        <f t="shared" si="11"/>
        <v>-3.2444945664129587E-3</v>
      </c>
      <c r="K183" s="17"/>
      <c r="L183" s="18"/>
    </row>
    <row r="184" spans="4:13" ht="15.6" x14ac:dyDescent="0.3">
      <c r="D184" s="145">
        <v>45943</v>
      </c>
      <c r="E184" s="187">
        <v>536.85</v>
      </c>
      <c r="F184" s="146">
        <f t="shared" si="10"/>
        <v>-1.0232300884955636E-2</v>
      </c>
      <c r="G184" s="187">
        <v>25227.35</v>
      </c>
      <c r="H184" s="146">
        <f t="shared" si="11"/>
        <v>-2.2938183572701609E-3</v>
      </c>
      <c r="J184" s="17"/>
    </row>
    <row r="185" spans="4:13" ht="15.6" x14ac:dyDescent="0.3">
      <c r="D185" s="145">
        <v>45940</v>
      </c>
      <c r="E185" s="187">
        <v>542.4</v>
      </c>
      <c r="F185" s="146">
        <f t="shared" si="10"/>
        <v>1.2922281705740613E-3</v>
      </c>
      <c r="G185" s="187">
        <v>25285.35</v>
      </c>
      <c r="H185" s="146">
        <f t="shared" si="11"/>
        <v>4.1120968318388851E-3</v>
      </c>
      <c r="J185" s="17"/>
      <c r="K185" s="18"/>
      <c r="L185" s="17"/>
    </row>
    <row r="186" spans="4:13" ht="15.6" x14ac:dyDescent="0.3">
      <c r="D186" s="145">
        <v>45939</v>
      </c>
      <c r="E186" s="187">
        <v>541.70000000000005</v>
      </c>
      <c r="F186" s="146">
        <f t="shared" si="10"/>
        <v>-4.7767775124011314E-3</v>
      </c>
      <c r="G186" s="187">
        <v>25181.8</v>
      </c>
      <c r="H186" s="146">
        <f t="shared" si="11"/>
        <v>5.4160020601967673E-3</v>
      </c>
      <c r="K186" s="18"/>
      <c r="L186" s="18"/>
    </row>
    <row r="187" spans="4:13" ht="15.6" x14ac:dyDescent="0.3">
      <c r="D187" s="145">
        <v>45938</v>
      </c>
      <c r="E187" s="187">
        <v>544.29999999999995</v>
      </c>
      <c r="F187" s="146">
        <f t="shared" si="10"/>
        <v>-1.3681253963939599E-2</v>
      </c>
      <c r="G187" s="187">
        <v>25046.15</v>
      </c>
      <c r="H187" s="146">
        <f t="shared" si="11"/>
        <v>-2.4752770996043783E-3</v>
      </c>
      <c r="J187" s="17"/>
      <c r="L187" s="17"/>
    </row>
    <row r="188" spans="4:13" ht="15.6" x14ac:dyDescent="0.3">
      <c r="D188" s="145">
        <v>45937</v>
      </c>
      <c r="E188" s="187">
        <v>551.85</v>
      </c>
      <c r="F188" s="146">
        <f t="shared" si="10"/>
        <v>-1.093287929025899E-2</v>
      </c>
      <c r="G188" s="187">
        <v>25108.3</v>
      </c>
      <c r="H188" s="146">
        <f t="shared" si="11"/>
        <v>1.222203834888802E-3</v>
      </c>
      <c r="J188" s="16"/>
      <c r="K188" s="16"/>
      <c r="L188" s="16"/>
      <c r="M188" s="16"/>
    </row>
    <row r="189" spans="4:13" ht="15.6" x14ac:dyDescent="0.3">
      <c r="D189" s="145">
        <v>45936</v>
      </c>
      <c r="E189" s="187">
        <v>557.95000000000005</v>
      </c>
      <c r="F189" s="146">
        <f t="shared" si="10"/>
        <v>1.344110435019541E-2</v>
      </c>
      <c r="G189" s="187">
        <v>25077.65</v>
      </c>
      <c r="H189" s="146">
        <f t="shared" si="11"/>
        <v>7.3671630999125881E-3</v>
      </c>
    </row>
    <row r="190" spans="4:13" ht="15.6" x14ac:dyDescent="0.3">
      <c r="D190" s="145">
        <v>45933</v>
      </c>
      <c r="E190" s="187">
        <v>550.54999999999995</v>
      </c>
      <c r="F190" s="146">
        <f t="shared" si="10"/>
        <v>1.5681210220459318E-2</v>
      </c>
      <c r="G190" s="187">
        <v>24894.25</v>
      </c>
      <c r="H190" s="146">
        <f t="shared" si="11"/>
        <v>2.3332783063501061E-3</v>
      </c>
    </row>
    <row r="191" spans="4:13" ht="15.6" x14ac:dyDescent="0.3">
      <c r="D191" s="145">
        <v>45931</v>
      </c>
      <c r="E191" s="187">
        <v>542.04999999999995</v>
      </c>
      <c r="F191" s="146">
        <f t="shared" si="10"/>
        <v>7.0599163957267841E-3</v>
      </c>
      <c r="G191" s="187">
        <v>24836.3</v>
      </c>
      <c r="H191" s="146">
        <f t="shared" si="11"/>
        <v>9.1503427315318131E-3</v>
      </c>
    </row>
    <row r="192" spans="4:13" ht="15.6" x14ac:dyDescent="0.3">
      <c r="D192" s="145">
        <v>45930</v>
      </c>
      <c r="E192" s="187">
        <v>538.25</v>
      </c>
      <c r="F192" s="146">
        <f t="shared" si="10"/>
        <v>-2.8078728782954032E-2</v>
      </c>
      <c r="G192" s="187">
        <v>24611.1</v>
      </c>
      <c r="H192" s="146">
        <f t="shared" si="11"/>
        <v>-9.6610905666361102E-4</v>
      </c>
    </row>
    <row r="193" spans="3:17" ht="15.6" x14ac:dyDescent="0.3">
      <c r="D193" s="145">
        <v>45929</v>
      </c>
      <c r="E193" s="187">
        <v>553.79999999999995</v>
      </c>
      <c r="F193" s="146">
        <f t="shared" si="10"/>
        <v>-7.2600161333693514E-3</v>
      </c>
      <c r="G193" s="187">
        <v>24634.9</v>
      </c>
      <c r="H193" s="146">
        <f t="shared" si="11"/>
        <v>-8.0309231099950917E-4</v>
      </c>
    </row>
    <row r="194" spans="3:17" ht="15.6" x14ac:dyDescent="0.3">
      <c r="D194" s="145">
        <v>45926</v>
      </c>
      <c r="E194" s="187">
        <v>557.85</v>
      </c>
      <c r="F194" s="146">
        <f t="shared" si="10"/>
        <v>-2.1315789473684177E-2</v>
      </c>
      <c r="G194" s="187">
        <v>24654.7</v>
      </c>
      <c r="H194" s="146">
        <f t="shared" si="11"/>
        <v>-9.4874220848222279E-3</v>
      </c>
    </row>
    <row r="195" spans="3:17" ht="15.6" x14ac:dyDescent="0.3">
      <c r="D195" s="145">
        <v>45925</v>
      </c>
      <c r="E195" s="187">
        <v>570</v>
      </c>
      <c r="F195" s="146">
        <f t="shared" si="10"/>
        <v>-1.3243313425084335E-2</v>
      </c>
      <c r="G195" s="187">
        <v>24890.85</v>
      </c>
      <c r="H195" s="146">
        <f t="shared" si="11"/>
        <v>-6.6269171365972435E-3</v>
      </c>
    </row>
    <row r="196" spans="3:17" ht="15.6" x14ac:dyDescent="0.3">
      <c r="D196" s="145">
        <v>45924</v>
      </c>
      <c r="E196" s="187">
        <v>577.65</v>
      </c>
      <c r="F196" s="146">
        <f t="shared" si="10"/>
        <v>1.907900442285948E-3</v>
      </c>
      <c r="G196" s="187">
        <v>25056.9</v>
      </c>
      <c r="H196" s="146">
        <f t="shared" si="11"/>
        <v>-4.4736685273842891E-3</v>
      </c>
    </row>
    <row r="197" spans="3:17" ht="15.6" x14ac:dyDescent="0.3">
      <c r="D197" s="145">
        <v>45923</v>
      </c>
      <c r="E197" s="187">
        <v>576.54999999999995</v>
      </c>
      <c r="F197" s="146">
        <f t="shared" si="10"/>
        <v>-1.0129624860503172E-2</v>
      </c>
      <c r="G197" s="187">
        <v>25169.5</v>
      </c>
      <c r="H197" s="146">
        <f t="shared" si="11"/>
        <v>-1.3034498766979485E-3</v>
      </c>
      <c r="J197" s="16"/>
      <c r="K197" s="16"/>
      <c r="L197" s="16"/>
    </row>
    <row r="198" spans="3:17" ht="15.6" x14ac:dyDescent="0.3">
      <c r="D198" s="145">
        <v>45922</v>
      </c>
      <c r="E198" s="187">
        <v>582.45000000000005</v>
      </c>
      <c r="F198" s="146">
        <f t="shared" si="10"/>
        <v>4.9171842650104214E-3</v>
      </c>
      <c r="G198" s="187">
        <v>25202.35</v>
      </c>
      <c r="H198" s="146">
        <f t="shared" si="11"/>
        <v>-4.9235896008418267E-3</v>
      </c>
      <c r="J198" s="16"/>
      <c r="K198" s="16"/>
      <c r="L198" s="16"/>
    </row>
    <row r="199" spans="3:17" ht="15.6" x14ac:dyDescent="0.3">
      <c r="D199" s="145">
        <v>45919</v>
      </c>
      <c r="E199" s="187">
        <v>579.6</v>
      </c>
      <c r="F199" s="146">
        <f t="shared" si="10"/>
        <v>-3.7369207772795177E-2</v>
      </c>
      <c r="G199" s="187">
        <v>25327.05</v>
      </c>
      <c r="H199" s="146">
        <f t="shared" si="11"/>
        <v>-3.7976525747730472E-3</v>
      </c>
    </row>
    <row r="200" spans="3:17" ht="15.6" x14ac:dyDescent="0.3">
      <c r="D200" s="145">
        <v>45918</v>
      </c>
      <c r="E200" s="187">
        <v>602.1</v>
      </c>
      <c r="F200" s="146">
        <f t="shared" si="10"/>
        <v>-1.9063406547865647E-3</v>
      </c>
      <c r="G200" s="187">
        <v>25423.599999999999</v>
      </c>
      <c r="H200" s="146">
        <f t="shared" si="11"/>
        <v>3.685316962919849E-3</v>
      </c>
      <c r="J200" s="16"/>
      <c r="K200" s="16"/>
      <c r="L200" s="16"/>
    </row>
    <row r="201" spans="3:17" ht="15.6" x14ac:dyDescent="0.3">
      <c r="D201" s="145">
        <v>45917</v>
      </c>
      <c r="E201" s="187">
        <v>603.25</v>
      </c>
      <c r="F201" s="146">
        <f t="shared" si="10"/>
        <v>1.6579623642543062E-4</v>
      </c>
      <c r="G201" s="187">
        <v>25330.25</v>
      </c>
      <c r="H201" s="146">
        <f t="shared" si="11"/>
        <v>3.6114599965926253E-3</v>
      </c>
    </row>
    <row r="202" spans="3:17" ht="15.6" x14ac:dyDescent="0.3">
      <c r="C202" s="14"/>
      <c r="D202" s="145">
        <v>45916</v>
      </c>
      <c r="E202" s="187">
        <v>603.15</v>
      </c>
      <c r="F202" s="146">
        <f t="shared" si="10"/>
        <v>5.75287643821909E-3</v>
      </c>
      <c r="G202" s="187">
        <v>25239.1</v>
      </c>
      <c r="H202" s="146">
        <f t="shared" si="11"/>
        <v>6.7772405980246475E-3</v>
      </c>
    </row>
    <row r="203" spans="3:17" ht="15.6" x14ac:dyDescent="0.3">
      <c r="D203" s="145">
        <v>45915</v>
      </c>
      <c r="E203" s="187">
        <v>599.70000000000005</v>
      </c>
      <c r="F203" s="146">
        <f t="shared" si="10"/>
        <v>-3.7378519810615796E-3</v>
      </c>
      <c r="G203" s="187">
        <v>25069.200000000001</v>
      </c>
      <c r="H203" s="146">
        <f t="shared" si="11"/>
        <v>-1.7838655729871533E-3</v>
      </c>
    </row>
    <row r="204" spans="3:17" ht="15.6" x14ac:dyDescent="0.3">
      <c r="D204" s="145">
        <v>45912</v>
      </c>
      <c r="E204" s="187">
        <v>601.95000000000005</v>
      </c>
      <c r="F204" s="146">
        <f t="shared" si="10"/>
        <v>-1.6609916119914026E-4</v>
      </c>
      <c r="G204" s="187">
        <v>25114</v>
      </c>
      <c r="H204" s="146">
        <f t="shared" si="11"/>
        <v>4.3390454100098452E-3</v>
      </c>
    </row>
    <row r="205" spans="3:17" ht="15.6" x14ac:dyDescent="0.3">
      <c r="D205" s="145">
        <v>45911</v>
      </c>
      <c r="E205" s="187">
        <v>602.04999999999995</v>
      </c>
      <c r="F205" s="146">
        <f t="shared" si="10"/>
        <v>3.7512504168055738E-3</v>
      </c>
      <c r="G205" s="187">
        <v>25005.5</v>
      </c>
      <c r="H205" s="146">
        <f t="shared" si="11"/>
        <v>1.2973959980939753E-3</v>
      </c>
      <c r="N205" s="49"/>
    </row>
    <row r="206" spans="3:17" ht="15.6" x14ac:dyDescent="0.3">
      <c r="D206" s="145">
        <v>45910</v>
      </c>
      <c r="E206" s="187">
        <v>599.79999999999995</v>
      </c>
      <c r="F206" s="146">
        <f t="shared" si="10"/>
        <v>2.032831504635535E-2</v>
      </c>
      <c r="G206" s="187">
        <v>24973.1</v>
      </c>
      <c r="H206" s="146">
        <f t="shared" si="11"/>
        <v>4.2020861648826013E-3</v>
      </c>
      <c r="M206" s="15"/>
      <c r="N206" s="15"/>
      <c r="O206" s="15"/>
      <c r="P206" s="15"/>
      <c r="Q206" s="15"/>
    </row>
    <row r="207" spans="3:17" ht="15.6" x14ac:dyDescent="0.3">
      <c r="D207" s="145">
        <v>45909</v>
      </c>
      <c r="E207" s="187">
        <v>587.85</v>
      </c>
      <c r="F207" s="146">
        <f t="shared" si="10"/>
        <v>-1.9759879939969971E-2</v>
      </c>
      <c r="G207" s="187">
        <v>24868.6</v>
      </c>
      <c r="H207" s="146">
        <f t="shared" si="11"/>
        <v>3.8529617751474898E-3</v>
      </c>
      <c r="L207" s="17"/>
    </row>
    <row r="208" spans="3:17" ht="15.6" x14ac:dyDescent="0.3">
      <c r="D208" s="145">
        <v>45908</v>
      </c>
      <c r="E208" s="187">
        <v>599.70000000000005</v>
      </c>
      <c r="F208" s="146">
        <f t="shared" si="10"/>
        <v>-8.6784031738159628E-3</v>
      </c>
      <c r="G208" s="187">
        <v>24773.15</v>
      </c>
      <c r="H208" s="146">
        <f t="shared" si="11"/>
        <v>1.2994624307829383E-3</v>
      </c>
      <c r="K208" s="17"/>
    </row>
    <row r="209" spans="3:12" ht="15.6" x14ac:dyDescent="0.3">
      <c r="D209" s="145">
        <v>45905</v>
      </c>
      <c r="E209" s="187">
        <v>604.95000000000005</v>
      </c>
      <c r="F209" s="146">
        <f t="shared" si="10"/>
        <v>-1.7140536149471863E-2</v>
      </c>
      <c r="G209" s="187">
        <v>24741</v>
      </c>
      <c r="H209" s="146">
        <f t="shared" si="11"/>
        <v>2.7087890095933709E-4</v>
      </c>
      <c r="K209" s="17"/>
    </row>
    <row r="210" spans="3:12" ht="15.6" x14ac:dyDescent="0.3">
      <c r="D210" s="145">
        <v>45904</v>
      </c>
      <c r="E210" s="187">
        <v>615.5</v>
      </c>
      <c r="F210" s="146">
        <f t="shared" si="10"/>
        <v>4.1631409713995593E-2</v>
      </c>
      <c r="G210" s="187">
        <v>24734.3</v>
      </c>
      <c r="H210" s="146">
        <f t="shared" si="11"/>
        <v>7.7887764742534671E-4</v>
      </c>
      <c r="K210" s="17"/>
    </row>
    <row r="211" spans="3:12" ht="15.6" x14ac:dyDescent="0.3">
      <c r="D211" s="145">
        <v>45903</v>
      </c>
      <c r="E211" s="187">
        <v>590.9</v>
      </c>
      <c r="F211" s="146">
        <f t="shared" si="10"/>
        <v>-8.057747188182085E-3</v>
      </c>
      <c r="G211" s="187">
        <v>24715.05</v>
      </c>
      <c r="H211" s="146">
        <f t="shared" si="11"/>
        <v>5.510667382707668E-3</v>
      </c>
    </row>
    <row r="212" spans="3:12" ht="15.6" x14ac:dyDescent="0.3">
      <c r="D212" s="145">
        <v>45902</v>
      </c>
      <c r="E212" s="187">
        <v>595.70000000000005</v>
      </c>
      <c r="F212" s="146">
        <f t="shared" si="10"/>
        <v>2.3275788027140809E-2</v>
      </c>
      <c r="G212" s="187">
        <v>24579.599999999999</v>
      </c>
      <c r="H212" s="146">
        <f t="shared" si="11"/>
        <v>-1.8456815316111319E-3</v>
      </c>
    </row>
    <row r="213" spans="3:12" ht="15.6" x14ac:dyDescent="0.3">
      <c r="D213" s="145">
        <v>45901</v>
      </c>
      <c r="E213" s="187">
        <v>582.15</v>
      </c>
      <c r="F213" s="146">
        <f t="shared" si="10"/>
        <v>1.4905857740585615E-2</v>
      </c>
      <c r="G213" s="187">
        <v>24625.05</v>
      </c>
      <c r="H213" s="146">
        <f t="shared" si="11"/>
        <v>8.1140220699762455E-3</v>
      </c>
    </row>
    <row r="214" spans="3:12" ht="15.6" x14ac:dyDescent="0.3">
      <c r="D214" s="145">
        <v>45898</v>
      </c>
      <c r="E214" s="187">
        <v>573.6</v>
      </c>
      <c r="F214" s="146">
        <f t="shared" si="10"/>
        <v>1.08379592915675E-2</v>
      </c>
      <c r="G214" s="187">
        <v>24426.85</v>
      </c>
      <c r="H214" s="146">
        <f t="shared" si="11"/>
        <v>-3.0223379549323415E-3</v>
      </c>
    </row>
    <row r="215" spans="3:12" ht="15.6" x14ac:dyDescent="0.3">
      <c r="D215" s="145">
        <v>45897</v>
      </c>
      <c r="E215" s="187">
        <v>567.45000000000005</v>
      </c>
      <c r="F215" s="146">
        <f t="shared" si="10"/>
        <v>-9.2536010475774422E-3</v>
      </c>
      <c r="G215" s="187">
        <v>24500.9</v>
      </c>
      <c r="H215" s="146">
        <f t="shared" si="11"/>
        <v>-8.5444145669824056E-3</v>
      </c>
    </row>
    <row r="216" spans="3:12" ht="15.6" x14ac:dyDescent="0.3">
      <c r="D216" s="145">
        <v>45895</v>
      </c>
      <c r="E216" s="187">
        <v>572.75</v>
      </c>
      <c r="F216" s="146">
        <f t="shared" si="10"/>
        <v>-2.1692715005551366E-2</v>
      </c>
      <c r="G216" s="187">
        <v>24712.05</v>
      </c>
      <c r="H216" s="146">
        <f t="shared" si="11"/>
        <v>-1.0241211162399511E-2</v>
      </c>
      <c r="L216" s="17"/>
    </row>
    <row r="217" spans="3:12" ht="15.6" x14ac:dyDescent="0.3">
      <c r="D217" s="145">
        <v>45894</v>
      </c>
      <c r="E217" s="187">
        <v>585.45000000000005</v>
      </c>
      <c r="F217" s="146">
        <f t="shared" si="10"/>
        <v>-4.3304191518914958E-2</v>
      </c>
      <c r="G217" s="187">
        <v>24967.75</v>
      </c>
      <c r="H217" s="146">
        <f t="shared" si="11"/>
        <v>3.9264015826234733E-3</v>
      </c>
    </row>
    <row r="218" spans="3:12" ht="15.6" x14ac:dyDescent="0.3">
      <c r="D218" s="145">
        <v>45891</v>
      </c>
      <c r="E218" s="187">
        <v>611.95000000000005</v>
      </c>
      <c r="F218" s="146">
        <f t="shared" si="10"/>
        <v>-1.178845377472737E-2</v>
      </c>
      <c r="G218" s="187">
        <v>24870.1</v>
      </c>
      <c r="H218" s="146">
        <f t="shared" si="11"/>
        <v>-8.5174664872676997E-3</v>
      </c>
    </row>
    <row r="219" spans="3:12" ht="15.6" x14ac:dyDescent="0.3">
      <c r="D219" s="145">
        <v>45890</v>
      </c>
      <c r="E219" s="187">
        <v>619.25</v>
      </c>
      <c r="F219" s="146">
        <f t="shared" ref="F219:F282" si="12">E219/E220-1</f>
        <v>-1.1651105258957739E-2</v>
      </c>
      <c r="G219" s="187">
        <v>25083.75</v>
      </c>
      <c r="H219" s="146">
        <f t="shared" ref="H219:H282" si="13">G219/G220-1</f>
        <v>1.3253202025504951E-3</v>
      </c>
      <c r="J219" s="16"/>
      <c r="K219" s="16"/>
      <c r="L219" s="16"/>
    </row>
    <row r="220" spans="3:12" ht="15.6" x14ac:dyDescent="0.3">
      <c r="D220" s="145">
        <v>45889</v>
      </c>
      <c r="E220" s="187">
        <v>626.54999999999995</v>
      </c>
      <c r="F220" s="146">
        <f t="shared" si="12"/>
        <v>4.052146475130769E-2</v>
      </c>
      <c r="G220" s="187">
        <v>25050.55</v>
      </c>
      <c r="H220" s="146">
        <f t="shared" si="13"/>
        <v>2.7981657803137772E-3</v>
      </c>
    </row>
    <row r="221" spans="3:12" ht="15.6" x14ac:dyDescent="0.3">
      <c r="C221" s="14"/>
      <c r="D221" s="145">
        <v>45888</v>
      </c>
      <c r="E221" s="187">
        <v>602.15</v>
      </c>
      <c r="F221" s="146">
        <f t="shared" si="12"/>
        <v>1.1676747311827773E-2</v>
      </c>
      <c r="G221" s="187">
        <v>24980.65</v>
      </c>
      <c r="H221" s="146">
        <f t="shared" si="13"/>
        <v>4.1685174428538474E-3</v>
      </c>
    </row>
    <row r="222" spans="3:12" ht="15.6" x14ac:dyDescent="0.3">
      <c r="D222" s="145">
        <v>45887</v>
      </c>
      <c r="E222" s="187">
        <v>595.20000000000005</v>
      </c>
      <c r="F222" s="146">
        <f t="shared" si="12"/>
        <v>2.2065768008929343E-2</v>
      </c>
      <c r="G222" s="187">
        <v>24876.95</v>
      </c>
      <c r="H222" s="146">
        <f t="shared" si="13"/>
        <v>9.9730830285045258E-3</v>
      </c>
    </row>
    <row r="223" spans="3:12" ht="15.6" x14ac:dyDescent="0.3">
      <c r="D223" s="145">
        <v>45883</v>
      </c>
      <c r="E223" s="187">
        <v>582.35</v>
      </c>
      <c r="F223" s="146">
        <f t="shared" si="12"/>
        <v>4.2947947088123328E-4</v>
      </c>
      <c r="G223" s="187">
        <v>24631.3</v>
      </c>
      <c r="H223" s="146">
        <f t="shared" si="13"/>
        <v>4.8539055661511732E-4</v>
      </c>
    </row>
    <row r="224" spans="3:12" ht="15.6" x14ac:dyDescent="0.3">
      <c r="D224" s="145">
        <v>45882</v>
      </c>
      <c r="E224" s="187">
        <v>582.1</v>
      </c>
      <c r="F224" s="146">
        <f t="shared" si="12"/>
        <v>8.8388214904679963E-3</v>
      </c>
      <c r="G224" s="187">
        <v>24619.35</v>
      </c>
      <c r="H224" s="146">
        <f t="shared" si="13"/>
        <v>5.3884855068320192E-3</v>
      </c>
      <c r="K224" s="17"/>
    </row>
    <row r="225" spans="3:12" ht="15.6" x14ac:dyDescent="0.3">
      <c r="D225" s="145">
        <v>45881</v>
      </c>
      <c r="E225" s="187">
        <v>577</v>
      </c>
      <c r="F225" s="146">
        <f t="shared" si="12"/>
        <v>-1.0206707264774018E-2</v>
      </c>
      <c r="G225" s="187">
        <v>24487.4</v>
      </c>
      <c r="H225" s="146">
        <f t="shared" si="13"/>
        <v>-3.9719260282162772E-3</v>
      </c>
      <c r="L225" s="17"/>
    </row>
    <row r="226" spans="3:12" ht="15.6" x14ac:dyDescent="0.3">
      <c r="D226" s="145">
        <v>45880</v>
      </c>
      <c r="E226" s="187">
        <v>582.95000000000005</v>
      </c>
      <c r="F226" s="146">
        <f t="shared" si="12"/>
        <v>1.1890296823468205E-2</v>
      </c>
      <c r="G226" s="187">
        <v>24585.05</v>
      </c>
      <c r="H226" s="146">
        <f t="shared" si="13"/>
        <v>9.1018047637225763E-3</v>
      </c>
    </row>
    <row r="227" spans="3:12" ht="15.6" x14ac:dyDescent="0.3">
      <c r="D227" s="145">
        <v>45877</v>
      </c>
      <c r="E227" s="187">
        <v>576.1</v>
      </c>
      <c r="F227" s="146">
        <f t="shared" si="12"/>
        <v>-1.0477499141188673E-2</v>
      </c>
      <c r="G227" s="187">
        <v>24363.3</v>
      </c>
      <c r="H227" s="146">
        <f t="shared" si="13"/>
        <v>-9.4669287673071478E-3</v>
      </c>
    </row>
    <row r="228" spans="3:12" ht="15.6" x14ac:dyDescent="0.3">
      <c r="D228" s="145">
        <v>45876</v>
      </c>
      <c r="E228" s="187">
        <v>582.20000000000005</v>
      </c>
      <c r="F228" s="146">
        <f t="shared" si="12"/>
        <v>-2.9424022672334682E-2</v>
      </c>
      <c r="G228" s="187">
        <v>24596.15</v>
      </c>
      <c r="H228" s="146">
        <f t="shared" si="13"/>
        <v>8.9321320734758736E-4</v>
      </c>
    </row>
    <row r="229" spans="3:12" ht="15.6" x14ac:dyDescent="0.3">
      <c r="D229" s="145">
        <v>45875</v>
      </c>
      <c r="E229" s="187">
        <v>599.85</v>
      </c>
      <c r="F229" s="146">
        <f t="shared" si="12"/>
        <v>-2.3045602605863191E-2</v>
      </c>
      <c r="G229" s="187">
        <v>24574.2</v>
      </c>
      <c r="H229" s="146">
        <f t="shared" si="13"/>
        <v>-3.0568509364268248E-3</v>
      </c>
    </row>
    <row r="230" spans="3:12" ht="15.6" x14ac:dyDescent="0.3">
      <c r="D230" s="145">
        <v>45874</v>
      </c>
      <c r="E230" s="187">
        <v>614</v>
      </c>
      <c r="F230" s="146">
        <f t="shared" si="12"/>
        <v>4.0883074407196407E-3</v>
      </c>
      <c r="G230" s="187">
        <v>24649.55</v>
      </c>
      <c r="H230" s="146">
        <f t="shared" si="13"/>
        <v>-2.9608356675532299E-3</v>
      </c>
    </row>
    <row r="231" spans="3:12" ht="15.6" x14ac:dyDescent="0.3">
      <c r="D231" s="145">
        <v>45873</v>
      </c>
      <c r="E231" s="187">
        <v>611.5</v>
      </c>
      <c r="F231" s="146">
        <f t="shared" si="12"/>
        <v>-1.2594865170353575E-2</v>
      </c>
      <c r="G231" s="187">
        <v>24722.75</v>
      </c>
      <c r="H231" s="146">
        <f t="shared" si="13"/>
        <v>6.4073990397044422E-3</v>
      </c>
      <c r="K231" s="17"/>
    </row>
    <row r="232" spans="3:12" ht="15.6" x14ac:dyDescent="0.3">
      <c r="D232" s="145">
        <v>45870</v>
      </c>
      <c r="E232" s="187">
        <v>619.29999999999995</v>
      </c>
      <c r="F232" s="146">
        <f t="shared" si="12"/>
        <v>3.1049696162490648E-2</v>
      </c>
      <c r="G232" s="187">
        <v>24565.35</v>
      </c>
      <c r="H232" s="146">
        <f t="shared" si="13"/>
        <v>-8.195943613522938E-3</v>
      </c>
      <c r="L232" s="1"/>
    </row>
    <row r="233" spans="3:12" ht="15.6" x14ac:dyDescent="0.3">
      <c r="D233" s="145">
        <v>45869</v>
      </c>
      <c r="E233" s="187">
        <v>600.65</v>
      </c>
      <c r="F233" s="146">
        <f t="shared" si="12"/>
        <v>6.2533168229258917E-2</v>
      </c>
      <c r="G233" s="187">
        <v>24768.35</v>
      </c>
      <c r="H233" s="146">
        <f t="shared" si="13"/>
        <v>-3.4882247269669708E-3</v>
      </c>
      <c r="J233" s="16"/>
      <c r="K233" s="16"/>
      <c r="L233" s="19"/>
    </row>
    <row r="234" spans="3:12" ht="15.6" x14ac:dyDescent="0.3">
      <c r="D234" s="145">
        <v>45868</v>
      </c>
      <c r="E234" s="187">
        <v>565.29999999999995</v>
      </c>
      <c r="F234" s="146">
        <f t="shared" si="12"/>
        <v>8.2939445286720481E-3</v>
      </c>
      <c r="G234" s="187">
        <v>24855.05</v>
      </c>
      <c r="H234" s="146">
        <f t="shared" si="13"/>
        <v>1.3677878901419138E-3</v>
      </c>
    </row>
    <row r="235" spans="3:12" ht="15.6" x14ac:dyDescent="0.3">
      <c r="C235" s="14"/>
      <c r="D235" s="145">
        <v>45867</v>
      </c>
      <c r="E235" s="187">
        <v>560.65</v>
      </c>
      <c r="F235" s="146">
        <f t="shared" si="12"/>
        <v>-3.908679044150376E-3</v>
      </c>
      <c r="G235" s="187">
        <v>24821.1</v>
      </c>
      <c r="H235" s="146">
        <f t="shared" si="13"/>
        <v>5.6805059783069378E-3</v>
      </c>
    </row>
    <row r="236" spans="3:12" ht="15.6" x14ac:dyDescent="0.3">
      <c r="D236" s="145">
        <v>45866</v>
      </c>
      <c r="E236" s="187">
        <v>562.85</v>
      </c>
      <c r="F236" s="146">
        <f t="shared" si="12"/>
        <v>-2.1470792767733005E-2</v>
      </c>
      <c r="G236" s="187">
        <v>24680.9</v>
      </c>
      <c r="H236" s="146">
        <f t="shared" si="13"/>
        <v>-6.2849780569311786E-3</v>
      </c>
      <c r="J236" s="16"/>
      <c r="K236" s="16"/>
      <c r="L236" s="16"/>
    </row>
    <row r="237" spans="3:12" ht="15.6" x14ac:dyDescent="0.3">
      <c r="D237" s="145">
        <v>45863</v>
      </c>
      <c r="E237" s="187">
        <v>575.20000000000005</v>
      </c>
      <c r="F237" s="146">
        <f t="shared" si="12"/>
        <v>-7.9337702656087083E-3</v>
      </c>
      <c r="G237" s="187">
        <v>24837</v>
      </c>
      <c r="H237" s="146">
        <f t="shared" si="13"/>
        <v>-8.9816894833233407E-3</v>
      </c>
    </row>
    <row r="238" spans="3:12" ht="15.6" x14ac:dyDescent="0.3">
      <c r="D238" s="145">
        <v>45862</v>
      </c>
      <c r="E238" s="187">
        <v>579.79999999999995</v>
      </c>
      <c r="F238" s="146">
        <f t="shared" si="12"/>
        <v>-6.0329225200383974E-4</v>
      </c>
      <c r="G238" s="187">
        <v>25062.1</v>
      </c>
      <c r="H238" s="146">
        <f t="shared" si="13"/>
        <v>-6.2569637468825601E-3</v>
      </c>
    </row>
    <row r="239" spans="3:12" ht="15.6" x14ac:dyDescent="0.3">
      <c r="D239" s="145">
        <v>45861</v>
      </c>
      <c r="E239" s="187">
        <v>580.15</v>
      </c>
      <c r="F239" s="146">
        <f t="shared" si="12"/>
        <v>-5.6560116548119987E-3</v>
      </c>
      <c r="G239" s="187">
        <v>25219.9</v>
      </c>
      <c r="H239" s="146">
        <f t="shared" si="13"/>
        <v>6.3445446891372548E-3</v>
      </c>
    </row>
    <row r="240" spans="3:12" ht="15.6" x14ac:dyDescent="0.3">
      <c r="D240" s="145">
        <v>45860</v>
      </c>
      <c r="E240" s="187">
        <v>583.45000000000005</v>
      </c>
      <c r="F240" s="146">
        <f t="shared" si="12"/>
        <v>-1.0850216156649939E-2</v>
      </c>
      <c r="G240" s="187">
        <v>25060.9</v>
      </c>
      <c r="H240" s="146">
        <f t="shared" si="13"/>
        <v>-1.1876910568456855E-3</v>
      </c>
      <c r="J240" s="1"/>
    </row>
    <row r="241" spans="4:12" ht="15.6" x14ac:dyDescent="0.3">
      <c r="D241" s="145">
        <v>45859</v>
      </c>
      <c r="E241" s="187">
        <v>589.85</v>
      </c>
      <c r="F241" s="146">
        <f t="shared" si="12"/>
        <v>-3.0423392208230871E-3</v>
      </c>
      <c r="G241" s="187">
        <v>25090.7</v>
      </c>
      <c r="H241" s="146">
        <f t="shared" si="13"/>
        <v>4.8981913138206323E-3</v>
      </c>
    </row>
    <row r="242" spans="4:12" ht="15.6" x14ac:dyDescent="0.3">
      <c r="D242" s="145">
        <v>45856</v>
      </c>
      <c r="E242" s="187">
        <v>591.65</v>
      </c>
      <c r="F242" s="146">
        <f t="shared" si="12"/>
        <v>5.4380151244795005E-3</v>
      </c>
      <c r="G242" s="187">
        <v>24968.400000000001</v>
      </c>
      <c r="H242" s="146">
        <f t="shared" si="13"/>
        <v>-5.6966045369741813E-3</v>
      </c>
    </row>
    <row r="243" spans="4:12" ht="15.6" x14ac:dyDescent="0.3">
      <c r="D243" s="145">
        <v>45855</v>
      </c>
      <c r="E243" s="187">
        <v>588.45000000000005</v>
      </c>
      <c r="F243" s="146">
        <f t="shared" si="12"/>
        <v>4.0095546835010598E-3</v>
      </c>
      <c r="G243" s="187">
        <v>25111.45</v>
      </c>
      <c r="H243" s="146">
        <f t="shared" si="13"/>
        <v>-3.9901555010400935E-3</v>
      </c>
    </row>
    <row r="244" spans="4:12" ht="15.6" x14ac:dyDescent="0.3">
      <c r="D244" s="145">
        <v>45854</v>
      </c>
      <c r="E244" s="187">
        <v>586.1</v>
      </c>
      <c r="F244" s="146">
        <f t="shared" si="12"/>
        <v>6.8716715341006207E-3</v>
      </c>
      <c r="G244" s="187">
        <v>25212.05</v>
      </c>
      <c r="H244" s="146">
        <f t="shared" si="13"/>
        <v>6.4494876130138934E-4</v>
      </c>
    </row>
    <row r="245" spans="4:12" ht="15.6" x14ac:dyDescent="0.3">
      <c r="D245" s="145">
        <v>45853</v>
      </c>
      <c r="E245" s="187">
        <v>582.1</v>
      </c>
      <c r="F245" s="146">
        <f t="shared" si="12"/>
        <v>-5.6371711650152756E-3</v>
      </c>
      <c r="G245" s="187">
        <v>25195.8</v>
      </c>
      <c r="H245" s="146">
        <f t="shared" si="13"/>
        <v>4.5251033597397683E-3</v>
      </c>
    </row>
    <row r="246" spans="4:12" ht="15.6" x14ac:dyDescent="0.3">
      <c r="D246" s="145">
        <v>45852</v>
      </c>
      <c r="E246" s="187">
        <v>585.4</v>
      </c>
      <c r="F246" s="146">
        <f t="shared" si="12"/>
        <v>-2.7257240204430211E-3</v>
      </c>
      <c r="G246" s="187">
        <v>25082.3</v>
      </c>
      <c r="H246" s="146">
        <f t="shared" si="13"/>
        <v>-2.68590071113739E-3</v>
      </c>
      <c r="J246" s="16"/>
      <c r="K246" s="16"/>
      <c r="L246" s="16"/>
    </row>
    <row r="247" spans="4:12" ht="15.6" x14ac:dyDescent="0.3">
      <c r="D247" s="145">
        <v>45849</v>
      </c>
      <c r="E247" s="187">
        <v>587</v>
      </c>
      <c r="F247" s="146">
        <f t="shared" si="12"/>
        <v>-1.6997404337268707E-2</v>
      </c>
      <c r="G247" s="187">
        <v>25149.85</v>
      </c>
      <c r="H247" s="146">
        <f t="shared" si="13"/>
        <v>-8.1008864041963724E-3</v>
      </c>
    </row>
    <row r="248" spans="4:12" ht="15.6" x14ac:dyDescent="0.3">
      <c r="D248" s="145">
        <v>45848</v>
      </c>
      <c r="E248" s="187">
        <v>597.15</v>
      </c>
      <c r="F248" s="146">
        <f t="shared" si="12"/>
        <v>-1.9699581383895604E-2</v>
      </c>
      <c r="G248" s="187">
        <v>25355.25</v>
      </c>
      <c r="H248" s="146">
        <f t="shared" si="13"/>
        <v>-4.7436617064621212E-3</v>
      </c>
    </row>
    <row r="249" spans="4:12" ht="15.6" x14ac:dyDescent="0.3">
      <c r="D249" s="145">
        <v>45847</v>
      </c>
      <c r="E249" s="187">
        <v>609.15</v>
      </c>
      <c r="F249" s="146">
        <f t="shared" si="12"/>
        <v>6.197698744769875E-2</v>
      </c>
      <c r="G249" s="187">
        <v>25476.1</v>
      </c>
      <c r="H249" s="146">
        <f t="shared" si="13"/>
        <v>-1.8180037222059742E-3</v>
      </c>
    </row>
    <row r="250" spans="4:12" ht="15.6" x14ac:dyDescent="0.3">
      <c r="D250" s="145">
        <v>45846</v>
      </c>
      <c r="E250" s="187">
        <v>573.6</v>
      </c>
      <c r="F250" s="146">
        <f t="shared" si="12"/>
        <v>-5.0303555941022537E-3</v>
      </c>
      <c r="G250" s="187">
        <v>25522.5</v>
      </c>
      <c r="H250" s="146">
        <f t="shared" si="13"/>
        <v>2.403647889149374E-3</v>
      </c>
    </row>
    <row r="251" spans="4:12" ht="15.6" x14ac:dyDescent="0.3">
      <c r="D251" s="145">
        <v>45845</v>
      </c>
      <c r="E251" s="187">
        <v>576.5</v>
      </c>
      <c r="F251" s="146">
        <f t="shared" si="12"/>
        <v>2.4797795751488882E-2</v>
      </c>
      <c r="G251" s="187">
        <v>25461.3</v>
      </c>
      <c r="H251" s="146">
        <f t="shared" si="13"/>
        <v>1.1782726522913123E-5</v>
      </c>
    </row>
    <row r="252" spans="4:12" ht="15.6" x14ac:dyDescent="0.3">
      <c r="D252" s="145">
        <v>45842</v>
      </c>
      <c r="E252" s="187">
        <v>562.54999999999995</v>
      </c>
      <c r="F252" s="146">
        <f t="shared" si="12"/>
        <v>6.5306852746465083E-3</v>
      </c>
      <c r="G252" s="187">
        <v>25461</v>
      </c>
      <c r="H252" s="146">
        <f t="shared" si="13"/>
        <v>2.1924559048702719E-3</v>
      </c>
    </row>
    <row r="253" spans="4:12" ht="15.6" x14ac:dyDescent="0.3">
      <c r="D253" s="145">
        <v>45841</v>
      </c>
      <c r="E253" s="187">
        <v>558.9</v>
      </c>
      <c r="F253" s="146">
        <f t="shared" si="12"/>
        <v>-1.7889087656530744E-4</v>
      </c>
      <c r="G253" s="187">
        <v>25405.3</v>
      </c>
      <c r="H253" s="146">
        <f t="shared" si="13"/>
        <v>-1.8897278948981633E-3</v>
      </c>
    </row>
    <row r="254" spans="4:12" ht="15.6" x14ac:dyDescent="0.3">
      <c r="D254" s="145">
        <v>45840</v>
      </c>
      <c r="E254" s="187">
        <v>559</v>
      </c>
      <c r="F254" s="146">
        <f t="shared" si="12"/>
        <v>-1.1406844106463976E-2</v>
      </c>
      <c r="G254" s="187">
        <v>25453.4</v>
      </c>
      <c r="H254" s="146">
        <f t="shared" si="13"/>
        <v>-3.4609933520737268E-3</v>
      </c>
    </row>
    <row r="255" spans="4:12" ht="15.6" x14ac:dyDescent="0.3">
      <c r="D255" s="145">
        <v>45839</v>
      </c>
      <c r="E255" s="187">
        <v>565.45000000000005</v>
      </c>
      <c r="F255" s="146">
        <f t="shared" si="12"/>
        <v>-1.0759272218334504E-2</v>
      </c>
      <c r="G255" s="187">
        <v>25541.8</v>
      </c>
      <c r="H255" s="146">
        <f t="shared" si="13"/>
        <v>9.6993970698022736E-4</v>
      </c>
    </row>
    <row r="256" spans="4:12" ht="15.6" x14ac:dyDescent="0.3">
      <c r="D256" s="145">
        <v>45838</v>
      </c>
      <c r="E256" s="187">
        <v>571.6</v>
      </c>
      <c r="F256" s="146">
        <f t="shared" si="12"/>
        <v>7.7574047954864778E-3</v>
      </c>
      <c r="G256" s="187">
        <v>25517.05</v>
      </c>
      <c r="H256" s="146">
        <f t="shared" si="13"/>
        <v>-4.7098424981862896E-3</v>
      </c>
    </row>
    <row r="257" spans="4:8" ht="15.6" x14ac:dyDescent="0.3">
      <c r="D257" s="145">
        <v>45835</v>
      </c>
      <c r="E257" s="187">
        <v>567.20000000000005</v>
      </c>
      <c r="F257" s="146">
        <f t="shared" si="12"/>
        <v>-1.2104850648785082E-2</v>
      </c>
      <c r="G257" s="187">
        <v>25637.8</v>
      </c>
      <c r="H257" s="146">
        <f t="shared" si="13"/>
        <v>3.4756741946846414E-3</v>
      </c>
    </row>
    <row r="258" spans="4:8" ht="15.6" x14ac:dyDescent="0.3">
      <c r="D258" s="145">
        <v>45834</v>
      </c>
      <c r="E258" s="187">
        <v>574.15</v>
      </c>
      <c r="F258" s="146">
        <f t="shared" si="12"/>
        <v>3.4078993358963583E-3</v>
      </c>
      <c r="G258" s="187">
        <v>25549</v>
      </c>
      <c r="H258" s="146">
        <f t="shared" si="13"/>
        <v>1.2052010814129765E-2</v>
      </c>
    </row>
    <row r="259" spans="4:8" ht="15.6" x14ac:dyDescent="0.3">
      <c r="D259" s="145">
        <v>45833</v>
      </c>
      <c r="E259" s="187">
        <v>572.20000000000005</v>
      </c>
      <c r="F259" s="146">
        <f t="shared" si="12"/>
        <v>1.2743362831858507E-2</v>
      </c>
      <c r="G259" s="187">
        <v>25244.75</v>
      </c>
      <c r="H259" s="146">
        <f t="shared" si="13"/>
        <v>8.001804798287937E-3</v>
      </c>
    </row>
    <row r="260" spans="4:8" ht="15.6" x14ac:dyDescent="0.3">
      <c r="D260" s="145">
        <v>45832</v>
      </c>
      <c r="E260" s="187">
        <v>565</v>
      </c>
      <c r="F260" s="146">
        <f t="shared" si="12"/>
        <v>1.4544801580176125E-2</v>
      </c>
      <c r="G260" s="187">
        <v>25044.35</v>
      </c>
      <c r="H260" s="146">
        <f t="shared" si="13"/>
        <v>2.9012610173835274E-3</v>
      </c>
    </row>
    <row r="261" spans="4:8" ht="15.6" x14ac:dyDescent="0.3">
      <c r="D261" s="145">
        <v>45831</v>
      </c>
      <c r="E261" s="187">
        <v>556.9</v>
      </c>
      <c r="F261" s="146">
        <f t="shared" si="12"/>
        <v>6.961395895488609E-3</v>
      </c>
      <c r="G261" s="187">
        <v>24971.9</v>
      </c>
      <c r="H261" s="146">
        <f t="shared" si="13"/>
        <v>-5.594845574297902E-3</v>
      </c>
    </row>
    <row r="262" spans="4:8" ht="15.6" x14ac:dyDescent="0.3">
      <c r="D262" s="145">
        <v>45828</v>
      </c>
      <c r="E262" s="187">
        <v>553.04999999999995</v>
      </c>
      <c r="F262" s="146">
        <f t="shared" si="12"/>
        <v>-1.8283482737197265E-2</v>
      </c>
      <c r="G262" s="187">
        <v>25112.400000000001</v>
      </c>
      <c r="H262" s="146">
        <f t="shared" si="13"/>
        <v>1.2872455204541611E-2</v>
      </c>
    </row>
    <row r="263" spans="4:8" ht="15.6" x14ac:dyDescent="0.3">
      <c r="D263" s="145">
        <v>45827</v>
      </c>
      <c r="E263" s="187">
        <v>563.35</v>
      </c>
      <c r="F263" s="146">
        <f t="shared" si="12"/>
        <v>-1.2099956159579039E-2</v>
      </c>
      <c r="G263" s="187">
        <v>24793.25</v>
      </c>
      <c r="H263" s="146">
        <f t="shared" si="13"/>
        <v>-7.5769636124378703E-4</v>
      </c>
    </row>
    <row r="264" spans="4:8" ht="15.6" x14ac:dyDescent="0.3">
      <c r="D264" s="145">
        <v>45826</v>
      </c>
      <c r="E264" s="187">
        <v>570.25</v>
      </c>
      <c r="F264" s="146">
        <f t="shared" si="12"/>
        <v>2.6311173478332783E-4</v>
      </c>
      <c r="G264" s="187">
        <v>24812.05</v>
      </c>
      <c r="H264" s="146">
        <f t="shared" si="13"/>
        <v>-1.6637562667483063E-3</v>
      </c>
    </row>
    <row r="265" spans="4:8" ht="15.6" x14ac:dyDescent="0.3">
      <c r="D265" s="145">
        <v>45825</v>
      </c>
      <c r="E265" s="187">
        <v>570.1</v>
      </c>
      <c r="F265" s="146">
        <f t="shared" si="12"/>
        <v>-6.2750566498169791E-3</v>
      </c>
      <c r="G265" s="187">
        <v>24853.4</v>
      </c>
      <c r="H265" s="146">
        <f t="shared" si="13"/>
        <v>-3.7319864510051426E-3</v>
      </c>
    </row>
    <row r="266" spans="4:8" ht="15.6" x14ac:dyDescent="0.3">
      <c r="D266" s="145">
        <v>45824</v>
      </c>
      <c r="E266" s="187">
        <v>573.70000000000005</v>
      </c>
      <c r="F266" s="146">
        <f t="shared" si="12"/>
        <v>2.0085582045237249E-3</v>
      </c>
      <c r="G266" s="187">
        <v>24946.5</v>
      </c>
      <c r="H266" s="146">
        <f t="shared" si="13"/>
        <v>9.2197778191323021E-3</v>
      </c>
    </row>
    <row r="267" spans="4:8" ht="15.6" x14ac:dyDescent="0.3">
      <c r="D267" s="145">
        <v>45821</v>
      </c>
      <c r="E267" s="187">
        <v>572.54999999999995</v>
      </c>
      <c r="F267" s="146">
        <f t="shared" si="12"/>
        <v>-5.5579678679983369E-3</v>
      </c>
      <c r="G267" s="187">
        <v>24718.6</v>
      </c>
      <c r="H267" s="146">
        <f t="shared" si="13"/>
        <v>-6.8144743292002374E-3</v>
      </c>
    </row>
    <row r="268" spans="4:8" ht="15.6" x14ac:dyDescent="0.3">
      <c r="D268" s="145">
        <v>45820</v>
      </c>
      <c r="E268" s="187">
        <v>575.75</v>
      </c>
      <c r="F268" s="146">
        <f t="shared" si="12"/>
        <v>-2.6050917702782672E-2</v>
      </c>
      <c r="G268" s="187">
        <v>24888.2</v>
      </c>
      <c r="H268" s="146">
        <f t="shared" si="13"/>
        <v>-1.0071038207896121E-2</v>
      </c>
    </row>
    <row r="269" spans="4:8" ht="15.6" x14ac:dyDescent="0.3">
      <c r="D269" s="145">
        <v>45819</v>
      </c>
      <c r="E269" s="187">
        <v>591.15</v>
      </c>
      <c r="F269" s="146">
        <f t="shared" si="12"/>
        <v>1.4066386482545656E-2</v>
      </c>
      <c r="G269" s="187">
        <v>25141.4</v>
      </c>
      <c r="H269" s="146">
        <f t="shared" si="13"/>
        <v>1.4798291126005836E-3</v>
      </c>
    </row>
    <row r="270" spans="4:8" ht="15.6" x14ac:dyDescent="0.3">
      <c r="D270" s="145">
        <v>45818</v>
      </c>
      <c r="E270" s="187">
        <v>582.95000000000005</v>
      </c>
      <c r="F270" s="146">
        <f t="shared" si="12"/>
        <v>8.5640138408304978E-3</v>
      </c>
      <c r="G270" s="187">
        <v>25104.25</v>
      </c>
      <c r="H270" s="146">
        <f t="shared" si="13"/>
        <v>4.1827336753952338E-5</v>
      </c>
    </row>
    <row r="271" spans="4:8" ht="15.6" x14ac:dyDescent="0.3">
      <c r="D271" s="145">
        <v>45817</v>
      </c>
      <c r="E271" s="187">
        <v>578</v>
      </c>
      <c r="F271" s="146">
        <f t="shared" si="12"/>
        <v>-9.1711665380989071E-3</v>
      </c>
      <c r="G271" s="187">
        <v>25103.200000000001</v>
      </c>
      <c r="H271" s="146">
        <f t="shared" si="13"/>
        <v>4.0055113276180609E-3</v>
      </c>
    </row>
    <row r="272" spans="4:8" ht="15.6" x14ac:dyDescent="0.3">
      <c r="D272" s="145">
        <v>45814</v>
      </c>
      <c r="E272" s="187">
        <v>583.35</v>
      </c>
      <c r="F272" s="146">
        <f t="shared" si="12"/>
        <v>7.2520072520072532E-3</v>
      </c>
      <c r="G272" s="187">
        <v>25003.05</v>
      </c>
      <c r="H272" s="146">
        <f t="shared" si="13"/>
        <v>1.0187508333030282E-2</v>
      </c>
    </row>
    <row r="273" spans="4:8" ht="15.6" x14ac:dyDescent="0.3">
      <c r="D273" s="145">
        <v>45813</v>
      </c>
      <c r="E273" s="187">
        <v>579.15</v>
      </c>
      <c r="F273" s="146">
        <f t="shared" si="12"/>
        <v>-2.4835830947971038E-2</v>
      </c>
      <c r="G273" s="187">
        <v>24750.9</v>
      </c>
      <c r="H273" s="146">
        <f t="shared" si="13"/>
        <v>5.3086489955402882E-3</v>
      </c>
    </row>
    <row r="274" spans="4:8" ht="15.6" x14ac:dyDescent="0.3">
      <c r="D274" s="145">
        <v>45812</v>
      </c>
      <c r="E274" s="187">
        <v>593.9</v>
      </c>
      <c r="F274" s="146">
        <f t="shared" si="12"/>
        <v>2.902191804556864E-2</v>
      </c>
      <c r="G274" s="187">
        <v>24620.2</v>
      </c>
      <c r="H274" s="146">
        <f t="shared" si="13"/>
        <v>3.1659366405216716E-3</v>
      </c>
    </row>
    <row r="275" spans="4:8" ht="15.6" x14ac:dyDescent="0.3">
      <c r="D275" s="145">
        <v>45811</v>
      </c>
      <c r="E275" s="187">
        <v>577.15</v>
      </c>
      <c r="F275" s="146">
        <f t="shared" si="12"/>
        <v>-7.1391708240150509E-3</v>
      </c>
      <c r="G275" s="187">
        <v>24542.5</v>
      </c>
      <c r="H275" s="146">
        <f t="shared" si="13"/>
        <v>-7.0438490730925229E-3</v>
      </c>
    </row>
    <row r="276" spans="4:8" ht="15.6" x14ac:dyDescent="0.3">
      <c r="D276" s="145">
        <v>45810</v>
      </c>
      <c r="E276" s="187">
        <v>581.29999999999995</v>
      </c>
      <c r="F276" s="146">
        <f t="shared" si="12"/>
        <v>-4.9640534063678521E-3</v>
      </c>
      <c r="G276" s="187">
        <v>24716.6</v>
      </c>
      <c r="H276" s="146">
        <f t="shared" si="13"/>
        <v>-1.3777388114276645E-3</v>
      </c>
    </row>
    <row r="277" spans="4:8" ht="15.6" x14ac:dyDescent="0.3">
      <c r="D277" s="145">
        <v>45807</v>
      </c>
      <c r="E277" s="187">
        <v>584.20000000000005</v>
      </c>
      <c r="F277" s="146">
        <f t="shared" si="12"/>
        <v>-5.53238573495618E-3</v>
      </c>
      <c r="G277" s="187">
        <v>24750.7</v>
      </c>
      <c r="H277" s="146">
        <f t="shared" si="13"/>
        <v>-3.3382191869080202E-3</v>
      </c>
    </row>
    <row r="278" spans="4:8" ht="15.6" x14ac:dyDescent="0.3">
      <c r="D278" s="145">
        <v>45806</v>
      </c>
      <c r="E278" s="187">
        <v>587.45000000000005</v>
      </c>
      <c r="F278" s="146">
        <f t="shared" si="12"/>
        <v>1.4594127806563106E-2</v>
      </c>
      <c r="G278" s="187">
        <v>24833.599999999999</v>
      </c>
      <c r="H278" s="146">
        <f t="shared" si="13"/>
        <v>3.2784633440325894E-3</v>
      </c>
    </row>
    <row r="279" spans="4:8" ht="15.6" x14ac:dyDescent="0.3">
      <c r="D279" s="145">
        <v>45805</v>
      </c>
      <c r="E279" s="187">
        <v>579</v>
      </c>
      <c r="F279" s="146">
        <f t="shared" si="12"/>
        <v>-1.789500466457461E-2</v>
      </c>
      <c r="G279" s="187">
        <v>24752.45</v>
      </c>
      <c r="H279" s="146">
        <f t="shared" si="13"/>
        <v>-2.9706519725128944E-3</v>
      </c>
    </row>
    <row r="280" spans="4:8" ht="15.6" x14ac:dyDescent="0.3">
      <c r="D280" s="145">
        <v>45804</v>
      </c>
      <c r="E280" s="187">
        <v>589.54999999999995</v>
      </c>
      <c r="F280" s="146">
        <f t="shared" si="12"/>
        <v>-5.0860388234308385E-4</v>
      </c>
      <c r="G280" s="187">
        <v>24826.2</v>
      </c>
      <c r="H280" s="146">
        <f t="shared" si="13"/>
        <v>-6.9976781068070704E-3</v>
      </c>
    </row>
    <row r="281" spans="4:8" ht="15.6" x14ac:dyDescent="0.3">
      <c r="D281" s="145">
        <v>45803</v>
      </c>
      <c r="E281" s="187">
        <v>589.85</v>
      </c>
      <c r="F281" s="146">
        <f t="shared" si="12"/>
        <v>-9.8203793855967669E-3</v>
      </c>
      <c r="G281" s="187">
        <v>25001.15</v>
      </c>
      <c r="H281" s="146">
        <f t="shared" si="13"/>
        <v>5.954979549875894E-3</v>
      </c>
    </row>
    <row r="282" spans="4:8" ht="15.6" x14ac:dyDescent="0.3">
      <c r="D282" s="145">
        <v>45800</v>
      </c>
      <c r="E282" s="187">
        <v>595.70000000000005</v>
      </c>
      <c r="F282" s="146">
        <f t="shared" si="12"/>
        <v>-1.3741721854304556E-2</v>
      </c>
      <c r="G282" s="187">
        <v>24853.15</v>
      </c>
      <c r="H282" s="146">
        <f t="shared" si="13"/>
        <v>9.8924407855438545E-3</v>
      </c>
    </row>
    <row r="283" spans="4:8" ht="15.6" x14ac:dyDescent="0.3">
      <c r="D283" s="145">
        <v>45799</v>
      </c>
      <c r="E283" s="187">
        <v>604</v>
      </c>
      <c r="F283" s="146">
        <f t="shared" ref="F283:F346" si="14">E283/E284-1</f>
        <v>-6.0885305249301913E-3</v>
      </c>
      <c r="G283" s="187">
        <v>24609.7</v>
      </c>
      <c r="H283" s="146">
        <f t="shared" ref="H283:H346" si="15">G283/G284-1</f>
        <v>-8.2112725155107924E-3</v>
      </c>
    </row>
    <row r="284" spans="4:8" ht="15.6" x14ac:dyDescent="0.3">
      <c r="D284" s="145">
        <v>45798</v>
      </c>
      <c r="E284" s="187">
        <v>607.70000000000005</v>
      </c>
      <c r="F284" s="146">
        <f t="shared" si="14"/>
        <v>6.5865305450363287E-4</v>
      </c>
      <c r="G284" s="187">
        <v>24813.45</v>
      </c>
      <c r="H284" s="146">
        <f t="shared" si="15"/>
        <v>5.2483602672186436E-3</v>
      </c>
    </row>
    <row r="285" spans="4:8" ht="15.6" x14ac:dyDescent="0.3">
      <c r="D285" s="145">
        <v>45797</v>
      </c>
      <c r="E285" s="187">
        <v>607.29999999999995</v>
      </c>
      <c r="F285" s="146">
        <f t="shared" si="14"/>
        <v>-5.0722938647909444E-2</v>
      </c>
      <c r="G285" s="187">
        <v>24683.9</v>
      </c>
      <c r="H285" s="146">
        <f t="shared" si="15"/>
        <v>-1.0484878003804265E-2</v>
      </c>
    </row>
    <row r="286" spans="4:8" ht="15.6" x14ac:dyDescent="0.3">
      <c r="D286" s="145">
        <v>45796</v>
      </c>
      <c r="E286" s="187">
        <v>639.75</v>
      </c>
      <c r="F286" s="146">
        <f t="shared" si="14"/>
        <v>5.4219707685054797E-3</v>
      </c>
      <c r="G286" s="187">
        <v>24945.45</v>
      </c>
      <c r="H286" s="146">
        <f t="shared" si="15"/>
        <v>-2.9716464560067823E-3</v>
      </c>
    </row>
    <row r="287" spans="4:8" ht="15.6" x14ac:dyDescent="0.3">
      <c r="D287" s="145">
        <v>45793</v>
      </c>
      <c r="E287" s="187">
        <v>636.29999999999995</v>
      </c>
      <c r="F287" s="146">
        <f t="shared" si="14"/>
        <v>1.0080165092467563E-2</v>
      </c>
      <c r="G287" s="187">
        <v>25019.8</v>
      </c>
      <c r="H287" s="146">
        <f t="shared" si="15"/>
        <v>-1.6878074862042292E-3</v>
      </c>
    </row>
    <row r="288" spans="4:8" ht="15.6" x14ac:dyDescent="0.3">
      <c r="D288" s="145">
        <v>45792</v>
      </c>
      <c r="E288" s="187">
        <v>629.95000000000005</v>
      </c>
      <c r="F288" s="146">
        <f t="shared" si="14"/>
        <v>-1.4548298787641745E-2</v>
      </c>
      <c r="G288" s="187">
        <v>25062.1</v>
      </c>
      <c r="H288" s="146">
        <f t="shared" si="15"/>
        <v>1.6021470067175025E-2</v>
      </c>
    </row>
    <row r="289" spans="4:8" ht="15.6" x14ac:dyDescent="0.3">
      <c r="D289" s="145">
        <v>45791</v>
      </c>
      <c r="E289" s="187">
        <v>639.25</v>
      </c>
      <c r="F289" s="146">
        <f t="shared" si="14"/>
        <v>3.0217566478646152E-2</v>
      </c>
      <c r="G289" s="187">
        <v>24666.9</v>
      </c>
      <c r="H289" s="146">
        <f t="shared" si="15"/>
        <v>3.602764221357635E-3</v>
      </c>
    </row>
    <row r="290" spans="4:8" ht="15.6" x14ac:dyDescent="0.3">
      <c r="D290" s="145">
        <v>45790</v>
      </c>
      <c r="E290" s="187">
        <v>620.5</v>
      </c>
      <c r="F290" s="146">
        <f t="shared" si="14"/>
        <v>-2.1987548270155366E-2</v>
      </c>
      <c r="G290" s="187">
        <v>24578.35</v>
      </c>
      <c r="H290" s="146">
        <f t="shared" si="15"/>
        <v>-1.3895854313191403E-2</v>
      </c>
    </row>
    <row r="291" spans="4:8" ht="15.6" x14ac:dyDescent="0.3">
      <c r="D291" s="145">
        <v>45789</v>
      </c>
      <c r="E291" s="187">
        <v>634.45000000000005</v>
      </c>
      <c r="F291" s="146">
        <f t="shared" si="14"/>
        <v>6.4244923857870173E-3</v>
      </c>
      <c r="G291" s="187">
        <v>24924.7</v>
      </c>
      <c r="H291" s="146">
        <f t="shared" si="15"/>
        <v>3.8183105631456105E-2</v>
      </c>
    </row>
    <row r="292" spans="4:8" ht="15.6" x14ac:dyDescent="0.3">
      <c r="D292" s="145">
        <v>45786</v>
      </c>
      <c r="E292" s="187">
        <v>630.4</v>
      </c>
      <c r="F292" s="146">
        <f t="shared" si="14"/>
        <v>1.7348503187283093E-2</v>
      </c>
      <c r="G292" s="187">
        <v>24008</v>
      </c>
      <c r="H292" s="146">
        <f t="shared" si="15"/>
        <v>-1.0950077861727414E-2</v>
      </c>
    </row>
    <row r="293" spans="4:8" ht="15.6" x14ac:dyDescent="0.3">
      <c r="D293" s="145">
        <v>45785</v>
      </c>
      <c r="E293" s="187">
        <v>619.65</v>
      </c>
      <c r="F293" s="146">
        <f t="shared" si="14"/>
        <v>-2.3788893265065059E-2</v>
      </c>
      <c r="G293" s="187">
        <v>24273.8</v>
      </c>
      <c r="H293" s="146">
        <f t="shared" si="15"/>
        <v>-5.758896389016388E-3</v>
      </c>
    </row>
    <row r="294" spans="4:8" ht="15.6" x14ac:dyDescent="0.3">
      <c r="D294" s="145">
        <v>45784</v>
      </c>
      <c r="E294" s="187">
        <v>634.75</v>
      </c>
      <c r="F294" s="146">
        <f t="shared" si="14"/>
        <v>1.1795648362158184E-2</v>
      </c>
      <c r="G294" s="187">
        <v>24414.400000000001</v>
      </c>
      <c r="H294" s="146">
        <f t="shared" si="15"/>
        <v>1.4274229273656402E-3</v>
      </c>
    </row>
    <row r="295" spans="4:8" ht="15.6" x14ac:dyDescent="0.3">
      <c r="D295" s="145">
        <v>45783</v>
      </c>
      <c r="E295" s="187">
        <v>627.35</v>
      </c>
      <c r="F295" s="146">
        <f t="shared" si="14"/>
        <v>-1.0566989985016817E-2</v>
      </c>
      <c r="G295" s="187">
        <v>24379.599999999999</v>
      </c>
      <c r="H295" s="146">
        <f t="shared" si="15"/>
        <v>-3.3338579747886898E-3</v>
      </c>
    </row>
    <row r="296" spans="4:8" ht="15.6" x14ac:dyDescent="0.3">
      <c r="D296" s="145">
        <v>45782</v>
      </c>
      <c r="E296" s="187">
        <v>634.04999999999995</v>
      </c>
      <c r="F296" s="146">
        <f t="shared" si="14"/>
        <v>1.1889562719438196E-2</v>
      </c>
      <c r="G296" s="187">
        <v>24461.15</v>
      </c>
      <c r="H296" s="146">
        <f t="shared" si="15"/>
        <v>4.7008424139616256E-3</v>
      </c>
    </row>
    <row r="297" spans="4:8" ht="15.6" x14ac:dyDescent="0.3">
      <c r="D297" s="145">
        <v>45779</v>
      </c>
      <c r="E297" s="187">
        <v>626.6</v>
      </c>
      <c r="F297" s="146">
        <f t="shared" si="14"/>
        <v>3.0414599007522192E-3</v>
      </c>
      <c r="G297" s="187">
        <v>24346.7</v>
      </c>
      <c r="H297" s="146">
        <f t="shared" si="15"/>
        <v>5.1368033467302787E-4</v>
      </c>
    </row>
    <row r="298" spans="4:8" ht="15.6" x14ac:dyDescent="0.3">
      <c r="D298" s="145">
        <v>45777</v>
      </c>
      <c r="E298" s="187">
        <v>624.70000000000005</v>
      </c>
      <c r="F298" s="146">
        <f t="shared" si="14"/>
        <v>-1.6685030694160052E-2</v>
      </c>
      <c r="G298" s="187">
        <v>24334.2</v>
      </c>
      <c r="H298" s="146">
        <f t="shared" si="15"/>
        <v>-7.1910075423398112E-5</v>
      </c>
    </row>
    <row r="299" spans="4:8" ht="15.6" x14ac:dyDescent="0.3">
      <c r="D299" s="145">
        <v>45776</v>
      </c>
      <c r="E299" s="187">
        <v>635.29999999999995</v>
      </c>
      <c r="F299" s="146">
        <f t="shared" si="14"/>
        <v>1.8762026940346344E-2</v>
      </c>
      <c r="G299" s="187">
        <v>24335.95</v>
      </c>
      <c r="H299" s="146">
        <f t="shared" si="15"/>
        <v>3.0622520911682827E-4</v>
      </c>
    </row>
    <row r="300" spans="4:8" ht="15.6" x14ac:dyDescent="0.3">
      <c r="D300" s="145">
        <v>45775</v>
      </c>
      <c r="E300" s="187">
        <v>623.6</v>
      </c>
      <c r="F300" s="146">
        <f t="shared" si="14"/>
        <v>6.1310100032270221E-3</v>
      </c>
      <c r="G300" s="187">
        <v>24328.5</v>
      </c>
      <c r="H300" s="146">
        <f t="shared" si="15"/>
        <v>1.2028195437896683E-2</v>
      </c>
    </row>
    <row r="301" spans="4:8" ht="15.6" x14ac:dyDescent="0.3">
      <c r="D301" s="145">
        <v>45772</v>
      </c>
      <c r="E301" s="187">
        <v>619.79999999999995</v>
      </c>
      <c r="F301" s="146">
        <f t="shared" si="14"/>
        <v>-4.0260142458965587E-2</v>
      </c>
      <c r="G301" s="187">
        <v>24039.35</v>
      </c>
      <c r="H301" s="146">
        <f t="shared" si="15"/>
        <v>-8.5516791975815964E-3</v>
      </c>
    </row>
    <row r="302" spans="4:8" ht="15.6" x14ac:dyDescent="0.3">
      <c r="D302" s="145">
        <v>45771</v>
      </c>
      <c r="E302" s="187">
        <v>645.79999999999995</v>
      </c>
      <c r="F302" s="146">
        <f t="shared" si="14"/>
        <v>-1.6232511401408356E-3</v>
      </c>
      <c r="G302" s="187">
        <v>24246.7</v>
      </c>
      <c r="H302" s="146">
        <f t="shared" si="15"/>
        <v>-3.380745983694311E-3</v>
      </c>
    </row>
    <row r="303" spans="4:8" ht="15.6" x14ac:dyDescent="0.3">
      <c r="D303" s="145">
        <v>45770</v>
      </c>
      <c r="E303" s="187">
        <v>646.85</v>
      </c>
      <c r="F303" s="146">
        <f t="shared" si="14"/>
        <v>8.2612423037955462E-3</v>
      </c>
      <c r="G303" s="187">
        <v>24328.95</v>
      </c>
      <c r="H303" s="146">
        <f t="shared" si="15"/>
        <v>6.6908729789281196E-3</v>
      </c>
    </row>
    <row r="304" spans="4:8" ht="15.6" x14ac:dyDescent="0.3">
      <c r="D304" s="145">
        <v>45769</v>
      </c>
      <c r="E304" s="187">
        <v>641.54999999999995</v>
      </c>
      <c r="F304" s="146">
        <f t="shared" si="14"/>
        <v>3.7938844847112074E-2</v>
      </c>
      <c r="G304" s="187">
        <v>24167.25</v>
      </c>
      <c r="H304" s="146">
        <f t="shared" si="15"/>
        <v>1.7284580040661801E-3</v>
      </c>
    </row>
    <row r="305" spans="4:8" ht="15.6" x14ac:dyDescent="0.3">
      <c r="D305" s="145">
        <v>45768</v>
      </c>
      <c r="E305" s="187">
        <v>618.1</v>
      </c>
      <c r="F305" s="146">
        <f t="shared" si="14"/>
        <v>5.0406504065041435E-3</v>
      </c>
      <c r="G305" s="187">
        <v>24125.55</v>
      </c>
      <c r="H305" s="146">
        <f t="shared" si="15"/>
        <v>1.1483482274811108E-2</v>
      </c>
    </row>
    <row r="306" spans="4:8" ht="15.6" x14ac:dyDescent="0.3">
      <c r="D306" s="145">
        <v>45764</v>
      </c>
      <c r="E306" s="187">
        <v>615</v>
      </c>
      <c r="F306" s="146">
        <f t="shared" si="14"/>
        <v>-1.8747506980454687E-2</v>
      </c>
      <c r="G306" s="187">
        <v>23851.65</v>
      </c>
      <c r="H306" s="146">
        <f t="shared" si="15"/>
        <v>1.7683426347857356E-2</v>
      </c>
    </row>
    <row r="307" spans="4:8" ht="15.6" x14ac:dyDescent="0.3">
      <c r="D307" s="145">
        <v>45763</v>
      </c>
      <c r="E307" s="187">
        <v>626.75</v>
      </c>
      <c r="F307" s="146">
        <f t="shared" si="14"/>
        <v>3.6464362493798586E-2</v>
      </c>
      <c r="G307" s="187">
        <v>23437.200000000001</v>
      </c>
      <c r="H307" s="146">
        <f t="shared" si="15"/>
        <v>4.6573833350123106E-3</v>
      </c>
    </row>
    <row r="308" spans="4:8" ht="15.6" x14ac:dyDescent="0.3">
      <c r="D308" s="145">
        <v>45762</v>
      </c>
      <c r="E308" s="187">
        <v>604.70000000000005</v>
      </c>
      <c r="F308" s="146">
        <f t="shared" si="14"/>
        <v>-6.2448644207065973E-3</v>
      </c>
      <c r="G308" s="187">
        <v>23328.55</v>
      </c>
      <c r="H308" s="146">
        <f t="shared" si="15"/>
        <v>2.1902398531663314E-2</v>
      </c>
    </row>
    <row r="309" spans="4:8" ht="15.6" x14ac:dyDescent="0.3">
      <c r="D309" s="145">
        <v>45758</v>
      </c>
      <c r="E309" s="187">
        <v>608.5</v>
      </c>
      <c r="F309" s="146">
        <f t="shared" si="14"/>
        <v>1.4420271734600254E-2</v>
      </c>
      <c r="G309" s="187">
        <v>22828.55</v>
      </c>
      <c r="H309" s="146">
        <f t="shared" si="15"/>
        <v>1.91703703042303E-2</v>
      </c>
    </row>
    <row r="310" spans="4:8" ht="15.6" x14ac:dyDescent="0.3">
      <c r="D310" s="145">
        <v>45756</v>
      </c>
      <c r="E310" s="187">
        <v>599.85</v>
      </c>
      <c r="F310" s="146">
        <f t="shared" si="14"/>
        <v>3.0404534913682113E-2</v>
      </c>
      <c r="G310" s="187">
        <v>22399.15</v>
      </c>
      <c r="H310" s="146">
        <f t="shared" si="15"/>
        <v>-6.0658905699140231E-3</v>
      </c>
    </row>
    <row r="311" spans="4:8" ht="15.6" x14ac:dyDescent="0.3">
      <c r="D311" s="145">
        <v>45755</v>
      </c>
      <c r="E311" s="187">
        <v>582.15</v>
      </c>
      <c r="F311" s="146">
        <f t="shared" si="14"/>
        <v>-4.1057223505259755E-3</v>
      </c>
      <c r="G311" s="187">
        <v>22535.85</v>
      </c>
      <c r="H311" s="146">
        <f t="shared" si="15"/>
        <v>1.68873186051548E-2</v>
      </c>
    </row>
    <row r="312" spans="4:8" ht="15.6" x14ac:dyDescent="0.3">
      <c r="D312" s="145">
        <v>45754</v>
      </c>
      <c r="E312" s="187">
        <v>584.54999999999995</v>
      </c>
      <c r="F312" s="146">
        <f t="shared" si="14"/>
        <v>-1.3917004048582982E-2</v>
      </c>
      <c r="G312" s="187">
        <v>22161.599999999999</v>
      </c>
      <c r="H312" s="146">
        <f t="shared" si="15"/>
        <v>-3.2432562231356932E-2</v>
      </c>
    </row>
    <row r="313" spans="4:8" ht="15.6" x14ac:dyDescent="0.3">
      <c r="D313" s="145">
        <v>45751</v>
      </c>
      <c r="E313" s="187">
        <v>592.79999999999995</v>
      </c>
      <c r="F313" s="146">
        <f t="shared" si="14"/>
        <v>2.9524140326502302E-2</v>
      </c>
      <c r="G313" s="187">
        <v>22904.45</v>
      </c>
      <c r="H313" s="146">
        <f t="shared" si="15"/>
        <v>-1.4866602724289302E-2</v>
      </c>
    </row>
    <row r="314" spans="4:8" ht="15.6" x14ac:dyDescent="0.3">
      <c r="D314" s="145">
        <v>45750</v>
      </c>
      <c r="E314" s="187">
        <v>575.79999999999995</v>
      </c>
      <c r="F314" s="146">
        <f t="shared" si="14"/>
        <v>-1.9080068143100593E-2</v>
      </c>
      <c r="G314" s="187">
        <v>23250.1</v>
      </c>
      <c r="H314" s="146">
        <f t="shared" si="15"/>
        <v>-3.5251485598322141E-3</v>
      </c>
    </row>
    <row r="315" spans="4:8" ht="15.6" x14ac:dyDescent="0.3">
      <c r="D315" s="145">
        <v>45749</v>
      </c>
      <c r="E315" s="187">
        <v>587</v>
      </c>
      <c r="F315" s="146">
        <f t="shared" si="14"/>
        <v>2.6762287913241201E-2</v>
      </c>
      <c r="G315" s="187">
        <v>23332.35</v>
      </c>
      <c r="H315" s="146">
        <f t="shared" si="15"/>
        <v>7.1938253538634811E-3</v>
      </c>
    </row>
    <row r="316" spans="4:8" ht="15.6" x14ac:dyDescent="0.3">
      <c r="D316" s="145">
        <v>45748</v>
      </c>
      <c r="E316" s="187">
        <v>571.70000000000005</v>
      </c>
      <c r="F316" s="146">
        <f t="shared" si="14"/>
        <v>-1.4140369029142841E-2</v>
      </c>
      <c r="G316" s="187">
        <v>23165.7</v>
      </c>
      <c r="H316" s="146">
        <f t="shared" si="15"/>
        <v>-1.5036555006834651E-2</v>
      </c>
    </row>
    <row r="317" spans="4:8" ht="15.6" x14ac:dyDescent="0.3">
      <c r="D317" s="145">
        <v>45744</v>
      </c>
      <c r="E317" s="187">
        <v>579.9</v>
      </c>
      <c r="F317" s="146">
        <f t="shared" si="14"/>
        <v>4.503724233500872E-3</v>
      </c>
      <c r="G317" s="187">
        <v>23519.35</v>
      </c>
      <c r="H317" s="146">
        <f t="shared" si="15"/>
        <v>-3.0773208658039231E-3</v>
      </c>
    </row>
    <row r="318" spans="4:8" ht="15.6" x14ac:dyDescent="0.3">
      <c r="D318" s="145">
        <v>45743</v>
      </c>
      <c r="E318" s="187">
        <v>577.29999999999995</v>
      </c>
      <c r="F318" s="146">
        <f t="shared" si="14"/>
        <v>3.644524236983826E-2</v>
      </c>
      <c r="G318" s="187">
        <v>23591.95</v>
      </c>
      <c r="H318" s="146">
        <f t="shared" si="15"/>
        <v>4.4748444342259663E-3</v>
      </c>
    </row>
    <row r="319" spans="4:8" ht="15.6" x14ac:dyDescent="0.3">
      <c r="D319" s="145">
        <v>45742</v>
      </c>
      <c r="E319" s="187">
        <v>557</v>
      </c>
      <c r="F319" s="146">
        <f t="shared" si="14"/>
        <v>-3.3070046002951048E-2</v>
      </c>
      <c r="G319" s="187">
        <v>23486.85</v>
      </c>
      <c r="H319" s="146">
        <f t="shared" si="15"/>
        <v>-7.6810464475161044E-3</v>
      </c>
    </row>
    <row r="320" spans="4:8" ht="15.6" x14ac:dyDescent="0.3">
      <c r="D320" s="145">
        <v>45741</v>
      </c>
      <c r="E320" s="187">
        <v>576.04999999999995</v>
      </c>
      <c r="F320" s="146">
        <f t="shared" si="14"/>
        <v>5.4983417699423498E-3</v>
      </c>
      <c r="G320" s="187">
        <v>23668.65</v>
      </c>
      <c r="H320" s="146">
        <f t="shared" si="15"/>
        <v>4.353642582852757E-4</v>
      </c>
    </row>
    <row r="321" spans="4:8" ht="15.6" x14ac:dyDescent="0.3">
      <c r="D321" s="145">
        <v>45740</v>
      </c>
      <c r="E321" s="187">
        <v>572.9</v>
      </c>
      <c r="F321" s="146">
        <f t="shared" si="14"/>
        <v>-5.3819444444445086E-3</v>
      </c>
      <c r="G321" s="187">
        <v>23658.35</v>
      </c>
      <c r="H321" s="146">
        <f t="shared" si="15"/>
        <v>1.3188210908592346E-2</v>
      </c>
    </row>
    <row r="322" spans="4:8" ht="15.6" x14ac:dyDescent="0.3">
      <c r="D322" s="145">
        <v>45737</v>
      </c>
      <c r="E322" s="187">
        <v>576</v>
      </c>
      <c r="F322" s="146">
        <f t="shared" si="14"/>
        <v>1.5514809590973178E-2</v>
      </c>
      <c r="G322" s="187">
        <v>23350.400000000001</v>
      </c>
      <c r="H322" s="146">
        <f t="shared" si="15"/>
        <v>6.8885520673203082E-3</v>
      </c>
    </row>
    <row r="323" spans="4:8" ht="15.6" x14ac:dyDescent="0.3">
      <c r="D323" s="145">
        <v>45736</v>
      </c>
      <c r="E323" s="187">
        <v>567.20000000000005</v>
      </c>
      <c r="F323" s="146">
        <f t="shared" si="14"/>
        <v>1.6943074854325557E-2</v>
      </c>
      <c r="G323" s="187">
        <v>23190.65</v>
      </c>
      <c r="H323" s="146">
        <f t="shared" si="15"/>
        <v>1.2356161273987754E-2</v>
      </c>
    </row>
    <row r="324" spans="4:8" ht="15.6" x14ac:dyDescent="0.3">
      <c r="D324" s="145">
        <v>45735</v>
      </c>
      <c r="E324" s="187">
        <v>557.75</v>
      </c>
      <c r="F324" s="146">
        <f t="shared" si="14"/>
        <v>4.5024763619991859E-3</v>
      </c>
      <c r="G324" s="187">
        <v>22907.599999999999</v>
      </c>
      <c r="H324" s="146">
        <f t="shared" si="15"/>
        <v>3.2100830767747279E-3</v>
      </c>
    </row>
    <row r="325" spans="4:8" ht="15.6" x14ac:dyDescent="0.3">
      <c r="D325" s="145">
        <v>45734</v>
      </c>
      <c r="E325" s="187">
        <v>555.25</v>
      </c>
      <c r="F325" s="146">
        <f t="shared" si="14"/>
        <v>1.5732186956919358E-2</v>
      </c>
      <c r="G325" s="187">
        <v>22834.3</v>
      </c>
      <c r="H325" s="146">
        <f t="shared" si="15"/>
        <v>1.4463264286110888E-2</v>
      </c>
    </row>
    <row r="326" spans="4:8" ht="15.6" x14ac:dyDescent="0.3">
      <c r="D326" s="145">
        <v>45733</v>
      </c>
      <c r="E326" s="187">
        <v>546.65</v>
      </c>
      <c r="F326" s="146">
        <f t="shared" si="14"/>
        <v>-2.7572711909632619E-2</v>
      </c>
      <c r="G326" s="187">
        <v>22508.75</v>
      </c>
      <c r="H326" s="146">
        <f t="shared" si="15"/>
        <v>4.9805332809458314E-3</v>
      </c>
    </row>
    <row r="327" spans="4:8" ht="15.6" x14ac:dyDescent="0.3">
      <c r="D327" s="145">
        <v>45729</v>
      </c>
      <c r="E327" s="187">
        <v>562.15</v>
      </c>
      <c r="F327" s="146">
        <f t="shared" si="14"/>
        <v>-9.8634962571554352E-3</v>
      </c>
      <c r="G327" s="187">
        <v>22397.200000000001</v>
      </c>
      <c r="H327" s="146">
        <f t="shared" si="15"/>
        <v>-3.2620546939320372E-3</v>
      </c>
    </row>
    <row r="328" spans="4:8" ht="15.6" x14ac:dyDescent="0.3">
      <c r="D328" s="145">
        <v>45728</v>
      </c>
      <c r="E328" s="187">
        <v>567.75</v>
      </c>
      <c r="F328" s="146">
        <f t="shared" si="14"/>
        <v>3.2648235722080754E-2</v>
      </c>
      <c r="G328" s="187">
        <v>22470.5</v>
      </c>
      <c r="H328" s="146">
        <f t="shared" si="15"/>
        <v>-1.2178914476462799E-3</v>
      </c>
    </row>
    <row r="329" spans="4:8" ht="15.6" x14ac:dyDescent="0.3">
      <c r="D329" s="145">
        <v>45727</v>
      </c>
      <c r="E329" s="187">
        <v>549.79999999999995</v>
      </c>
      <c r="F329" s="146">
        <f t="shared" si="14"/>
        <v>-3.2297808677285933E-2</v>
      </c>
      <c r="G329" s="187">
        <v>22497.9</v>
      </c>
      <c r="H329" s="146">
        <f t="shared" si="15"/>
        <v>1.6740649056334878E-3</v>
      </c>
    </row>
    <row r="330" spans="4:8" ht="15.6" x14ac:dyDescent="0.3">
      <c r="D330" s="145">
        <v>45726</v>
      </c>
      <c r="E330" s="187">
        <v>568.15</v>
      </c>
      <c r="F330" s="146">
        <f t="shared" si="14"/>
        <v>2.9723606705935657E-2</v>
      </c>
      <c r="G330" s="187">
        <v>22460.3</v>
      </c>
      <c r="H330" s="146">
        <f t="shared" si="15"/>
        <v>-4.0882385544840361E-3</v>
      </c>
    </row>
    <row r="331" spans="4:8" ht="15.6" x14ac:dyDescent="0.3">
      <c r="D331" s="145">
        <v>45723</v>
      </c>
      <c r="E331" s="187">
        <v>551.75</v>
      </c>
      <c r="F331" s="146">
        <f t="shared" si="14"/>
        <v>3.4304995782172609E-2</v>
      </c>
      <c r="G331" s="187">
        <v>22552.5</v>
      </c>
      <c r="H331" s="146">
        <f t="shared" si="15"/>
        <v>3.459793210820461E-4</v>
      </c>
    </row>
    <row r="332" spans="4:8" ht="15.6" x14ac:dyDescent="0.3">
      <c r="D332" s="145">
        <v>45722</v>
      </c>
      <c r="E332" s="187">
        <v>533.45000000000005</v>
      </c>
      <c r="F332" s="146">
        <f t="shared" si="14"/>
        <v>1.5031871372847672E-2</v>
      </c>
      <c r="G332" s="187">
        <v>22544.7</v>
      </c>
      <c r="H332" s="146">
        <f t="shared" si="15"/>
        <v>9.2849180518683738E-3</v>
      </c>
    </row>
    <row r="333" spans="4:8" ht="15.6" x14ac:dyDescent="0.3">
      <c r="D333" s="145">
        <v>45721</v>
      </c>
      <c r="E333" s="187">
        <v>525.54999999999995</v>
      </c>
      <c r="F333" s="146">
        <f t="shared" si="14"/>
        <v>-5.8639931902014775E-3</v>
      </c>
      <c r="G333" s="187">
        <v>22337.3</v>
      </c>
      <c r="H333" s="146">
        <f t="shared" si="15"/>
        <v>1.1531677583985545E-2</v>
      </c>
    </row>
    <row r="334" spans="4:8" ht="15.6" x14ac:dyDescent="0.3">
      <c r="D334" s="145">
        <v>45720</v>
      </c>
      <c r="E334" s="187">
        <v>528.65</v>
      </c>
      <c r="F334" s="146">
        <f t="shared" si="14"/>
        <v>1.3030564338411432E-2</v>
      </c>
      <c r="G334" s="187">
        <v>22082.65</v>
      </c>
      <c r="H334" s="146">
        <f t="shared" si="15"/>
        <v>-1.6569240437083188E-3</v>
      </c>
    </row>
    <row r="335" spans="4:8" ht="15.6" x14ac:dyDescent="0.3">
      <c r="D335" s="145">
        <v>45719</v>
      </c>
      <c r="E335" s="187">
        <v>521.85</v>
      </c>
      <c r="F335" s="146">
        <f t="shared" si="14"/>
        <v>-1.5284460798188571E-2</v>
      </c>
      <c r="G335" s="187">
        <v>22119.3</v>
      </c>
      <c r="H335" s="146">
        <f t="shared" si="15"/>
        <v>-2.4407110604895976E-4</v>
      </c>
    </row>
    <row r="336" spans="4:8" ht="15.6" x14ac:dyDescent="0.3">
      <c r="D336" s="145">
        <v>45716</v>
      </c>
      <c r="E336" s="187">
        <v>529.95000000000005</v>
      </c>
      <c r="F336" s="146">
        <f t="shared" si="14"/>
        <v>-2.9039941370465172E-2</v>
      </c>
      <c r="G336" s="187">
        <v>22124.7</v>
      </c>
      <c r="H336" s="146">
        <f t="shared" si="15"/>
        <v>-1.8644891007116748E-2</v>
      </c>
    </row>
    <row r="337" spans="4:8" ht="15.6" x14ac:dyDescent="0.3">
      <c r="D337" s="145">
        <v>45715</v>
      </c>
      <c r="E337" s="187">
        <v>545.79999999999995</v>
      </c>
      <c r="F337" s="146">
        <f t="shared" si="14"/>
        <v>-3.4690524009496349E-3</v>
      </c>
      <c r="G337" s="187">
        <v>22545.05</v>
      </c>
      <c r="H337" s="146">
        <f t="shared" si="15"/>
        <v>-1.1087679149179852E-4</v>
      </c>
    </row>
    <row r="338" spans="4:8" ht="15.6" x14ac:dyDescent="0.3">
      <c r="D338" s="145">
        <v>45713</v>
      </c>
      <c r="E338" s="187">
        <v>547.70000000000005</v>
      </c>
      <c r="F338" s="146">
        <f t="shared" si="14"/>
        <v>-6.7101922379396717E-3</v>
      </c>
      <c r="G338" s="187">
        <v>22547.55</v>
      </c>
      <c r="H338" s="146">
        <f t="shared" si="15"/>
        <v>-2.5716800386632599E-4</v>
      </c>
    </row>
    <row r="339" spans="4:8" ht="15.6" x14ac:dyDescent="0.3">
      <c r="D339" s="145">
        <v>45712</v>
      </c>
      <c r="E339" s="187">
        <v>551.4</v>
      </c>
      <c r="F339" s="146">
        <f t="shared" si="14"/>
        <v>-9.4314201023982802E-3</v>
      </c>
      <c r="G339" s="187">
        <v>22553.35</v>
      </c>
      <c r="H339" s="146">
        <f t="shared" si="15"/>
        <v>-1.0640071240881177E-2</v>
      </c>
    </row>
    <row r="340" spans="4:8" ht="15.6" x14ac:dyDescent="0.3">
      <c r="D340" s="145">
        <v>45709</v>
      </c>
      <c r="E340" s="187">
        <v>556.65</v>
      </c>
      <c r="F340" s="146">
        <f t="shared" si="14"/>
        <v>-8.077544426494665E-4</v>
      </c>
      <c r="G340" s="187">
        <v>22795.9</v>
      </c>
      <c r="H340" s="146">
        <f t="shared" si="15"/>
        <v>-5.1171488861200265E-3</v>
      </c>
    </row>
    <row r="341" spans="4:8" ht="15.6" x14ac:dyDescent="0.3">
      <c r="D341" s="145">
        <v>45708</v>
      </c>
      <c r="E341" s="187">
        <v>557.1</v>
      </c>
      <c r="F341" s="146">
        <f t="shared" si="14"/>
        <v>1.5956961794474367E-2</v>
      </c>
      <c r="G341" s="187">
        <v>22913.15</v>
      </c>
      <c r="H341" s="146">
        <f t="shared" si="15"/>
        <v>-8.6120813329326751E-4</v>
      </c>
    </row>
    <row r="342" spans="4:8" ht="15.6" x14ac:dyDescent="0.3">
      <c r="D342" s="145">
        <v>45707</v>
      </c>
      <c r="E342" s="187">
        <v>548.35</v>
      </c>
      <c r="F342" s="146">
        <f t="shared" si="14"/>
        <v>1.3585951940850327E-2</v>
      </c>
      <c r="G342" s="187">
        <v>22932.9</v>
      </c>
      <c r="H342" s="146">
        <f t="shared" si="15"/>
        <v>-5.4041568425766684E-4</v>
      </c>
    </row>
    <row r="343" spans="4:8" ht="15.6" x14ac:dyDescent="0.3">
      <c r="D343" s="145">
        <v>45706</v>
      </c>
      <c r="E343" s="187">
        <v>541</v>
      </c>
      <c r="F343" s="146">
        <f t="shared" si="14"/>
        <v>3.3132817721760688E-2</v>
      </c>
      <c r="G343" s="187">
        <v>22945.3</v>
      </c>
      <c r="H343" s="146">
        <f t="shared" si="15"/>
        <v>-6.1848036760381309E-4</v>
      </c>
    </row>
    <row r="344" spans="4:8" ht="15.6" x14ac:dyDescent="0.3">
      <c r="D344" s="145">
        <v>45705</v>
      </c>
      <c r="E344" s="187">
        <v>523.65</v>
      </c>
      <c r="F344" s="146">
        <f t="shared" si="14"/>
        <v>-1.620591039084851E-3</v>
      </c>
      <c r="G344" s="187">
        <v>22959.5</v>
      </c>
      <c r="H344" s="146">
        <f t="shared" si="15"/>
        <v>1.3192755977626813E-3</v>
      </c>
    </row>
    <row r="345" spans="4:8" ht="15.6" x14ac:dyDescent="0.3">
      <c r="D345" s="145">
        <v>45702</v>
      </c>
      <c r="E345" s="187">
        <v>524.5</v>
      </c>
      <c r="F345" s="146">
        <f t="shared" si="14"/>
        <v>-2.8073751505605427E-2</v>
      </c>
      <c r="G345" s="187">
        <v>22929.25</v>
      </c>
      <c r="H345" s="146">
        <f t="shared" si="15"/>
        <v>-4.4352492683902289E-3</v>
      </c>
    </row>
    <row r="346" spans="4:8" ht="15.6" x14ac:dyDescent="0.3">
      <c r="D346" s="145">
        <v>45701</v>
      </c>
      <c r="E346" s="187">
        <v>539.65</v>
      </c>
      <c r="F346" s="146">
        <f t="shared" si="14"/>
        <v>-3.4097010918203052E-2</v>
      </c>
      <c r="G346" s="187">
        <v>23031.4</v>
      </c>
      <c r="H346" s="146">
        <f t="shared" si="15"/>
        <v>-6.0099152753811946E-4</v>
      </c>
    </row>
    <row r="347" spans="4:8" ht="15.6" x14ac:dyDescent="0.3">
      <c r="D347" s="145">
        <v>45700</v>
      </c>
      <c r="E347" s="187">
        <v>558.70000000000005</v>
      </c>
      <c r="F347" s="146">
        <f t="shared" ref="F347:F410" si="16">E347/E348-1</f>
        <v>3.367252543940813E-2</v>
      </c>
      <c r="G347" s="187">
        <v>23045.25</v>
      </c>
      <c r="H347" s="146">
        <f t="shared" ref="H347:H410" si="17">G347/G348-1</f>
        <v>-1.1507554677138154E-3</v>
      </c>
    </row>
    <row r="348" spans="4:8" ht="15.6" x14ac:dyDescent="0.3">
      <c r="D348" s="145">
        <v>45699</v>
      </c>
      <c r="E348" s="187">
        <v>540.5</v>
      </c>
      <c r="F348" s="146">
        <f t="shared" si="16"/>
        <v>-5.9100008703977802E-2</v>
      </c>
      <c r="G348" s="187">
        <v>23071.8</v>
      </c>
      <c r="H348" s="146">
        <f t="shared" si="17"/>
        <v>-1.3249734834228644E-2</v>
      </c>
    </row>
    <row r="349" spans="4:8" ht="15.6" x14ac:dyDescent="0.3">
      <c r="D349" s="145">
        <v>45698</v>
      </c>
      <c r="E349" s="187">
        <v>574.45000000000005</v>
      </c>
      <c r="F349" s="146">
        <f t="shared" si="16"/>
        <v>2.7930522824475279E-3</v>
      </c>
      <c r="G349" s="187">
        <v>23381.599999999999</v>
      </c>
      <c r="H349" s="146">
        <f t="shared" si="17"/>
        <v>-7.5700500213287114E-3</v>
      </c>
    </row>
    <row r="350" spans="4:8" ht="15.6" x14ac:dyDescent="0.3">
      <c r="D350" s="145">
        <v>45695</v>
      </c>
      <c r="E350" s="187">
        <v>572.85</v>
      </c>
      <c r="F350" s="146">
        <f t="shared" si="16"/>
        <v>-5.1233067037164126E-3</v>
      </c>
      <c r="G350" s="187">
        <v>23559.95</v>
      </c>
      <c r="H350" s="146">
        <f t="shared" si="17"/>
        <v>-1.8387220458111475E-3</v>
      </c>
    </row>
    <row r="351" spans="4:8" ht="15.6" x14ac:dyDescent="0.3">
      <c r="D351" s="145">
        <v>45694</v>
      </c>
      <c r="E351" s="187">
        <v>575.79999999999995</v>
      </c>
      <c r="F351" s="146">
        <f t="shared" si="16"/>
        <v>-1.6734972677595716E-2</v>
      </c>
      <c r="G351" s="187">
        <v>23603.35</v>
      </c>
      <c r="H351" s="146">
        <f t="shared" si="17"/>
        <v>-3.922553310010457E-3</v>
      </c>
    </row>
    <row r="352" spans="4:8" ht="15.6" x14ac:dyDescent="0.3">
      <c r="D352" s="145">
        <v>45693</v>
      </c>
      <c r="E352" s="187">
        <v>585.6</v>
      </c>
      <c r="F352" s="146">
        <f t="shared" si="16"/>
        <v>1.4536126549808959E-3</v>
      </c>
      <c r="G352" s="187">
        <v>23696.3</v>
      </c>
      <c r="H352" s="146">
        <f t="shared" si="17"/>
        <v>-1.8092399717767327E-3</v>
      </c>
    </row>
    <row r="353" spans="4:8" ht="15.6" x14ac:dyDescent="0.3">
      <c r="D353" s="145">
        <v>45692</v>
      </c>
      <c r="E353" s="187">
        <v>584.75</v>
      </c>
      <c r="F353" s="146">
        <f t="shared" si="16"/>
        <v>-4.8103532475988864E-2</v>
      </c>
      <c r="G353" s="187">
        <v>23739.25</v>
      </c>
      <c r="H353" s="146">
        <f t="shared" si="17"/>
        <v>1.6189340804458663E-2</v>
      </c>
    </row>
    <row r="354" spans="4:8" ht="15.6" x14ac:dyDescent="0.3">
      <c r="D354" s="145">
        <v>45691</v>
      </c>
      <c r="E354" s="187">
        <v>614.29999999999995</v>
      </c>
      <c r="F354" s="146">
        <f t="shared" si="16"/>
        <v>-1.8376478108021788E-2</v>
      </c>
      <c r="G354" s="187">
        <v>23361.05</v>
      </c>
      <c r="H354" s="146">
        <f t="shared" si="17"/>
        <v>-5.1571086974575575E-3</v>
      </c>
    </row>
    <row r="355" spans="4:8" ht="15.6" x14ac:dyDescent="0.3">
      <c r="D355" s="145">
        <v>45689</v>
      </c>
      <c r="E355" s="187">
        <v>625.79999999999995</v>
      </c>
      <c r="F355" s="146">
        <f t="shared" si="16"/>
        <v>6.1307555329432661E-2</v>
      </c>
      <c r="G355" s="187">
        <v>23482.15</v>
      </c>
      <c r="H355" s="146">
        <f t="shared" si="17"/>
        <v>-1.1166221435742196E-3</v>
      </c>
    </row>
    <row r="356" spans="4:8" ht="15.6" x14ac:dyDescent="0.3">
      <c r="D356" s="145">
        <v>45688</v>
      </c>
      <c r="E356" s="187">
        <v>589.65</v>
      </c>
      <c r="F356" s="146">
        <f t="shared" si="16"/>
        <v>3.2571578670869572E-2</v>
      </c>
      <c r="G356" s="187">
        <v>23508.400000000001</v>
      </c>
      <c r="H356" s="146">
        <f t="shared" si="17"/>
        <v>1.1135723348889348E-2</v>
      </c>
    </row>
    <row r="357" spans="4:8" ht="15.6" x14ac:dyDescent="0.3">
      <c r="D357" s="145">
        <v>45687</v>
      </c>
      <c r="E357" s="187">
        <v>571.04999999999995</v>
      </c>
      <c r="F357" s="146">
        <f t="shared" si="16"/>
        <v>-2.8810895756942179E-3</v>
      </c>
      <c r="G357" s="187">
        <v>23249.5</v>
      </c>
      <c r="H357" s="146">
        <f t="shared" si="17"/>
        <v>3.7300706727512178E-3</v>
      </c>
    </row>
    <row r="358" spans="4:8" ht="15.6" x14ac:dyDescent="0.3">
      <c r="D358" s="145">
        <v>45686</v>
      </c>
      <c r="E358" s="187">
        <v>572.70000000000005</v>
      </c>
      <c r="F358" s="146">
        <f t="shared" si="16"/>
        <v>3.0870308703087268E-2</v>
      </c>
      <c r="G358" s="187">
        <v>23163.1</v>
      </c>
      <c r="H358" s="146">
        <f t="shared" si="17"/>
        <v>8.9666663036731542E-3</v>
      </c>
    </row>
    <row r="359" spans="4:8" ht="15.6" x14ac:dyDescent="0.3">
      <c r="D359" s="145">
        <v>45685</v>
      </c>
      <c r="E359" s="187">
        <v>555.54999999999995</v>
      </c>
      <c r="F359" s="146">
        <f t="shared" si="16"/>
        <v>3.8314176245210829E-2</v>
      </c>
      <c r="G359" s="187">
        <v>22957.25</v>
      </c>
      <c r="H359" s="146">
        <f t="shared" si="17"/>
        <v>5.6112470240896606E-3</v>
      </c>
    </row>
    <row r="360" spans="4:8" ht="15.6" x14ac:dyDescent="0.3">
      <c r="D360" s="145">
        <v>45684</v>
      </c>
      <c r="E360" s="187">
        <v>535.04999999999995</v>
      </c>
      <c r="F360" s="146">
        <f t="shared" si="16"/>
        <v>-2.9475784509341518E-2</v>
      </c>
      <c r="G360" s="187">
        <v>22829.15</v>
      </c>
      <c r="H360" s="146">
        <f t="shared" si="17"/>
        <v>-1.139129229783209E-2</v>
      </c>
    </row>
    <row r="361" spans="4:8" ht="15.6" x14ac:dyDescent="0.3">
      <c r="D361" s="145">
        <v>45681</v>
      </c>
      <c r="E361" s="187">
        <v>551.29999999999995</v>
      </c>
      <c r="F361" s="146">
        <f t="shared" si="16"/>
        <v>-1.9911111111111213E-2</v>
      </c>
      <c r="G361" s="187">
        <v>23092.2</v>
      </c>
      <c r="H361" s="146">
        <f t="shared" si="17"/>
        <v>-4.876030742910431E-3</v>
      </c>
    </row>
    <row r="362" spans="4:8" ht="15.6" x14ac:dyDescent="0.3">
      <c r="D362" s="145">
        <v>45680</v>
      </c>
      <c r="E362" s="187">
        <v>562.5</v>
      </c>
      <c r="F362" s="146">
        <f t="shared" si="16"/>
        <v>4.8231511254019921E-3</v>
      </c>
      <c r="G362" s="187">
        <v>23205.35</v>
      </c>
      <c r="H362" s="146">
        <f t="shared" si="17"/>
        <v>2.1593281898135697E-3</v>
      </c>
    </row>
    <row r="363" spans="4:8" ht="15.6" x14ac:dyDescent="0.3">
      <c r="D363" s="145">
        <v>45679</v>
      </c>
      <c r="E363" s="187">
        <v>559.79999999999995</v>
      </c>
      <c r="F363" s="146">
        <f t="shared" si="16"/>
        <v>1.9208010923987162E-2</v>
      </c>
      <c r="G363" s="187">
        <v>23155.35</v>
      </c>
      <c r="H363" s="146">
        <f t="shared" si="17"/>
        <v>5.6765249417471964E-3</v>
      </c>
    </row>
    <row r="364" spans="4:8" ht="15.6" x14ac:dyDescent="0.3">
      <c r="D364" s="145">
        <v>45678</v>
      </c>
      <c r="E364" s="187">
        <v>549.25</v>
      </c>
      <c r="F364" s="146">
        <f t="shared" si="16"/>
        <v>-1.9108849004375483E-2</v>
      </c>
      <c r="G364" s="187">
        <v>23024.65</v>
      </c>
      <c r="H364" s="146">
        <f t="shared" si="17"/>
        <v>-1.3711862410177855E-2</v>
      </c>
    </row>
    <row r="365" spans="4:8" ht="15.6" x14ac:dyDescent="0.3">
      <c r="D365" s="145">
        <v>45677</v>
      </c>
      <c r="E365" s="187">
        <v>559.95000000000005</v>
      </c>
      <c r="F365" s="146">
        <f t="shared" si="16"/>
        <v>-8.6748694343630195E-3</v>
      </c>
      <c r="G365" s="187">
        <v>23344.75</v>
      </c>
      <c r="H365" s="146">
        <f t="shared" si="17"/>
        <v>6.1004516618397009E-3</v>
      </c>
    </row>
    <row r="366" spans="4:8" ht="15.6" x14ac:dyDescent="0.3">
      <c r="D366" s="145">
        <v>45674</v>
      </c>
      <c r="E366" s="187">
        <v>564.85</v>
      </c>
      <c r="F366" s="146">
        <f t="shared" si="16"/>
        <v>-3.5395097778945228E-4</v>
      </c>
      <c r="G366" s="187">
        <v>23203.200000000001</v>
      </c>
      <c r="H366" s="146">
        <f t="shared" si="17"/>
        <v>-4.6585849226571385E-3</v>
      </c>
    </row>
    <row r="367" spans="4:8" ht="15.6" x14ac:dyDescent="0.3">
      <c r="D367" s="145">
        <v>45673</v>
      </c>
      <c r="E367" s="187">
        <v>565.04999999999995</v>
      </c>
      <c r="F367" s="146">
        <f t="shared" si="16"/>
        <v>-2.383474576271194E-3</v>
      </c>
      <c r="G367" s="187">
        <v>23311.8</v>
      </c>
      <c r="H367" s="146">
        <f t="shared" si="17"/>
        <v>4.2475832715866968E-3</v>
      </c>
    </row>
    <row r="368" spans="4:8" ht="15.6" x14ac:dyDescent="0.3">
      <c r="D368" s="145">
        <v>45672</v>
      </c>
      <c r="E368" s="187">
        <v>566.4</v>
      </c>
      <c r="F368" s="146">
        <f t="shared" si="16"/>
        <v>1.2513407222023654E-2</v>
      </c>
      <c r="G368" s="187">
        <v>23213.200000000001</v>
      </c>
      <c r="H368" s="146">
        <f t="shared" si="17"/>
        <v>1.6029478707546563E-3</v>
      </c>
    </row>
    <row r="369" spans="4:8" ht="15.6" x14ac:dyDescent="0.3">
      <c r="D369" s="145">
        <v>45671</v>
      </c>
      <c r="E369" s="187">
        <v>559.4</v>
      </c>
      <c r="F369" s="146">
        <f t="shared" si="16"/>
        <v>-1.0261854210898869E-2</v>
      </c>
      <c r="G369" s="187">
        <v>23176.05</v>
      </c>
      <c r="H369" s="146">
        <f t="shared" si="17"/>
        <v>3.9028066854513987E-3</v>
      </c>
    </row>
    <row r="370" spans="4:8" ht="15.6" x14ac:dyDescent="0.3">
      <c r="D370" s="145">
        <v>45670</v>
      </c>
      <c r="E370" s="187">
        <v>565.20000000000005</v>
      </c>
      <c r="F370" s="146">
        <f t="shared" si="16"/>
        <v>-4.1058703766542082E-2</v>
      </c>
      <c r="G370" s="187">
        <v>23085.95</v>
      </c>
      <c r="H370" s="146">
        <f t="shared" si="17"/>
        <v>-1.4747241960608504E-2</v>
      </c>
    </row>
    <row r="371" spans="4:8" ht="15.6" x14ac:dyDescent="0.3">
      <c r="D371" s="145">
        <v>45667</v>
      </c>
      <c r="E371" s="187">
        <v>589.4</v>
      </c>
      <c r="F371" s="146">
        <f t="shared" si="16"/>
        <v>-1.0658833403273227E-2</v>
      </c>
      <c r="G371" s="187">
        <v>23431.5</v>
      </c>
      <c r="H371" s="146">
        <f t="shared" si="17"/>
        <v>-4.037999702463213E-3</v>
      </c>
    </row>
    <row r="372" spans="4:8" ht="15.6" x14ac:dyDescent="0.3">
      <c r="D372" s="145">
        <v>45666</v>
      </c>
      <c r="E372" s="187">
        <v>595.75</v>
      </c>
      <c r="F372" s="146">
        <f t="shared" si="16"/>
        <v>2.0819054146675731E-2</v>
      </c>
      <c r="G372" s="187">
        <v>23526.5</v>
      </c>
      <c r="H372" s="146">
        <f t="shared" si="17"/>
        <v>-6.8576277124988705E-3</v>
      </c>
    </row>
    <row r="373" spans="4:8" ht="15.6" x14ac:dyDescent="0.3">
      <c r="D373" s="145">
        <v>45665</v>
      </c>
      <c r="E373" s="187">
        <v>583.6</v>
      </c>
      <c r="F373" s="146">
        <f t="shared" si="16"/>
        <v>-8.0734256819919858E-3</v>
      </c>
      <c r="G373" s="187">
        <v>23688.95</v>
      </c>
      <c r="H373" s="146">
        <f t="shared" si="17"/>
        <v>-7.9931162186441806E-4</v>
      </c>
    </row>
    <row r="374" spans="4:8" ht="15.6" x14ac:dyDescent="0.3">
      <c r="D374" s="145">
        <v>45664</v>
      </c>
      <c r="E374" s="187">
        <v>588.35</v>
      </c>
      <c r="F374" s="146">
        <f t="shared" si="16"/>
        <v>6.1564771269773111E-3</v>
      </c>
      <c r="G374" s="187">
        <v>23707.9</v>
      </c>
      <c r="H374" s="146">
        <f t="shared" si="17"/>
        <v>3.8893040961549552E-3</v>
      </c>
    </row>
    <row r="375" spans="4:8" ht="15.6" x14ac:dyDescent="0.3">
      <c r="D375" s="145">
        <v>45663</v>
      </c>
      <c r="E375" s="187">
        <v>584.75</v>
      </c>
      <c r="F375" s="146">
        <f t="shared" si="16"/>
        <v>-4.833591016356098E-2</v>
      </c>
      <c r="G375" s="187">
        <v>23616.05</v>
      </c>
      <c r="H375" s="146">
        <f t="shared" si="17"/>
        <v>-1.6192628542267662E-2</v>
      </c>
    </row>
    <row r="376" spans="4:8" ht="15.6" x14ac:dyDescent="0.3">
      <c r="D376" s="145">
        <v>45660</v>
      </c>
      <c r="E376" s="187">
        <v>614.45000000000005</v>
      </c>
      <c r="F376" s="146">
        <f t="shared" si="16"/>
        <v>9.2805519053877905E-3</v>
      </c>
      <c r="G376" s="187">
        <v>24004.75</v>
      </c>
      <c r="H376" s="146">
        <f t="shared" si="17"/>
        <v>-7.6027393012839672E-3</v>
      </c>
    </row>
    <row r="377" spans="4:8" ht="15.6" x14ac:dyDescent="0.3">
      <c r="D377" s="145">
        <v>45659</v>
      </c>
      <c r="E377" s="187">
        <v>608.79999999999995</v>
      </c>
      <c r="F377" s="146">
        <f t="shared" si="16"/>
        <v>4.108125872976931E-4</v>
      </c>
      <c r="G377" s="187">
        <v>24188.65</v>
      </c>
      <c r="H377" s="146">
        <f t="shared" si="17"/>
        <v>1.8774033500541298E-2</v>
      </c>
    </row>
    <row r="378" spans="4:8" ht="15.6" x14ac:dyDescent="0.3">
      <c r="D378" s="145">
        <v>45658</v>
      </c>
      <c r="E378" s="187">
        <v>608.54999999999995</v>
      </c>
      <c r="F378" s="146">
        <f t="shared" si="16"/>
        <v>1.2983770287140928E-2</v>
      </c>
      <c r="G378" s="187">
        <v>23742.9</v>
      </c>
      <c r="H378" s="146">
        <f t="shared" si="17"/>
        <v>4.1489037758830616E-3</v>
      </c>
    </row>
    <row r="379" spans="4:8" ht="15.6" x14ac:dyDescent="0.3">
      <c r="D379" s="145">
        <v>45657</v>
      </c>
      <c r="E379" s="187">
        <v>600.75</v>
      </c>
      <c r="F379" s="146">
        <f t="shared" si="16"/>
        <v>1.6411471110735265E-2</v>
      </c>
      <c r="G379" s="187">
        <v>23644.799999999999</v>
      </c>
      <c r="H379" s="146">
        <f t="shared" si="17"/>
        <v>-4.2292418238609741E-6</v>
      </c>
    </row>
    <row r="380" spans="4:8" ht="15.6" x14ac:dyDescent="0.3">
      <c r="D380" s="145">
        <v>45656</v>
      </c>
      <c r="E380" s="187">
        <v>591.04999999999995</v>
      </c>
      <c r="F380" s="146">
        <f t="shared" si="16"/>
        <v>1.3553578991951643E-3</v>
      </c>
      <c r="G380" s="187">
        <v>23644.9</v>
      </c>
      <c r="H380" s="146">
        <f t="shared" si="17"/>
        <v>-7.0758480519371725E-3</v>
      </c>
    </row>
    <row r="381" spans="4:8" ht="15.6" x14ac:dyDescent="0.3">
      <c r="D381" s="145">
        <v>45653</v>
      </c>
      <c r="E381" s="187">
        <v>590.25</v>
      </c>
      <c r="F381" s="146">
        <f t="shared" si="16"/>
        <v>2.8884546767480312E-3</v>
      </c>
      <c r="G381" s="187">
        <v>23813.4</v>
      </c>
      <c r="H381" s="146">
        <f t="shared" si="17"/>
        <v>2.6610302229033156E-3</v>
      </c>
    </row>
    <row r="382" spans="4:8" ht="15.6" x14ac:dyDescent="0.3">
      <c r="D382" s="145">
        <v>45652</v>
      </c>
      <c r="E382" s="187">
        <v>588.54999999999995</v>
      </c>
      <c r="F382" s="146">
        <f t="shared" si="16"/>
        <v>-1.6624895572264098E-2</v>
      </c>
      <c r="G382" s="187">
        <v>23750.2</v>
      </c>
      <c r="H382" s="146">
        <f t="shared" si="17"/>
        <v>9.5036803054671104E-4</v>
      </c>
    </row>
    <row r="383" spans="4:8" ht="15.6" x14ac:dyDescent="0.3">
      <c r="D383" s="145">
        <v>45650</v>
      </c>
      <c r="E383" s="187">
        <v>598.5</v>
      </c>
      <c r="F383" s="146">
        <f t="shared" si="16"/>
        <v>5.4439746300211311E-2</v>
      </c>
      <c r="G383" s="187">
        <v>23727.65</v>
      </c>
      <c r="H383" s="146">
        <f t="shared" si="17"/>
        <v>-1.0861580107310864E-3</v>
      </c>
    </row>
    <row r="384" spans="4:8" ht="15.6" x14ac:dyDescent="0.3">
      <c r="D384" s="145">
        <v>45649</v>
      </c>
      <c r="E384" s="187">
        <v>567.6</v>
      </c>
      <c r="F384" s="146">
        <f t="shared" si="16"/>
        <v>-3.9350088855039322E-2</v>
      </c>
      <c r="G384" s="187">
        <v>23753.45</v>
      </c>
      <c r="H384" s="146">
        <f t="shared" si="17"/>
        <v>7.0355060943296799E-3</v>
      </c>
    </row>
    <row r="385" spans="4:8" ht="15.6" x14ac:dyDescent="0.3">
      <c r="D385" s="145">
        <v>45646</v>
      </c>
      <c r="E385" s="187">
        <v>590.85</v>
      </c>
      <c r="F385" s="146">
        <f t="shared" si="16"/>
        <v>-1.294687604410294E-2</v>
      </c>
      <c r="G385" s="187">
        <v>23587.5</v>
      </c>
      <c r="H385" s="146">
        <f t="shared" si="17"/>
        <v>-1.5205601272561098E-2</v>
      </c>
    </row>
    <row r="386" spans="4:8" ht="15.6" x14ac:dyDescent="0.3">
      <c r="D386" s="145">
        <v>45645</v>
      </c>
      <c r="E386" s="187">
        <v>598.6</v>
      </c>
      <c r="F386" s="146">
        <f t="shared" si="16"/>
        <v>2.0717878762042785E-2</v>
      </c>
      <c r="G386" s="187">
        <v>23951.7</v>
      </c>
      <c r="H386" s="146">
        <f t="shared" si="17"/>
        <v>-1.0213295259898669E-2</v>
      </c>
    </row>
    <row r="387" spans="4:8" ht="15.6" x14ac:dyDescent="0.3">
      <c r="D387" s="145">
        <v>45644</v>
      </c>
      <c r="E387" s="187">
        <v>586.45000000000005</v>
      </c>
      <c r="F387" s="146">
        <f t="shared" si="16"/>
        <v>-5.2582478161308233E-3</v>
      </c>
      <c r="G387" s="187">
        <v>24198.85</v>
      </c>
      <c r="H387" s="146">
        <f t="shared" si="17"/>
        <v>-5.6356837606837962E-3</v>
      </c>
    </row>
    <row r="388" spans="4:8" ht="15.6" x14ac:dyDescent="0.3">
      <c r="D388" s="145">
        <v>45643</v>
      </c>
      <c r="E388" s="187">
        <v>589.54999999999995</v>
      </c>
      <c r="F388" s="146">
        <f t="shared" si="16"/>
        <v>-1.3883081040394818E-2</v>
      </c>
      <c r="G388" s="187">
        <v>24336</v>
      </c>
      <c r="H388" s="146">
        <f t="shared" si="17"/>
        <v>-1.3468730047733413E-2</v>
      </c>
    </row>
    <row r="389" spans="4:8" ht="15.6" x14ac:dyDescent="0.3">
      <c r="D389" s="145">
        <v>45642</v>
      </c>
      <c r="E389" s="187">
        <v>597.85</v>
      </c>
      <c r="F389" s="146">
        <f t="shared" si="16"/>
        <v>9.7964698927457405E-3</v>
      </c>
      <c r="G389" s="187">
        <v>24668.25</v>
      </c>
      <c r="H389" s="146">
        <f t="shared" si="17"/>
        <v>-4.0394375068131261E-3</v>
      </c>
    </row>
    <row r="390" spans="4:8" ht="15.6" x14ac:dyDescent="0.3">
      <c r="D390" s="145">
        <v>45639</v>
      </c>
      <c r="E390" s="187">
        <v>592.04999999999995</v>
      </c>
      <c r="F390" s="146">
        <f t="shared" si="16"/>
        <v>-2.1324076369948042E-2</v>
      </c>
      <c r="G390" s="187">
        <v>24768.3</v>
      </c>
      <c r="H390" s="146">
        <f t="shared" si="17"/>
        <v>8.9454838749098986E-3</v>
      </c>
    </row>
    <row r="391" spans="4:8" ht="15.6" x14ac:dyDescent="0.3">
      <c r="D391" s="145">
        <v>45638</v>
      </c>
      <c r="E391" s="187">
        <v>604.95000000000005</v>
      </c>
      <c r="F391" s="146">
        <f t="shared" si="16"/>
        <v>-2.7489751627682524E-2</v>
      </c>
      <c r="G391" s="187">
        <v>24548.7</v>
      </c>
      <c r="H391" s="146">
        <f t="shared" si="17"/>
        <v>-3.778133090926783E-3</v>
      </c>
    </row>
    <row r="392" spans="4:8" ht="15.6" x14ac:dyDescent="0.3">
      <c r="D392" s="145">
        <v>45637</v>
      </c>
      <c r="E392" s="187">
        <v>622.04999999999995</v>
      </c>
      <c r="F392" s="146">
        <f t="shared" si="16"/>
        <v>-3.0546247954492345E-2</v>
      </c>
      <c r="G392" s="187">
        <v>24641.8</v>
      </c>
      <c r="H392" s="146">
        <f t="shared" si="17"/>
        <v>1.2901233439184256E-3</v>
      </c>
    </row>
    <row r="393" spans="4:8" ht="15.6" x14ac:dyDescent="0.3">
      <c r="D393" s="145">
        <v>45636</v>
      </c>
      <c r="E393" s="187">
        <v>641.65</v>
      </c>
      <c r="F393" s="146">
        <f t="shared" si="16"/>
        <v>3.2006433453960481E-2</v>
      </c>
      <c r="G393" s="187">
        <v>24610.05</v>
      </c>
      <c r="H393" s="146">
        <f t="shared" si="17"/>
        <v>-3.6354035501040549E-4</v>
      </c>
    </row>
    <row r="394" spans="4:8" ht="15.6" x14ac:dyDescent="0.3">
      <c r="D394" s="145">
        <v>45635</v>
      </c>
      <c r="E394" s="187">
        <v>621.75</v>
      </c>
      <c r="F394" s="146">
        <f t="shared" si="16"/>
        <v>-3.2295719844357973E-2</v>
      </c>
      <c r="G394" s="187">
        <v>24619</v>
      </c>
      <c r="H394" s="146">
        <f t="shared" si="17"/>
        <v>-2.3827083451523068E-3</v>
      </c>
    </row>
    <row r="395" spans="4:8" ht="15.6" x14ac:dyDescent="0.3">
      <c r="D395" s="145">
        <v>45632</v>
      </c>
      <c r="E395" s="187">
        <v>642.5</v>
      </c>
      <c r="F395" s="146">
        <f t="shared" si="16"/>
        <v>1.6613924050632889E-2</v>
      </c>
      <c r="G395" s="187">
        <v>24677.8</v>
      </c>
      <c r="H395" s="146">
        <f t="shared" si="17"/>
        <v>-1.2384452251057443E-3</v>
      </c>
    </row>
    <row r="396" spans="4:8" ht="15.6" x14ac:dyDescent="0.3">
      <c r="D396" s="145">
        <v>45631</v>
      </c>
      <c r="E396" s="187">
        <v>632</v>
      </c>
      <c r="F396" s="146">
        <f t="shared" si="16"/>
        <v>-1.3431302836375281E-3</v>
      </c>
      <c r="G396" s="187">
        <v>24708.400000000001</v>
      </c>
      <c r="H396" s="146">
        <f t="shared" si="17"/>
        <v>9.8477773531773227E-3</v>
      </c>
    </row>
    <row r="397" spans="4:8" ht="15.6" x14ac:dyDescent="0.3">
      <c r="D397" s="145">
        <v>45630</v>
      </c>
      <c r="E397" s="187">
        <v>632.85</v>
      </c>
      <c r="F397" s="146">
        <f t="shared" si="16"/>
        <v>-1.1017346460384325E-2</v>
      </c>
      <c r="G397" s="187">
        <v>24467.45</v>
      </c>
      <c r="H397" s="146">
        <f t="shared" si="17"/>
        <v>4.2114473681520437E-4</v>
      </c>
    </row>
    <row r="398" spans="4:8" ht="15.6" x14ac:dyDescent="0.3">
      <c r="D398" s="145">
        <v>45629</v>
      </c>
      <c r="E398" s="187">
        <v>639.9</v>
      </c>
      <c r="F398" s="146">
        <f t="shared" si="16"/>
        <v>1.3702970297029715E-2</v>
      </c>
      <c r="G398" s="187">
        <v>24457.15</v>
      </c>
      <c r="H398" s="146">
        <f t="shared" si="17"/>
        <v>7.4600274756395635E-3</v>
      </c>
    </row>
    <row r="399" spans="4:8" ht="15.6" x14ac:dyDescent="0.3">
      <c r="D399" s="145">
        <v>45628</v>
      </c>
      <c r="E399" s="187">
        <v>631.25</v>
      </c>
      <c r="F399" s="146">
        <f t="shared" si="16"/>
        <v>-7.7119883040935644E-2</v>
      </c>
      <c r="G399" s="187">
        <v>24276.05</v>
      </c>
      <c r="H399" s="146">
        <f t="shared" si="17"/>
        <v>6.0067713448621607E-3</v>
      </c>
    </row>
    <row r="400" spans="4:8" ht="15.6" x14ac:dyDescent="0.3">
      <c r="D400" s="145">
        <v>45625</v>
      </c>
      <c r="E400" s="187">
        <v>684</v>
      </c>
      <c r="F400" s="146">
        <f t="shared" si="16"/>
        <v>2.2115959354453096E-2</v>
      </c>
      <c r="G400" s="187">
        <v>24131.1</v>
      </c>
      <c r="H400" s="146">
        <f t="shared" si="17"/>
        <v>9.0720347576642713E-3</v>
      </c>
    </row>
    <row r="401" spans="4:8" ht="15.6" x14ac:dyDescent="0.3">
      <c r="D401" s="145">
        <v>45624</v>
      </c>
      <c r="E401" s="187">
        <v>669.2</v>
      </c>
      <c r="F401" s="146">
        <f t="shared" si="16"/>
        <v>1.2941799742677729E-2</v>
      </c>
      <c r="G401" s="187">
        <v>23914.15</v>
      </c>
      <c r="H401" s="146">
        <f t="shared" si="17"/>
        <v>-1.4861029293632533E-2</v>
      </c>
    </row>
    <row r="402" spans="4:8" ht="15.6" x14ac:dyDescent="0.3">
      <c r="D402" s="145">
        <v>45623</v>
      </c>
      <c r="E402" s="187">
        <v>660.65</v>
      </c>
      <c r="F402" s="146">
        <f t="shared" si="16"/>
        <v>2.4277368940142097E-3</v>
      </c>
      <c r="G402" s="187">
        <v>24274.9</v>
      </c>
      <c r="H402" s="146">
        <f t="shared" si="17"/>
        <v>3.3230692926078387E-3</v>
      </c>
    </row>
    <row r="403" spans="4:8" ht="15.6" x14ac:dyDescent="0.3">
      <c r="D403" s="145">
        <v>45622</v>
      </c>
      <c r="E403" s="187">
        <v>659.05</v>
      </c>
      <c r="F403" s="146">
        <f t="shared" si="16"/>
        <v>-2.8236508404600569E-2</v>
      </c>
      <c r="G403" s="187">
        <v>24194.5</v>
      </c>
      <c r="H403" s="146">
        <f t="shared" si="17"/>
        <v>-1.1312077087264338E-3</v>
      </c>
    </row>
    <row r="404" spans="4:8" ht="15.6" x14ac:dyDescent="0.3">
      <c r="D404" s="145">
        <v>45621</v>
      </c>
      <c r="E404" s="187">
        <v>678.2</v>
      </c>
      <c r="F404" s="146">
        <f t="shared" si="16"/>
        <v>6.1595053611958939E-2</v>
      </c>
      <c r="G404" s="187">
        <v>24221.9</v>
      </c>
      <c r="H404" s="146">
        <f t="shared" si="17"/>
        <v>1.3161279528176584E-2</v>
      </c>
    </row>
    <row r="405" spans="4:8" ht="15.6" x14ac:dyDescent="0.3">
      <c r="D405" s="145">
        <v>45618</v>
      </c>
      <c r="E405" s="187">
        <v>638.85</v>
      </c>
      <c r="F405" s="146">
        <f t="shared" si="16"/>
        <v>7.5703808847884524E-3</v>
      </c>
      <c r="G405" s="187">
        <v>23907.25</v>
      </c>
      <c r="H405" s="146">
        <f t="shared" si="17"/>
        <v>2.3869481239748191E-2</v>
      </c>
    </row>
    <row r="406" spans="4:8" ht="15.6" x14ac:dyDescent="0.3">
      <c r="D406" s="145">
        <v>45617</v>
      </c>
      <c r="E406" s="187">
        <v>634.04999999999995</v>
      </c>
      <c r="F406" s="146">
        <f t="shared" si="16"/>
        <v>-1.414910984995732E-2</v>
      </c>
      <c r="G406" s="187">
        <v>23349.9</v>
      </c>
      <c r="H406" s="146">
        <f t="shared" si="17"/>
        <v>-7.1688245423814356E-3</v>
      </c>
    </row>
    <row r="407" spans="4:8" ht="15.6" x14ac:dyDescent="0.3">
      <c r="D407" s="145">
        <v>45615</v>
      </c>
      <c r="E407" s="187">
        <v>643.15</v>
      </c>
      <c r="F407" s="146">
        <f t="shared" si="16"/>
        <v>4.526247359011859E-2</v>
      </c>
      <c r="G407" s="187">
        <v>23518.5</v>
      </c>
      <c r="H407" s="146">
        <f t="shared" si="17"/>
        <v>2.758614808687776E-3</v>
      </c>
    </row>
    <row r="408" spans="4:8" ht="15.6" x14ac:dyDescent="0.3">
      <c r="D408" s="145">
        <v>45614</v>
      </c>
      <c r="E408" s="187">
        <v>615.29999999999995</v>
      </c>
      <c r="F408" s="146">
        <f t="shared" si="16"/>
        <v>-4.2856031733686017E-2</v>
      </c>
      <c r="G408" s="187">
        <v>23453.8</v>
      </c>
      <c r="H408" s="146">
        <f t="shared" si="17"/>
        <v>-3.3527814487925856E-3</v>
      </c>
    </row>
    <row r="409" spans="4:8" ht="15.6" x14ac:dyDescent="0.3">
      <c r="D409" s="145">
        <v>45610</v>
      </c>
      <c r="E409" s="187">
        <v>642.85</v>
      </c>
      <c r="F409" s="146">
        <f t="shared" si="16"/>
        <v>-1.0619469026548645E-2</v>
      </c>
      <c r="G409" s="187">
        <v>23532.7</v>
      </c>
      <c r="H409" s="146">
        <f t="shared" si="17"/>
        <v>-1.1184661520731165E-3</v>
      </c>
    </row>
    <row r="410" spans="4:8" ht="15.6" x14ac:dyDescent="0.3">
      <c r="D410" s="145">
        <v>45609</v>
      </c>
      <c r="E410" s="187">
        <v>649.75</v>
      </c>
      <c r="F410" s="146">
        <f t="shared" si="16"/>
        <v>-5.9696092619392238E-2</v>
      </c>
      <c r="G410" s="187">
        <v>23559.05</v>
      </c>
      <c r="H410" s="146">
        <f t="shared" si="17"/>
        <v>-1.3582627300494754E-2</v>
      </c>
    </row>
    <row r="411" spans="4:8" ht="15.6" x14ac:dyDescent="0.3">
      <c r="D411" s="145">
        <v>45608</v>
      </c>
      <c r="E411" s="187">
        <v>691</v>
      </c>
      <c r="F411" s="146">
        <f t="shared" ref="F411:F474" si="18">E411/E412-1</f>
        <v>2.4007113218731613E-2</v>
      </c>
      <c r="G411" s="187">
        <v>23883.45</v>
      </c>
      <c r="H411" s="146">
        <f t="shared" ref="H411:H474" si="19">G411/G412-1</f>
        <v>-1.0680866399075395E-2</v>
      </c>
    </row>
    <row r="412" spans="4:8" ht="15.6" x14ac:dyDescent="0.3">
      <c r="D412" s="145">
        <v>45607</v>
      </c>
      <c r="E412" s="187">
        <v>674.8</v>
      </c>
      <c r="F412" s="146">
        <f t="shared" si="18"/>
        <v>7.3897141151002543E-3</v>
      </c>
      <c r="G412" s="187">
        <v>24141.3</v>
      </c>
      <c r="H412" s="146">
        <f t="shared" si="19"/>
        <v>-2.8573558277644739E-4</v>
      </c>
    </row>
    <row r="413" spans="4:8" ht="15.6" x14ac:dyDescent="0.3">
      <c r="D413" s="145">
        <v>45604</v>
      </c>
      <c r="E413" s="187">
        <v>669.85</v>
      </c>
      <c r="F413" s="146">
        <f t="shared" si="18"/>
        <v>-1.8626136194307419E-3</v>
      </c>
      <c r="G413" s="187">
        <v>24148.2</v>
      </c>
      <c r="H413" s="146">
        <f t="shared" si="19"/>
        <v>-2.1136931363857636E-3</v>
      </c>
    </row>
    <row r="414" spans="4:8" ht="15.6" x14ac:dyDescent="0.3">
      <c r="D414" s="145">
        <v>45603</v>
      </c>
      <c r="E414" s="187">
        <v>671.1</v>
      </c>
      <c r="F414" s="146">
        <f t="shared" si="18"/>
        <v>-2.1077966596163566E-2</v>
      </c>
      <c r="G414" s="187">
        <v>24199.35</v>
      </c>
      <c r="H414" s="146">
        <f t="shared" si="19"/>
        <v>-1.1627978214388546E-2</v>
      </c>
    </row>
    <row r="415" spans="4:8" ht="15.6" x14ac:dyDescent="0.3">
      <c r="D415" s="145">
        <v>45602</v>
      </c>
      <c r="E415" s="187">
        <v>685.55</v>
      </c>
      <c r="F415" s="146">
        <f t="shared" si="18"/>
        <v>-1.331318364997125E-2</v>
      </c>
      <c r="G415" s="187">
        <v>24484.05</v>
      </c>
      <c r="H415" s="146">
        <f t="shared" si="19"/>
        <v>1.1181871120417242E-2</v>
      </c>
    </row>
    <row r="416" spans="4:8" ht="15.6" x14ac:dyDescent="0.3">
      <c r="D416" s="145">
        <v>45601</v>
      </c>
      <c r="E416" s="187">
        <v>694.8</v>
      </c>
      <c r="F416" s="146">
        <f t="shared" si="18"/>
        <v>2.8343077036927289E-2</v>
      </c>
      <c r="G416" s="187">
        <v>24213.3</v>
      </c>
      <c r="H416" s="146">
        <f t="shared" si="19"/>
        <v>9.0830098331551312E-3</v>
      </c>
    </row>
    <row r="417" spans="4:8" ht="15.6" x14ac:dyDescent="0.3">
      <c r="D417" s="145">
        <v>45600</v>
      </c>
      <c r="E417" s="187">
        <v>675.65</v>
      </c>
      <c r="F417" s="146">
        <f t="shared" si="18"/>
        <v>-5.6947449228836766E-2</v>
      </c>
      <c r="G417" s="187">
        <v>23995.35</v>
      </c>
      <c r="H417" s="146">
        <f t="shared" si="19"/>
        <v>-1.2713773460306443E-2</v>
      </c>
    </row>
    <row r="418" spans="4:8" ht="15.6" x14ac:dyDescent="0.3">
      <c r="D418" s="145">
        <v>45597</v>
      </c>
      <c r="E418" s="187">
        <v>716.45</v>
      </c>
      <c r="F418" s="146">
        <f t="shared" si="18"/>
        <v>1.8625151062771073E-2</v>
      </c>
      <c r="G418" s="187">
        <v>24304.35</v>
      </c>
      <c r="H418" s="146">
        <f t="shared" si="19"/>
        <v>4.0900048956118429E-3</v>
      </c>
    </row>
    <row r="419" spans="4:8" ht="15.6" x14ac:dyDescent="0.3">
      <c r="D419" s="145">
        <v>45596</v>
      </c>
      <c r="E419" s="187">
        <v>703.35</v>
      </c>
      <c r="F419" s="146">
        <f t="shared" si="18"/>
        <v>5.3392242024861369E-2</v>
      </c>
      <c r="G419" s="187">
        <v>24205.35</v>
      </c>
      <c r="H419" s="146">
        <f t="shared" si="19"/>
        <v>-5.5667735514577377E-3</v>
      </c>
    </row>
    <row r="420" spans="4:8" ht="15.6" x14ac:dyDescent="0.3">
      <c r="D420" s="145">
        <v>45595</v>
      </c>
      <c r="E420" s="187">
        <v>667.7</v>
      </c>
      <c r="F420" s="146">
        <f t="shared" si="18"/>
        <v>2.7230769230769392E-2</v>
      </c>
      <c r="G420" s="187">
        <v>24340.85</v>
      </c>
      <c r="H420" s="146">
        <f t="shared" si="19"/>
        <v>-5.1498251716097787E-3</v>
      </c>
    </row>
    <row r="421" spans="4:8" ht="15.6" x14ac:dyDescent="0.3">
      <c r="D421" s="145">
        <v>45594</v>
      </c>
      <c r="E421" s="187">
        <v>650</v>
      </c>
      <c r="F421" s="146">
        <f t="shared" si="18"/>
        <v>-3.8314176245211051E-3</v>
      </c>
      <c r="G421" s="187">
        <v>24466.85</v>
      </c>
      <c r="H421" s="146">
        <f t="shared" si="19"/>
        <v>5.2466910307056303E-3</v>
      </c>
    </row>
    <row r="422" spans="4:8" ht="15.6" x14ac:dyDescent="0.3">
      <c r="D422" s="145">
        <v>45593</v>
      </c>
      <c r="E422" s="187">
        <v>652.5</v>
      </c>
      <c r="F422" s="146">
        <f t="shared" si="18"/>
        <v>1.0844306738962084E-2</v>
      </c>
      <c r="G422" s="187">
        <v>24339.15</v>
      </c>
      <c r="H422" s="146">
        <f t="shared" si="19"/>
        <v>6.5485840005294893E-3</v>
      </c>
    </row>
    <row r="423" spans="4:8" ht="15.6" x14ac:dyDescent="0.3">
      <c r="D423" s="145">
        <v>45590</v>
      </c>
      <c r="E423" s="187">
        <v>645.5</v>
      </c>
      <c r="F423" s="146">
        <f t="shared" si="18"/>
        <v>1.0963194988253822E-2</v>
      </c>
      <c r="G423" s="187">
        <v>24180.799999999999</v>
      </c>
      <c r="H423" s="146">
        <f t="shared" si="19"/>
        <v>-8.9592367025419506E-3</v>
      </c>
    </row>
    <row r="424" spans="4:8" ht="15.6" x14ac:dyDescent="0.3">
      <c r="D424" s="145">
        <v>45589</v>
      </c>
      <c r="E424" s="187">
        <v>638.5</v>
      </c>
      <c r="F424" s="146">
        <f t="shared" si="18"/>
        <v>-4.2010502625656421E-2</v>
      </c>
      <c r="G424" s="187">
        <v>24399.4</v>
      </c>
      <c r="H424" s="146">
        <f t="shared" si="19"/>
        <v>-1.4773587608192251E-3</v>
      </c>
    </row>
    <row r="425" spans="4:8" ht="15.6" x14ac:dyDescent="0.3">
      <c r="D425" s="145">
        <v>45588</v>
      </c>
      <c r="E425" s="187">
        <v>666.5</v>
      </c>
      <c r="F425" s="146">
        <f t="shared" si="18"/>
        <v>9.7619583990393721E-4</v>
      </c>
      <c r="G425" s="187">
        <v>24435.5</v>
      </c>
      <c r="H425" s="146">
        <f t="shared" si="19"/>
        <v>-1.4955806816742134E-3</v>
      </c>
    </row>
    <row r="426" spans="4:8" ht="15.6" x14ac:dyDescent="0.3">
      <c r="D426" s="145">
        <v>45587</v>
      </c>
      <c r="E426" s="187">
        <v>665.85</v>
      </c>
      <c r="F426" s="146">
        <f t="shared" si="18"/>
        <v>-4.0907454087144357E-2</v>
      </c>
      <c r="G426" s="187">
        <v>24472.1</v>
      </c>
      <c r="H426" s="146">
        <f t="shared" si="19"/>
        <v>-1.2469180141317371E-2</v>
      </c>
    </row>
    <row r="427" spans="4:8" ht="15.6" x14ac:dyDescent="0.3">
      <c r="D427" s="145">
        <v>45586</v>
      </c>
      <c r="E427" s="187">
        <v>694.25</v>
      </c>
      <c r="F427" s="146">
        <f t="shared" si="18"/>
        <v>-9.4171363344510706E-3</v>
      </c>
      <c r="G427" s="187">
        <v>24781.1</v>
      </c>
      <c r="H427" s="146">
        <f t="shared" si="19"/>
        <v>-2.9351353199982277E-3</v>
      </c>
    </row>
    <row r="428" spans="4:8" ht="15.6" x14ac:dyDescent="0.3">
      <c r="D428" s="145">
        <v>45583</v>
      </c>
      <c r="E428" s="187">
        <v>700.85</v>
      </c>
      <c r="F428" s="146">
        <f t="shared" si="18"/>
        <v>-1.9790209790209734E-2</v>
      </c>
      <c r="G428" s="187">
        <v>24854.05</v>
      </c>
      <c r="H428" s="146">
        <f t="shared" si="19"/>
        <v>4.2101265260194864E-3</v>
      </c>
    </row>
    <row r="429" spans="4:8" ht="15.6" x14ac:dyDescent="0.3">
      <c r="D429" s="145">
        <v>45582</v>
      </c>
      <c r="E429" s="187">
        <v>715</v>
      </c>
      <c r="F429" s="146">
        <f t="shared" si="18"/>
        <v>-3.1034015449247887E-2</v>
      </c>
      <c r="G429" s="187">
        <v>24749.85</v>
      </c>
      <c r="H429" s="146">
        <f t="shared" si="19"/>
        <v>-8.8681806714108191E-3</v>
      </c>
    </row>
    <row r="430" spans="4:8" ht="15.6" x14ac:dyDescent="0.3">
      <c r="D430" s="145">
        <v>45581</v>
      </c>
      <c r="E430" s="187">
        <v>737.9</v>
      </c>
      <c r="F430" s="146">
        <f t="shared" si="18"/>
        <v>-4.0639393118402367E-4</v>
      </c>
      <c r="G430" s="187">
        <v>24971.3</v>
      </c>
      <c r="H430" s="146">
        <f t="shared" si="19"/>
        <v>-3.4341221238478603E-3</v>
      </c>
    </row>
    <row r="431" spans="4:8" ht="15.6" x14ac:dyDescent="0.3">
      <c r="D431" s="145">
        <v>45580</v>
      </c>
      <c r="E431" s="187">
        <v>738.2</v>
      </c>
      <c r="F431" s="146">
        <f t="shared" si="18"/>
        <v>1.8768975986751313E-2</v>
      </c>
      <c r="G431" s="187">
        <v>25057.35</v>
      </c>
      <c r="H431" s="146">
        <f t="shared" si="19"/>
        <v>-2.809620362982379E-3</v>
      </c>
    </row>
    <row r="432" spans="4:8" ht="15.6" x14ac:dyDescent="0.3">
      <c r="D432" s="145">
        <v>45579</v>
      </c>
      <c r="E432" s="187">
        <v>724.6</v>
      </c>
      <c r="F432" s="146">
        <f t="shared" si="18"/>
        <v>-7.7370763437178969E-3</v>
      </c>
      <c r="G432" s="187">
        <v>25127.95</v>
      </c>
      <c r="H432" s="146">
        <f t="shared" si="19"/>
        <v>6.5573770491802463E-3</v>
      </c>
    </row>
    <row r="433" spans="4:8" ht="15.6" x14ac:dyDescent="0.3">
      <c r="D433" s="145">
        <v>45576</v>
      </c>
      <c r="E433" s="187">
        <v>730.25</v>
      </c>
      <c r="F433" s="146">
        <f t="shared" si="18"/>
        <v>-1.7094017094017144E-2</v>
      </c>
      <c r="G433" s="187">
        <v>24964.25</v>
      </c>
      <c r="H433" s="146">
        <f t="shared" si="19"/>
        <v>-1.3680848212589414E-3</v>
      </c>
    </row>
    <row r="434" spans="4:8" ht="15.6" x14ac:dyDescent="0.3">
      <c r="D434" s="145">
        <v>45575</v>
      </c>
      <c r="E434" s="187">
        <v>742.95</v>
      </c>
      <c r="F434" s="146">
        <f t="shared" si="18"/>
        <v>-1.4393738392146305E-2</v>
      </c>
      <c r="G434" s="187">
        <v>24998.45</v>
      </c>
      <c r="H434" s="146">
        <f t="shared" si="19"/>
        <v>6.6047686429593355E-4</v>
      </c>
    </row>
    <row r="435" spans="4:8" ht="15.6" x14ac:dyDescent="0.3">
      <c r="D435" s="145">
        <v>45574</v>
      </c>
      <c r="E435" s="187">
        <v>753.8</v>
      </c>
      <c r="F435" s="146">
        <f t="shared" si="18"/>
        <v>1.9061781803433764E-2</v>
      </c>
      <c r="G435" s="187">
        <v>24981.95</v>
      </c>
      <c r="H435" s="146">
        <f t="shared" si="19"/>
        <v>-1.2473438971101203E-3</v>
      </c>
    </row>
    <row r="436" spans="4:8" ht="15.6" x14ac:dyDescent="0.3">
      <c r="D436" s="145">
        <v>45573</v>
      </c>
      <c r="E436" s="187">
        <v>739.7</v>
      </c>
      <c r="F436" s="146">
        <f t="shared" si="18"/>
        <v>9.4159388646288811E-3</v>
      </c>
      <c r="G436" s="187">
        <v>25013.15</v>
      </c>
      <c r="H436" s="146">
        <f t="shared" si="19"/>
        <v>8.7676315497615676E-3</v>
      </c>
    </row>
    <row r="437" spans="4:8" ht="15.6" x14ac:dyDescent="0.3">
      <c r="D437" s="145">
        <v>45572</v>
      </c>
      <c r="E437" s="187">
        <v>732.8</v>
      </c>
      <c r="F437" s="146">
        <f t="shared" si="18"/>
        <v>-1.3528976240156254E-2</v>
      </c>
      <c r="G437" s="187">
        <v>24795.75</v>
      </c>
      <c r="H437" s="146">
        <f t="shared" si="19"/>
        <v>-8.7488906478615514E-3</v>
      </c>
    </row>
    <row r="438" spans="4:8" ht="15.6" x14ac:dyDescent="0.3">
      <c r="D438" s="145">
        <v>45569</v>
      </c>
      <c r="E438" s="187">
        <v>742.85</v>
      </c>
      <c r="F438" s="146">
        <f t="shared" si="18"/>
        <v>-2.1492376922560563E-3</v>
      </c>
      <c r="G438" s="187">
        <v>25014.6</v>
      </c>
      <c r="H438" s="146">
        <f t="shared" si="19"/>
        <v>-9.3266957358584257E-3</v>
      </c>
    </row>
    <row r="439" spans="4:8" ht="15.6" x14ac:dyDescent="0.3">
      <c r="D439" s="145">
        <v>45568</v>
      </c>
      <c r="E439" s="187">
        <v>744.45</v>
      </c>
      <c r="F439" s="146">
        <f t="shared" si="18"/>
        <v>-1.2207258011012967E-2</v>
      </c>
      <c r="G439" s="187">
        <v>25250.1</v>
      </c>
      <c r="H439" s="146">
        <f t="shared" si="19"/>
        <v>-2.1196345297303298E-2</v>
      </c>
    </row>
    <row r="440" spans="4:8" ht="15.6" x14ac:dyDescent="0.3">
      <c r="D440" s="145">
        <v>45566</v>
      </c>
      <c r="E440" s="187">
        <v>753.65</v>
      </c>
      <c r="F440" s="146">
        <f t="shared" si="18"/>
        <v>-1.6379535369355325E-2</v>
      </c>
      <c r="G440" s="187">
        <v>25796.9</v>
      </c>
      <c r="H440" s="146">
        <f t="shared" si="19"/>
        <v>-5.4047038357885047E-4</v>
      </c>
    </row>
    <row r="441" spans="4:8" ht="15.6" x14ac:dyDescent="0.3">
      <c r="D441" s="145">
        <v>45565</v>
      </c>
      <c r="E441" s="187">
        <v>766.2</v>
      </c>
      <c r="F441" s="146">
        <f t="shared" si="18"/>
        <v>1.9357413689882419E-2</v>
      </c>
      <c r="G441" s="187">
        <v>25810.85</v>
      </c>
      <c r="H441" s="146">
        <f t="shared" si="19"/>
        <v>-1.4060915353747983E-2</v>
      </c>
    </row>
    <row r="442" spans="4:8" ht="15.6" x14ac:dyDescent="0.3">
      <c r="D442" s="145">
        <v>45562</v>
      </c>
      <c r="E442" s="187">
        <v>751.65</v>
      </c>
      <c r="F442" s="146">
        <f t="shared" si="18"/>
        <v>1.2664196699225361E-2</v>
      </c>
      <c r="G442" s="187">
        <v>26178.95</v>
      </c>
      <c r="H442" s="146">
        <f t="shared" si="19"/>
        <v>-1.4151636116043198E-3</v>
      </c>
    </row>
    <row r="443" spans="4:8" ht="15.6" x14ac:dyDescent="0.3">
      <c r="D443" s="145">
        <v>45561</v>
      </c>
      <c r="E443" s="187">
        <v>742.25</v>
      </c>
      <c r="F443" s="146">
        <f t="shared" si="18"/>
        <v>-4.0401319776439681E-4</v>
      </c>
      <c r="G443" s="187">
        <v>26216.05</v>
      </c>
      <c r="H443" s="146">
        <f t="shared" si="19"/>
        <v>8.1486993422204002E-3</v>
      </c>
    </row>
    <row r="444" spans="4:8" ht="15.6" x14ac:dyDescent="0.3">
      <c r="D444" s="145">
        <v>45560</v>
      </c>
      <c r="E444" s="187">
        <v>742.55</v>
      </c>
      <c r="F444" s="146">
        <f t="shared" si="18"/>
        <v>-2.4180300939615096E-2</v>
      </c>
      <c r="G444" s="187">
        <v>26004.15</v>
      </c>
      <c r="H444" s="146">
        <f t="shared" si="19"/>
        <v>2.4575565527131804E-3</v>
      </c>
    </row>
    <row r="445" spans="4:8" ht="15.6" x14ac:dyDescent="0.3">
      <c r="D445" s="145">
        <v>45559</v>
      </c>
      <c r="E445" s="187">
        <v>760.95</v>
      </c>
      <c r="F445" s="146">
        <f t="shared" si="18"/>
        <v>-3.6661211129295213E-3</v>
      </c>
      <c r="G445" s="187">
        <v>25940.400000000001</v>
      </c>
      <c r="H445" s="146">
        <f t="shared" si="19"/>
        <v>5.2045082607143911E-5</v>
      </c>
    </row>
    <row r="446" spans="4:8" ht="15.6" x14ac:dyDescent="0.3">
      <c r="D446" s="145">
        <v>45558</v>
      </c>
      <c r="E446" s="187">
        <v>763.75</v>
      </c>
      <c r="F446" s="146">
        <f t="shared" si="18"/>
        <v>2.1670791251421351E-2</v>
      </c>
      <c r="G446" s="187">
        <v>25939.05</v>
      </c>
      <c r="H446" s="146">
        <f t="shared" si="19"/>
        <v>5.7423243424534753E-3</v>
      </c>
    </row>
    <row r="447" spans="4:8" ht="15.6" x14ac:dyDescent="0.3">
      <c r="D447" s="145">
        <v>45555</v>
      </c>
      <c r="E447" s="187">
        <v>747.55</v>
      </c>
      <c r="F447" s="146">
        <f t="shared" si="18"/>
        <v>4.6841541755870963E-4</v>
      </c>
      <c r="G447" s="187">
        <v>25790.95</v>
      </c>
      <c r="H447" s="146">
        <f t="shared" si="19"/>
        <v>1.4760503308965278E-2</v>
      </c>
    </row>
    <row r="448" spans="4:8" ht="15.6" x14ac:dyDescent="0.3">
      <c r="D448" s="145">
        <v>45554</v>
      </c>
      <c r="E448" s="187">
        <v>747.2</v>
      </c>
      <c r="F448" s="146">
        <f t="shared" si="18"/>
        <v>3.4918076819769883E-3</v>
      </c>
      <c r="G448" s="187">
        <v>25415.8</v>
      </c>
      <c r="H448" s="146">
        <f t="shared" si="19"/>
        <v>1.5072376963103373E-3</v>
      </c>
    </row>
    <row r="449" spans="4:8" ht="15.6" x14ac:dyDescent="0.3">
      <c r="D449" s="145">
        <v>45553</v>
      </c>
      <c r="E449" s="187">
        <v>744.6</v>
      </c>
      <c r="F449" s="146">
        <f t="shared" si="18"/>
        <v>-2.8791429527954548E-3</v>
      </c>
      <c r="G449" s="187">
        <v>25377.55</v>
      </c>
      <c r="H449" s="146">
        <f t="shared" si="19"/>
        <v>-1.6129952337957665E-3</v>
      </c>
    </row>
    <row r="450" spans="4:8" ht="15.6" x14ac:dyDescent="0.3">
      <c r="D450" s="145">
        <v>45552</v>
      </c>
      <c r="E450" s="187">
        <v>746.75</v>
      </c>
      <c r="F450" s="146">
        <f t="shared" si="18"/>
        <v>-6.915353414455816E-3</v>
      </c>
      <c r="G450" s="187">
        <v>25418.55</v>
      </c>
      <c r="H450" s="146">
        <f t="shared" si="19"/>
        <v>1.3709558280394774E-3</v>
      </c>
    </row>
    <row r="451" spans="4:8" ht="15.6" x14ac:dyDescent="0.3">
      <c r="D451" s="145">
        <v>45551</v>
      </c>
      <c r="E451" s="187">
        <v>751.95</v>
      </c>
      <c r="F451" s="146">
        <f t="shared" si="18"/>
        <v>-4.5809276061163473E-2</v>
      </c>
      <c r="G451" s="187">
        <v>25383.75</v>
      </c>
      <c r="H451" s="146">
        <f t="shared" si="19"/>
        <v>1.0746751326089488E-3</v>
      </c>
    </row>
    <row r="452" spans="4:8" ht="15.6" x14ac:dyDescent="0.3">
      <c r="D452" s="145">
        <v>45548</v>
      </c>
      <c r="E452" s="187">
        <v>788.05</v>
      </c>
      <c r="F452" s="146">
        <f t="shared" si="18"/>
        <v>-2.673829813511186E-2</v>
      </c>
      <c r="G452" s="187">
        <v>25356.5</v>
      </c>
      <c r="H452" s="146">
        <f t="shared" si="19"/>
        <v>-1.276148238009589E-3</v>
      </c>
    </row>
    <row r="453" spans="4:8" ht="15.6" x14ac:dyDescent="0.3">
      <c r="D453" s="145">
        <v>45547</v>
      </c>
      <c r="E453" s="187">
        <v>809.7</v>
      </c>
      <c r="F453" s="146">
        <f t="shared" si="18"/>
        <v>-5.2825552825552791E-3</v>
      </c>
      <c r="G453" s="187">
        <v>25388.9</v>
      </c>
      <c r="H453" s="146">
        <f t="shared" si="19"/>
        <v>1.8879585206944993E-2</v>
      </c>
    </row>
    <row r="454" spans="4:8" ht="15.6" x14ac:dyDescent="0.3">
      <c r="D454" s="145">
        <v>45546</v>
      </c>
      <c r="E454" s="187">
        <v>814</v>
      </c>
      <c r="F454" s="146">
        <f t="shared" si="18"/>
        <v>-1.3034252803879931E-2</v>
      </c>
      <c r="G454" s="187">
        <v>24918.45</v>
      </c>
      <c r="H454" s="146">
        <f t="shared" si="19"/>
        <v>-4.8979477738596566E-3</v>
      </c>
    </row>
    <row r="455" spans="4:8" ht="15.6" x14ac:dyDescent="0.3">
      <c r="D455" s="145">
        <v>45545</v>
      </c>
      <c r="E455" s="187">
        <v>824.75</v>
      </c>
      <c r="F455" s="146">
        <f t="shared" si="18"/>
        <v>-3.4436926051232275E-3</v>
      </c>
      <c r="G455" s="187">
        <v>25041.1</v>
      </c>
      <c r="H455" s="146">
        <f t="shared" si="19"/>
        <v>4.1986814455974297E-3</v>
      </c>
    </row>
    <row r="456" spans="4:8" ht="15.6" x14ac:dyDescent="0.3">
      <c r="D456" s="145">
        <v>45544</v>
      </c>
      <c r="E456" s="187">
        <v>827.6</v>
      </c>
      <c r="F456" s="146">
        <f t="shared" si="18"/>
        <v>-6.1246547376005989E-3</v>
      </c>
      <c r="G456" s="187">
        <v>24936.400000000001</v>
      </c>
      <c r="H456" s="146">
        <f t="shared" si="19"/>
        <v>3.3900487482974029E-3</v>
      </c>
    </row>
    <row r="457" spans="4:8" ht="15.6" x14ac:dyDescent="0.3">
      <c r="D457" s="145">
        <v>45541</v>
      </c>
      <c r="E457" s="187">
        <v>832.7</v>
      </c>
      <c r="F457" s="146">
        <f t="shared" si="18"/>
        <v>-3.2319846779984562E-3</v>
      </c>
      <c r="G457" s="187">
        <v>24852.15</v>
      </c>
      <c r="H457" s="146">
        <f t="shared" si="19"/>
        <v>-1.16503811875871E-2</v>
      </c>
    </row>
    <row r="458" spans="4:8" ht="15.6" x14ac:dyDescent="0.3">
      <c r="D458" s="145">
        <v>45540</v>
      </c>
      <c r="E458" s="187">
        <v>835.4</v>
      </c>
      <c r="F458" s="146">
        <f t="shared" si="18"/>
        <v>1.3465971127016862E-2</v>
      </c>
      <c r="G458" s="187">
        <v>25145.1</v>
      </c>
      <c r="H458" s="146">
        <f t="shared" si="19"/>
        <v>-2.127093858016571E-3</v>
      </c>
    </row>
    <row r="459" spans="4:8" ht="15.6" x14ac:dyDescent="0.3">
      <c r="D459" s="145">
        <v>45539</v>
      </c>
      <c r="E459" s="187">
        <v>824.3</v>
      </c>
      <c r="F459" s="146">
        <f t="shared" si="18"/>
        <v>2.3712531160697825E-3</v>
      </c>
      <c r="G459" s="187">
        <v>25198.7</v>
      </c>
      <c r="H459" s="146">
        <f t="shared" si="19"/>
        <v>-3.2100665154262131E-3</v>
      </c>
    </row>
    <row r="460" spans="4:8" ht="15.6" x14ac:dyDescent="0.3">
      <c r="D460" s="145">
        <v>45538</v>
      </c>
      <c r="E460" s="187">
        <v>822.35</v>
      </c>
      <c r="F460" s="146">
        <f t="shared" si="18"/>
        <v>1.3745069033530566E-2</v>
      </c>
      <c r="G460" s="187">
        <v>25279.85</v>
      </c>
      <c r="H460" s="146">
        <f t="shared" si="19"/>
        <v>4.5492845755390476E-5</v>
      </c>
    </row>
    <row r="461" spans="4:8" ht="15.6" x14ac:dyDescent="0.3">
      <c r="D461" s="145">
        <v>45537</v>
      </c>
      <c r="E461" s="187">
        <v>811.2</v>
      </c>
      <c r="F461" s="146">
        <f t="shared" si="18"/>
        <v>-2.4594195769798155E-3</v>
      </c>
      <c r="G461" s="187">
        <v>25278.7</v>
      </c>
      <c r="H461" s="146">
        <f t="shared" si="19"/>
        <v>1.6959965763059248E-3</v>
      </c>
    </row>
    <row r="462" spans="4:8" ht="15.6" x14ac:dyDescent="0.3">
      <c r="D462" s="145">
        <v>45534</v>
      </c>
      <c r="E462" s="187">
        <v>813.2</v>
      </c>
      <c r="F462" s="146">
        <f t="shared" si="18"/>
        <v>2.4600246002459691E-4</v>
      </c>
      <c r="G462" s="187">
        <v>25235.9</v>
      </c>
      <c r="H462" s="146">
        <f t="shared" si="19"/>
        <v>3.3377133780880808E-3</v>
      </c>
    </row>
    <row r="463" spans="4:8" ht="15.6" x14ac:dyDescent="0.3">
      <c r="D463" s="145">
        <v>45533</v>
      </c>
      <c r="E463" s="187">
        <v>813</v>
      </c>
      <c r="F463" s="146">
        <f t="shared" si="18"/>
        <v>-3.1854718666269766E-2</v>
      </c>
      <c r="G463" s="187">
        <v>25151.95</v>
      </c>
      <c r="H463" s="146">
        <f t="shared" si="19"/>
        <v>3.975674936682605E-3</v>
      </c>
    </row>
    <row r="464" spans="4:8" ht="15.6" x14ac:dyDescent="0.3">
      <c r="D464" s="145">
        <v>45532</v>
      </c>
      <c r="E464" s="187">
        <v>839.75</v>
      </c>
      <c r="F464" s="146">
        <f t="shared" si="18"/>
        <v>6.8944844124700921E-3</v>
      </c>
      <c r="G464" s="187">
        <v>25052.35</v>
      </c>
      <c r="H464" s="146">
        <f t="shared" si="19"/>
        <v>1.3830180571794415E-3</v>
      </c>
    </row>
    <row r="465" spans="4:8" ht="15.6" x14ac:dyDescent="0.3">
      <c r="D465" s="145">
        <v>45531</v>
      </c>
      <c r="E465" s="187">
        <v>834</v>
      </c>
      <c r="F465" s="146">
        <f t="shared" si="18"/>
        <v>1.937297561571838E-2</v>
      </c>
      <c r="G465" s="187">
        <v>25017.75</v>
      </c>
      <c r="H465" s="146">
        <f t="shared" si="19"/>
        <v>2.8587878739427808E-4</v>
      </c>
    </row>
    <row r="466" spans="4:8" ht="15.6" x14ac:dyDescent="0.3">
      <c r="D466" s="145">
        <v>45530</v>
      </c>
      <c r="E466" s="187">
        <v>818.15</v>
      </c>
      <c r="F466" s="146">
        <f t="shared" si="18"/>
        <v>1.1185267581263147E-2</v>
      </c>
      <c r="G466" s="187">
        <v>25010.6</v>
      </c>
      <c r="H466" s="146">
        <f t="shared" si="19"/>
        <v>7.5514187361394036E-3</v>
      </c>
    </row>
    <row r="467" spans="4:8" ht="15.6" x14ac:dyDescent="0.3">
      <c r="D467" s="145">
        <v>45527</v>
      </c>
      <c r="E467" s="187">
        <v>809.1</v>
      </c>
      <c r="F467" s="146">
        <f t="shared" si="18"/>
        <v>-7.4101519081148925E-4</v>
      </c>
      <c r="G467" s="187">
        <v>24823.15</v>
      </c>
      <c r="H467" s="146">
        <f t="shared" si="19"/>
        <v>4.6954033411927831E-4</v>
      </c>
    </row>
    <row r="468" spans="4:8" ht="15.6" x14ac:dyDescent="0.3">
      <c r="D468" s="145">
        <v>45526</v>
      </c>
      <c r="E468" s="187">
        <v>809.7</v>
      </c>
      <c r="F468" s="146">
        <f t="shared" si="18"/>
        <v>-2.8325123152709297E-3</v>
      </c>
      <c r="G468" s="187">
        <v>24811.5</v>
      </c>
      <c r="H468" s="146">
        <f t="shared" si="19"/>
        <v>1.6673260611541618E-3</v>
      </c>
    </row>
    <row r="469" spans="4:8" ht="15.6" x14ac:dyDescent="0.3">
      <c r="D469" s="145">
        <v>45525</v>
      </c>
      <c r="E469" s="187">
        <v>812</v>
      </c>
      <c r="F469" s="146">
        <f t="shared" si="18"/>
        <v>1.5634771732332631E-2</v>
      </c>
      <c r="G469" s="187">
        <v>24770.2</v>
      </c>
      <c r="H469" s="146">
        <f t="shared" si="19"/>
        <v>2.888798466325504E-3</v>
      </c>
    </row>
    <row r="470" spans="4:8" ht="15.6" x14ac:dyDescent="0.3">
      <c r="D470" s="145">
        <v>45524</v>
      </c>
      <c r="E470" s="187">
        <v>799.5</v>
      </c>
      <c r="F470" s="146">
        <f t="shared" si="18"/>
        <v>-5.5970149253731227E-3</v>
      </c>
      <c r="G470" s="187">
        <v>24698.85</v>
      </c>
      <c r="H470" s="146">
        <f t="shared" si="19"/>
        <v>5.1357912150296059E-3</v>
      </c>
    </row>
    <row r="471" spans="4:8" ht="15.6" x14ac:dyDescent="0.3">
      <c r="D471" s="145">
        <v>45523</v>
      </c>
      <c r="E471" s="187">
        <v>804</v>
      </c>
      <c r="F471" s="146">
        <f t="shared" si="18"/>
        <v>-2.4686116334081465E-2</v>
      </c>
      <c r="G471" s="187">
        <v>24572.65</v>
      </c>
      <c r="H471" s="146">
        <f t="shared" si="19"/>
        <v>1.283558431450782E-3</v>
      </c>
    </row>
    <row r="472" spans="4:8" ht="15.6" x14ac:dyDescent="0.3">
      <c r="D472" s="145">
        <v>45520</v>
      </c>
      <c r="E472" s="187">
        <v>824.35</v>
      </c>
      <c r="F472" s="146">
        <f t="shared" si="18"/>
        <v>2.4164492483538469E-2</v>
      </c>
      <c r="G472" s="187">
        <v>24541.15</v>
      </c>
      <c r="H472" s="146">
        <f t="shared" si="19"/>
        <v>1.6459746311157097E-2</v>
      </c>
    </row>
    <row r="473" spans="4:8" ht="15.6" x14ac:dyDescent="0.3">
      <c r="D473" s="145">
        <v>45518</v>
      </c>
      <c r="E473" s="187">
        <v>804.9</v>
      </c>
      <c r="F473" s="146">
        <f t="shared" si="18"/>
        <v>-1.4689680499449187E-2</v>
      </c>
      <c r="G473" s="187">
        <v>24143.75</v>
      </c>
      <c r="H473" s="146">
        <f t="shared" si="19"/>
        <v>1.9677699987563635E-4</v>
      </c>
    </row>
    <row r="474" spans="4:8" ht="15.6" x14ac:dyDescent="0.3">
      <c r="D474" s="145">
        <v>45517</v>
      </c>
      <c r="E474" s="187">
        <v>816.9</v>
      </c>
      <c r="F474" s="146">
        <f t="shared" si="18"/>
        <v>1.095229255615382E-2</v>
      </c>
      <c r="G474" s="187">
        <v>24139</v>
      </c>
      <c r="H474" s="146">
        <f t="shared" si="19"/>
        <v>-8.5431469996303244E-3</v>
      </c>
    </row>
    <row r="475" spans="4:8" ht="15.6" x14ac:dyDescent="0.3">
      <c r="D475" s="145">
        <v>45516</v>
      </c>
      <c r="E475" s="187">
        <v>808.05</v>
      </c>
      <c r="F475" s="146">
        <f t="shared" ref="F475:F502" si="20">E475/E476-1</f>
        <v>1.3228840125391716E-2</v>
      </c>
      <c r="G475" s="187">
        <v>24347</v>
      </c>
      <c r="H475" s="146">
        <f t="shared" ref="H475:H502" si="21">G475/G476-1</f>
        <v>-8.4128449779419245E-4</v>
      </c>
    </row>
    <row r="476" spans="4:8" ht="15.6" x14ac:dyDescent="0.3">
      <c r="D476" s="145">
        <v>45513</v>
      </c>
      <c r="E476" s="187">
        <v>797.5</v>
      </c>
      <c r="F476" s="146">
        <f t="shared" si="20"/>
        <v>2.4932527952705286E-2</v>
      </c>
      <c r="G476" s="187">
        <v>24367.5</v>
      </c>
      <c r="H476" s="146">
        <f t="shared" si="21"/>
        <v>1.0386864037815746E-2</v>
      </c>
    </row>
    <row r="477" spans="4:8" ht="15.6" x14ac:dyDescent="0.3">
      <c r="D477" s="145">
        <v>45512</v>
      </c>
      <c r="E477" s="187">
        <v>778.1</v>
      </c>
      <c r="F477" s="146">
        <f t="shared" si="20"/>
        <v>-1.5187950892292079E-2</v>
      </c>
      <c r="G477" s="187">
        <v>24117</v>
      </c>
      <c r="H477" s="146">
        <f t="shared" si="21"/>
        <v>-7.4287478135610652E-3</v>
      </c>
    </row>
    <row r="478" spans="4:8" ht="15.6" x14ac:dyDescent="0.3">
      <c r="D478" s="145">
        <v>45511</v>
      </c>
      <c r="E478" s="187">
        <v>790.1</v>
      </c>
      <c r="F478" s="146">
        <f t="shared" si="20"/>
        <v>2.1526924817376614E-2</v>
      </c>
      <c r="G478" s="187">
        <v>24297.5</v>
      </c>
      <c r="H478" s="146">
        <f t="shared" si="21"/>
        <v>1.2710195456506312E-2</v>
      </c>
    </row>
    <row r="479" spans="4:8" ht="15.6" x14ac:dyDescent="0.3">
      <c r="D479" s="145">
        <v>45510</v>
      </c>
      <c r="E479" s="187">
        <v>773.45</v>
      </c>
      <c r="F479" s="146">
        <f t="shared" si="20"/>
        <v>3.1610536845615211E-2</v>
      </c>
      <c r="G479" s="187">
        <v>23992.55</v>
      </c>
      <c r="H479" s="146">
        <f t="shared" si="21"/>
        <v>-2.6210113237665755E-3</v>
      </c>
    </row>
    <row r="480" spans="4:8" ht="15.6" x14ac:dyDescent="0.3">
      <c r="D480" s="145">
        <v>45509</v>
      </c>
      <c r="E480" s="187">
        <v>749.75</v>
      </c>
      <c r="F480" s="146">
        <f t="shared" si="20"/>
        <v>-3.7856913699069628E-2</v>
      </c>
      <c r="G480" s="187">
        <v>24055.599999999999</v>
      </c>
      <c r="H480" s="146">
        <f t="shared" si="21"/>
        <v>-2.6786472851438536E-2</v>
      </c>
    </row>
    <row r="481" spans="4:8" ht="15.6" x14ac:dyDescent="0.3">
      <c r="D481" s="145">
        <v>45506</v>
      </c>
      <c r="E481" s="187">
        <v>779.25</v>
      </c>
      <c r="F481" s="146">
        <f t="shared" si="20"/>
        <v>-5.4423006916636374E-2</v>
      </c>
      <c r="G481" s="187">
        <v>24717.7</v>
      </c>
      <c r="H481" s="146">
        <f t="shared" si="21"/>
        <v>-1.1722888820474342E-2</v>
      </c>
    </row>
    <row r="482" spans="4:8" ht="15.6" x14ac:dyDescent="0.3">
      <c r="D482" s="145">
        <v>45505</v>
      </c>
      <c r="E482" s="187">
        <v>824.1</v>
      </c>
      <c r="F482" s="146">
        <f t="shared" si="20"/>
        <v>8.7520656098905025E-3</v>
      </c>
      <c r="G482" s="187">
        <v>25010.9</v>
      </c>
      <c r="H482" s="146">
        <f t="shared" si="21"/>
        <v>2.3946792031630526E-3</v>
      </c>
    </row>
    <row r="483" spans="4:8" ht="15.6" x14ac:dyDescent="0.3">
      <c r="D483" s="145">
        <v>45504</v>
      </c>
      <c r="E483" s="187">
        <v>816.95</v>
      </c>
      <c r="F483" s="146">
        <f t="shared" si="20"/>
        <v>2.5674827369742692E-2</v>
      </c>
      <c r="G483" s="187">
        <v>24951.15</v>
      </c>
      <c r="H483" s="146">
        <f t="shared" si="21"/>
        <v>3.7755508442189889E-3</v>
      </c>
    </row>
    <row r="484" spans="4:8" ht="15.6" x14ac:dyDescent="0.3">
      <c r="D484" s="145">
        <v>45503</v>
      </c>
      <c r="E484" s="187">
        <v>796.5</v>
      </c>
      <c r="F484" s="146">
        <f t="shared" si="20"/>
        <v>-2.5046963055729288E-3</v>
      </c>
      <c r="G484" s="187">
        <v>24857.3</v>
      </c>
      <c r="H484" s="146">
        <f t="shared" si="21"/>
        <v>8.5359617653346653E-4</v>
      </c>
    </row>
    <row r="485" spans="4:8" ht="15.6" x14ac:dyDescent="0.3">
      <c r="D485" s="145">
        <v>45502</v>
      </c>
      <c r="E485" s="187">
        <v>798.5</v>
      </c>
      <c r="F485" s="146">
        <f t="shared" si="20"/>
        <v>1.7563668297577717E-3</v>
      </c>
      <c r="G485" s="187">
        <v>24836.1</v>
      </c>
      <c r="H485" s="146">
        <f t="shared" si="21"/>
        <v>5.0332496471794386E-5</v>
      </c>
    </row>
    <row r="486" spans="4:8" ht="15.6" x14ac:dyDescent="0.3">
      <c r="D486" s="145">
        <v>45499</v>
      </c>
      <c r="E486" s="187">
        <v>797.1</v>
      </c>
      <c r="F486" s="146">
        <f t="shared" si="20"/>
        <v>-1.1471445402120639E-2</v>
      </c>
      <c r="G486" s="187">
        <v>24834.85</v>
      </c>
      <c r="H486" s="146">
        <f t="shared" si="21"/>
        <v>1.7567329479105664E-2</v>
      </c>
    </row>
    <row r="487" spans="4:8" ht="15.6" x14ac:dyDescent="0.3">
      <c r="D487" s="145">
        <v>45498</v>
      </c>
      <c r="E487" s="187">
        <v>806.35</v>
      </c>
      <c r="F487" s="146">
        <f t="shared" si="20"/>
        <v>8.4417208604301575E-3</v>
      </c>
      <c r="G487" s="187">
        <v>24406.1</v>
      </c>
      <c r="H487" s="146">
        <f t="shared" si="21"/>
        <v>-3.0311098367707956E-4</v>
      </c>
    </row>
    <row r="488" spans="4:8" ht="15.6" x14ac:dyDescent="0.3">
      <c r="D488" s="145">
        <v>45497</v>
      </c>
      <c r="E488" s="187">
        <v>799.6</v>
      </c>
      <c r="F488" s="146">
        <f t="shared" si="20"/>
        <v>-3.7504688086009708E-4</v>
      </c>
      <c r="G488" s="187">
        <v>24413.5</v>
      </c>
      <c r="H488" s="146">
        <f t="shared" si="21"/>
        <v>-2.6777999963233379E-3</v>
      </c>
    </row>
    <row r="489" spans="4:8" ht="15.6" x14ac:dyDescent="0.3">
      <c r="D489" s="145">
        <v>45496</v>
      </c>
      <c r="E489" s="187">
        <v>799.9</v>
      </c>
      <c r="F489" s="146">
        <f t="shared" si="20"/>
        <v>-6.8711349865713256E-4</v>
      </c>
      <c r="G489" s="187">
        <v>24479.05</v>
      </c>
      <c r="H489" s="146">
        <f t="shared" si="21"/>
        <v>-1.2321878474453873E-3</v>
      </c>
    </row>
    <row r="490" spans="4:8" ht="15.6" x14ac:dyDescent="0.3">
      <c r="D490" s="145">
        <v>45495</v>
      </c>
      <c r="E490" s="187">
        <v>800.45</v>
      </c>
      <c r="F490" s="146">
        <f t="shared" si="20"/>
        <v>8.127031757940717E-4</v>
      </c>
      <c r="G490" s="187">
        <v>24509.25</v>
      </c>
      <c r="H490" s="146">
        <f t="shared" si="21"/>
        <v>-8.8256036264466875E-4</v>
      </c>
    </row>
    <row r="491" spans="4:8" ht="15.6" x14ac:dyDescent="0.3">
      <c r="D491" s="145">
        <v>45492</v>
      </c>
      <c r="E491" s="187">
        <v>799.8</v>
      </c>
      <c r="F491" s="146">
        <f t="shared" si="20"/>
        <v>9.9760070715999571E-3</v>
      </c>
      <c r="G491" s="187">
        <v>24530.9</v>
      </c>
      <c r="H491" s="146">
        <f t="shared" si="21"/>
        <v>-1.0884707580586794E-2</v>
      </c>
    </row>
    <row r="492" spans="4:8" ht="15.6" x14ac:dyDescent="0.3">
      <c r="D492" s="145">
        <v>45491</v>
      </c>
      <c r="E492" s="187">
        <v>791.9</v>
      </c>
      <c r="F492" s="146">
        <f t="shared" si="20"/>
        <v>2.4185204345576805E-2</v>
      </c>
      <c r="G492" s="187">
        <v>24800.85</v>
      </c>
      <c r="H492" s="146">
        <f t="shared" si="21"/>
        <v>7.6321456141064115E-3</v>
      </c>
    </row>
    <row r="493" spans="4:8" ht="15.6" x14ac:dyDescent="0.3">
      <c r="D493" s="145">
        <v>45489</v>
      </c>
      <c r="E493" s="187">
        <v>773.2</v>
      </c>
      <c r="F493" s="146">
        <f t="shared" si="20"/>
        <v>1.2572027239392325E-2</v>
      </c>
      <c r="G493" s="187">
        <v>24613</v>
      </c>
      <c r="H493" s="146">
        <f t="shared" si="21"/>
        <v>1.0696840161550369E-3</v>
      </c>
    </row>
    <row r="494" spans="4:8" ht="15.6" x14ac:dyDescent="0.3">
      <c r="D494" s="145">
        <v>45488</v>
      </c>
      <c r="E494" s="187">
        <v>763.6</v>
      </c>
      <c r="F494" s="146">
        <f t="shared" si="20"/>
        <v>6.5483596359161567E-5</v>
      </c>
      <c r="G494" s="187">
        <v>24586.7</v>
      </c>
      <c r="H494" s="146">
        <f t="shared" si="21"/>
        <v>3.4507175900890807E-3</v>
      </c>
    </row>
    <row r="495" spans="4:8" ht="15.6" x14ac:dyDescent="0.3">
      <c r="D495" s="145">
        <v>45485</v>
      </c>
      <c r="E495" s="187">
        <v>763.55</v>
      </c>
      <c r="F495" s="146">
        <f t="shared" si="20"/>
        <v>-2.1562990067957033E-3</v>
      </c>
      <c r="G495" s="187">
        <v>24502.15</v>
      </c>
      <c r="H495" s="146">
        <f t="shared" si="21"/>
        <v>7.6575252046495734E-3</v>
      </c>
    </row>
    <row r="496" spans="4:8" ht="15.6" x14ac:dyDescent="0.3">
      <c r="D496" s="145">
        <v>45484</v>
      </c>
      <c r="E496" s="187">
        <v>765.2</v>
      </c>
      <c r="F496" s="146">
        <f t="shared" si="20"/>
        <v>-5.9110100682039368E-3</v>
      </c>
      <c r="G496" s="187">
        <v>24315.95</v>
      </c>
      <c r="H496" s="146">
        <f t="shared" si="21"/>
        <v>-3.4944263899083783E-4</v>
      </c>
    </row>
    <row r="497" spans="4:8" ht="15.6" x14ac:dyDescent="0.3">
      <c r="D497" s="145">
        <v>45483</v>
      </c>
      <c r="E497" s="187">
        <v>769.75</v>
      </c>
      <c r="F497" s="146">
        <f t="shared" si="20"/>
        <v>-9.3945048581172141E-3</v>
      </c>
      <c r="G497" s="187">
        <v>24324.45</v>
      </c>
      <c r="H497" s="146">
        <f t="shared" si="21"/>
        <v>-4.4509110554491471E-3</v>
      </c>
    </row>
    <row r="498" spans="4:8" ht="15.6" x14ac:dyDescent="0.3">
      <c r="D498" s="145">
        <v>45482</v>
      </c>
      <c r="E498" s="187">
        <v>777.05</v>
      </c>
      <c r="F498" s="146">
        <f t="shared" si="20"/>
        <v>3.6757838559039246E-2</v>
      </c>
      <c r="G498" s="187">
        <v>24433.200000000001</v>
      </c>
      <c r="H498" s="146">
        <f t="shared" si="21"/>
        <v>4.6318853808815508E-3</v>
      </c>
    </row>
    <row r="499" spans="4:8" ht="15.6" x14ac:dyDescent="0.3">
      <c r="D499" s="145">
        <v>45481</v>
      </c>
      <c r="E499" s="187">
        <v>749.5</v>
      </c>
      <c r="F499" s="146">
        <f t="shared" si="20"/>
        <v>3.4935100800883578E-2</v>
      </c>
      <c r="G499" s="187">
        <v>24320.55</v>
      </c>
      <c r="H499" s="146">
        <f t="shared" si="21"/>
        <v>-1.3566931221820067E-4</v>
      </c>
    </row>
    <row r="500" spans="4:8" ht="15.6" x14ac:dyDescent="0.3">
      <c r="D500" s="145">
        <v>45478</v>
      </c>
      <c r="E500" s="187">
        <v>724.2</v>
      </c>
      <c r="F500" s="146">
        <f t="shared" si="20"/>
        <v>-1.9828111253975766E-2</v>
      </c>
      <c r="G500" s="187">
        <v>24323.85</v>
      </c>
      <c r="H500" s="146">
        <f t="shared" si="21"/>
        <v>8.9292511156413568E-4</v>
      </c>
    </row>
    <row r="501" spans="4:8" ht="15.6" x14ac:dyDescent="0.3">
      <c r="D501" s="145">
        <v>45477</v>
      </c>
      <c r="E501" s="187">
        <v>738.85</v>
      </c>
      <c r="F501" s="146">
        <f t="shared" si="20"/>
        <v>3.3269961977187013E-3</v>
      </c>
      <c r="G501" s="187">
        <v>24302.15</v>
      </c>
      <c r="H501" s="146">
        <f t="shared" si="21"/>
        <v>6.4439091676460336E-4</v>
      </c>
    </row>
    <row r="502" spans="4:8" ht="15.6" x14ac:dyDescent="0.3">
      <c r="D502" s="145">
        <v>45476</v>
      </c>
      <c r="E502" s="187">
        <v>736.4</v>
      </c>
      <c r="F502" s="146">
        <f t="shared" si="20"/>
        <v>1.8041058961774992E-2</v>
      </c>
      <c r="G502" s="187">
        <v>24286.5</v>
      </c>
      <c r="H502" s="146">
        <f t="shared" si="21"/>
        <v>6.7422903060665451E-3</v>
      </c>
    </row>
    <row r="503" spans="4:8" ht="15.6" x14ac:dyDescent="0.3">
      <c r="D503" s="145"/>
      <c r="E503" s="187">
        <v>723.35</v>
      </c>
      <c r="F503" s="146"/>
      <c r="G503" s="187">
        <v>24123.85</v>
      </c>
      <c r="H503" s="146"/>
    </row>
    <row r="504" spans="4:8" ht="15.6" x14ac:dyDescent="0.3">
      <c r="D504" s="145"/>
      <c r="E504" s="187"/>
      <c r="F504" s="146"/>
      <c r="G504" s="187"/>
      <c r="H504" s="146"/>
    </row>
    <row r="505" spans="4:8" ht="15.6" x14ac:dyDescent="0.3">
      <c r="D505" s="145"/>
      <c r="E505" s="187"/>
      <c r="F505" s="146"/>
      <c r="G505" s="187"/>
      <c r="H505" s="146"/>
    </row>
    <row r="506" spans="4:8" ht="15.6" x14ac:dyDescent="0.3">
      <c r="D506" s="145"/>
      <c r="E506" s="187"/>
      <c r="F506" s="146"/>
      <c r="G506" s="187"/>
      <c r="H506" s="146"/>
    </row>
    <row r="507" spans="4:8" ht="15.6" x14ac:dyDescent="0.3">
      <c r="D507" s="145"/>
      <c r="E507" s="187"/>
      <c r="F507" s="146"/>
      <c r="G507" s="187"/>
      <c r="H507" s="146"/>
    </row>
    <row r="508" spans="4:8" ht="15.6" x14ac:dyDescent="0.3">
      <c r="D508" s="145"/>
      <c r="E508" s="187"/>
      <c r="F508" s="146"/>
      <c r="G508" s="187"/>
      <c r="H508" s="146"/>
    </row>
    <row r="509" spans="4:8" ht="15.6" x14ac:dyDescent="0.3">
      <c r="D509" s="145"/>
      <c r="E509" s="187"/>
      <c r="F509" s="146"/>
      <c r="G509" s="187"/>
      <c r="H509" s="146"/>
    </row>
    <row r="510" spans="4:8" ht="15.6" x14ac:dyDescent="0.3">
      <c r="D510" s="145"/>
      <c r="E510" s="187"/>
      <c r="F510" s="146"/>
      <c r="G510" s="187"/>
      <c r="H510" s="146"/>
    </row>
    <row r="511" spans="4:8" ht="15.6" x14ac:dyDescent="0.3">
      <c r="D511" s="145"/>
      <c r="E511" s="187"/>
      <c r="F511" s="146"/>
      <c r="G511" s="187"/>
      <c r="H511" s="146"/>
    </row>
    <row r="512" spans="4:8" ht="15.6" x14ac:dyDescent="0.3">
      <c r="D512" s="145"/>
      <c r="E512" s="187"/>
      <c r="F512" s="146"/>
      <c r="G512" s="187"/>
      <c r="H512" s="146"/>
    </row>
    <row r="513" spans="4:8" ht="15.6" x14ac:dyDescent="0.3">
      <c r="D513" s="145"/>
      <c r="E513" s="187"/>
      <c r="F513" s="146"/>
      <c r="G513" s="187"/>
      <c r="H513" s="146"/>
    </row>
    <row r="514" spans="4:8" ht="15.6" x14ac:dyDescent="0.3">
      <c r="D514" s="145"/>
      <c r="E514" s="187"/>
      <c r="F514" s="146"/>
      <c r="G514" s="187"/>
      <c r="H514" s="146"/>
    </row>
    <row r="515" spans="4:8" ht="15.6" x14ac:dyDescent="0.3">
      <c r="D515" s="145"/>
      <c r="E515" s="187"/>
      <c r="F515" s="146"/>
      <c r="G515" s="187"/>
      <c r="H515" s="146"/>
    </row>
    <row r="516" spans="4:8" ht="15.6" x14ac:dyDescent="0.3">
      <c r="D516" s="145"/>
      <c r="E516" s="187"/>
      <c r="F516" s="146"/>
      <c r="G516" s="187"/>
      <c r="H516" s="146"/>
    </row>
    <row r="517" spans="4:8" ht="15.6" x14ac:dyDescent="0.3">
      <c r="D517" s="145"/>
      <c r="E517" s="187"/>
      <c r="F517" s="146"/>
      <c r="G517" s="187"/>
      <c r="H517" s="146"/>
    </row>
    <row r="518" spans="4:8" ht="15.6" x14ac:dyDescent="0.3">
      <c r="D518" s="189"/>
      <c r="E518" s="190"/>
      <c r="F518" s="192"/>
      <c r="G518" s="21"/>
      <c r="H518" s="192"/>
    </row>
    <row r="519" spans="4:8" ht="15.6" x14ac:dyDescent="0.3">
      <c r="D519" s="189"/>
      <c r="E519" s="190"/>
      <c r="F519" s="192"/>
      <c r="G519" s="21"/>
      <c r="H519" s="192"/>
    </row>
    <row r="520" spans="4:8" ht="15.6" x14ac:dyDescent="0.3">
      <c r="D520" s="189"/>
      <c r="E520" s="190"/>
      <c r="F520" s="189"/>
      <c r="G520" s="21"/>
      <c r="H520" s="192"/>
    </row>
    <row r="521" spans="4:8" ht="15.6" x14ac:dyDescent="0.3">
      <c r="D521" s="123"/>
      <c r="E521" s="123"/>
      <c r="F521" s="123"/>
      <c r="G521" s="114"/>
      <c r="H521" s="115"/>
    </row>
    <row r="522" spans="4:8" ht="15.6" x14ac:dyDescent="0.3">
      <c r="D522" s="123"/>
      <c r="E522" s="123"/>
      <c r="F522" s="123"/>
      <c r="G522" s="114"/>
      <c r="H522" s="115"/>
    </row>
    <row r="523" spans="4:8" ht="15.6" x14ac:dyDescent="0.3">
      <c r="D523" s="123"/>
      <c r="E523" s="123"/>
      <c r="F523" s="123"/>
      <c r="G523" s="114"/>
      <c r="H523" s="115"/>
    </row>
    <row r="524" spans="4:8" ht="15.6" x14ac:dyDescent="0.3">
      <c r="D524" s="123"/>
      <c r="E524" s="123"/>
      <c r="F524" s="123"/>
      <c r="G524" s="114"/>
      <c r="H524" s="115"/>
    </row>
    <row r="525" spans="4:8" ht="15.6" x14ac:dyDescent="0.3">
      <c r="D525" s="123"/>
      <c r="E525" s="123"/>
      <c r="F525" s="123"/>
      <c r="G525" s="114"/>
      <c r="H525" s="115"/>
    </row>
    <row r="526" spans="4:8" ht="15.6" x14ac:dyDescent="0.3">
      <c r="D526" s="123"/>
      <c r="E526" s="123"/>
      <c r="F526" s="123"/>
      <c r="G526" s="114"/>
      <c r="H526" s="115"/>
    </row>
    <row r="527" spans="4:8" ht="15.6" x14ac:dyDescent="0.3">
      <c r="D527" s="123"/>
      <c r="E527" s="123"/>
      <c r="F527" s="123"/>
      <c r="G527" s="114"/>
      <c r="H527" s="115"/>
    </row>
    <row r="528" spans="4:8" ht="15.6" x14ac:dyDescent="0.3">
      <c r="D528" s="123"/>
      <c r="E528" s="123"/>
      <c r="F528" s="123"/>
      <c r="G528" s="114"/>
      <c r="H528" s="115"/>
    </row>
    <row r="529" spans="4:8" ht="15.6" x14ac:dyDescent="0.3">
      <c r="D529" s="123"/>
      <c r="E529" s="123"/>
      <c r="F529" s="123"/>
      <c r="G529" s="114"/>
      <c r="H529" s="115"/>
    </row>
    <row r="530" spans="4:8" ht="15.6" x14ac:dyDescent="0.3">
      <c r="D530" s="123"/>
      <c r="E530" s="123"/>
      <c r="F530" s="123"/>
      <c r="G530" s="114"/>
      <c r="H530" s="115"/>
    </row>
    <row r="531" spans="4:8" ht="15.6" x14ac:dyDescent="0.3">
      <c r="D531" s="123"/>
      <c r="E531" s="123"/>
      <c r="F531" s="123"/>
      <c r="G531" s="114"/>
      <c r="H531" s="115"/>
    </row>
    <row r="532" spans="4:8" ht="15.6" x14ac:dyDescent="0.3">
      <c r="D532" s="123"/>
      <c r="E532" s="123"/>
      <c r="F532" s="123"/>
      <c r="G532" s="114"/>
      <c r="H532" s="115"/>
    </row>
    <row r="533" spans="4:8" ht="15.6" x14ac:dyDescent="0.3">
      <c r="D533" s="123"/>
      <c r="E533" s="123"/>
      <c r="F533" s="123"/>
      <c r="G533" s="114"/>
      <c r="H533" s="115"/>
    </row>
    <row r="534" spans="4:8" ht="15.6" x14ac:dyDescent="0.3">
      <c r="D534" s="123"/>
      <c r="E534" s="123"/>
      <c r="F534" s="123"/>
      <c r="G534" s="114"/>
      <c r="H534" s="115"/>
    </row>
    <row r="535" spans="4:8" ht="15.6" x14ac:dyDescent="0.3">
      <c r="D535" s="123"/>
      <c r="E535" s="123"/>
      <c r="F535" s="123"/>
      <c r="G535" s="114"/>
      <c r="H535" s="115"/>
    </row>
    <row r="536" spans="4:8" ht="15.6" x14ac:dyDescent="0.3">
      <c r="D536" s="123"/>
      <c r="E536" s="123"/>
      <c r="F536" s="123"/>
      <c r="G536" s="114"/>
      <c r="H536" s="115"/>
    </row>
    <row r="537" spans="4:8" ht="15.6" x14ac:dyDescent="0.3">
      <c r="D537" s="123"/>
      <c r="E537" s="123"/>
      <c r="F537" s="123"/>
      <c r="G537" s="114"/>
      <c r="H537" s="115"/>
    </row>
    <row r="538" spans="4:8" ht="15.6" x14ac:dyDescent="0.3">
      <c r="D538" s="123"/>
      <c r="E538" s="123"/>
      <c r="F538" s="123"/>
      <c r="G538" s="114"/>
      <c r="H538" s="115"/>
    </row>
    <row r="539" spans="4:8" ht="15.6" x14ac:dyDescent="0.3">
      <c r="D539" s="123"/>
      <c r="E539" s="123"/>
      <c r="F539" s="123"/>
      <c r="G539" s="114"/>
      <c r="H539" s="115"/>
    </row>
    <row r="540" spans="4:8" ht="15.6" x14ac:dyDescent="0.3">
      <c r="D540" s="123"/>
      <c r="E540" s="123"/>
      <c r="F540" s="123"/>
      <c r="G540" s="114"/>
      <c r="H540" s="115"/>
    </row>
    <row r="541" spans="4:8" ht="15.6" x14ac:dyDescent="0.3">
      <c r="D541" s="123"/>
      <c r="E541" s="123"/>
      <c r="F541" s="123"/>
      <c r="G541" s="114"/>
      <c r="H541" s="115"/>
    </row>
    <row r="542" spans="4:8" ht="15.6" x14ac:dyDescent="0.3">
      <c r="D542" s="123"/>
      <c r="E542" s="123"/>
      <c r="F542" s="123"/>
      <c r="G542" s="114"/>
      <c r="H542" s="115"/>
    </row>
    <row r="543" spans="4:8" ht="15.6" x14ac:dyDescent="0.3">
      <c r="D543" s="123"/>
      <c r="E543" s="123"/>
      <c r="F543" s="123"/>
      <c r="G543" s="114"/>
      <c r="H543" s="115"/>
    </row>
    <row r="544" spans="4:8" ht="15.6" x14ac:dyDescent="0.3">
      <c r="D544" s="123"/>
      <c r="E544" s="123"/>
      <c r="F544" s="123"/>
      <c r="G544" s="114"/>
      <c r="H544" s="115"/>
    </row>
    <row r="545" spans="4:8" ht="15.6" x14ac:dyDescent="0.3">
      <c r="D545" s="123"/>
      <c r="E545" s="123"/>
      <c r="F545" s="123"/>
      <c r="G545" s="114"/>
      <c r="H545" s="115"/>
    </row>
    <row r="546" spans="4:8" ht="15.6" x14ac:dyDescent="0.3">
      <c r="D546" s="123"/>
      <c r="E546" s="123"/>
      <c r="F546" s="123"/>
      <c r="G546" s="114"/>
      <c r="H546" s="115"/>
    </row>
    <row r="547" spans="4:8" ht="15.6" x14ac:dyDescent="0.3">
      <c r="D547" s="123"/>
      <c r="E547" s="123"/>
      <c r="F547" s="123"/>
      <c r="G547" s="114"/>
      <c r="H547" s="115"/>
    </row>
    <row r="548" spans="4:8" ht="15.6" x14ac:dyDescent="0.3">
      <c r="D548" s="123"/>
      <c r="E548" s="123"/>
      <c r="F548" s="123"/>
      <c r="G548" s="114"/>
      <c r="H548" s="115"/>
    </row>
    <row r="549" spans="4:8" ht="15.6" x14ac:dyDescent="0.3">
      <c r="D549" s="123"/>
      <c r="E549" s="123"/>
      <c r="F549" s="123"/>
      <c r="G549" s="114"/>
      <c r="H549" s="115"/>
    </row>
    <row r="550" spans="4:8" ht="15.6" x14ac:dyDescent="0.3">
      <c r="D550" s="123"/>
      <c r="E550" s="123"/>
      <c r="F550" s="123"/>
      <c r="G550" s="114"/>
      <c r="H550" s="115"/>
    </row>
    <row r="551" spans="4:8" ht="15.6" x14ac:dyDescent="0.3">
      <c r="D551" s="123"/>
      <c r="E551" s="123"/>
      <c r="F551" s="123"/>
      <c r="G551" s="114"/>
      <c r="H551" s="115"/>
    </row>
    <row r="552" spans="4:8" ht="15.6" x14ac:dyDescent="0.3">
      <c r="D552" s="123"/>
      <c r="E552" s="123"/>
      <c r="F552" s="123"/>
      <c r="G552" s="114"/>
      <c r="H552" s="115"/>
    </row>
    <row r="553" spans="4:8" ht="15.6" x14ac:dyDescent="0.3">
      <c r="D553" s="123"/>
      <c r="E553" s="123"/>
      <c r="F553" s="123"/>
      <c r="G553" s="114"/>
      <c r="H553" s="115"/>
    </row>
    <row r="554" spans="4:8" ht="15.6" x14ac:dyDescent="0.3">
      <c r="D554" s="123"/>
      <c r="E554" s="123"/>
      <c r="F554" s="123"/>
      <c r="G554" s="114"/>
      <c r="H554" s="115"/>
    </row>
    <row r="555" spans="4:8" ht="15.6" x14ac:dyDescent="0.3">
      <c r="D555" s="123"/>
      <c r="E555" s="123"/>
      <c r="F555" s="123"/>
      <c r="G555" s="114"/>
      <c r="H555" s="115"/>
    </row>
    <row r="556" spans="4:8" ht="15.6" x14ac:dyDescent="0.3">
      <c r="D556" s="123"/>
      <c r="E556" s="123"/>
      <c r="F556" s="123"/>
      <c r="G556" s="114"/>
      <c r="H556" s="115"/>
    </row>
    <row r="557" spans="4:8" ht="15.6" x14ac:dyDescent="0.3">
      <c r="D557" s="123"/>
      <c r="E557" s="123"/>
      <c r="F557" s="123"/>
      <c r="G557" s="114"/>
      <c r="H557" s="115"/>
    </row>
    <row r="558" spans="4:8" ht="15.6" x14ac:dyDescent="0.3">
      <c r="D558" s="123"/>
      <c r="E558" s="123"/>
      <c r="F558" s="123"/>
      <c r="G558" s="114"/>
      <c r="H558" s="115"/>
    </row>
    <row r="559" spans="4:8" ht="15.6" x14ac:dyDescent="0.3">
      <c r="D559" s="123"/>
      <c r="E559" s="123"/>
      <c r="F559" s="123"/>
      <c r="G559" s="114"/>
      <c r="H559" s="115"/>
    </row>
    <row r="560" spans="4:8" ht="15.6" x14ac:dyDescent="0.3">
      <c r="D560" s="123"/>
      <c r="E560" s="123"/>
      <c r="F560" s="123"/>
      <c r="G560" s="114"/>
      <c r="H560" s="115"/>
    </row>
    <row r="561" spans="4:8" ht="15.6" x14ac:dyDescent="0.3">
      <c r="D561" s="123"/>
      <c r="E561" s="123"/>
      <c r="F561" s="123"/>
      <c r="G561" s="114"/>
      <c r="H561" s="115"/>
    </row>
    <row r="562" spans="4:8" ht="15.6" x14ac:dyDescent="0.3">
      <c r="D562" s="123"/>
      <c r="E562" s="123"/>
      <c r="F562" s="123"/>
      <c r="G562" s="114"/>
      <c r="H562" s="115"/>
    </row>
    <row r="563" spans="4:8" ht="15.6" x14ac:dyDescent="0.3">
      <c r="D563" s="123"/>
      <c r="E563" s="123"/>
      <c r="F563" s="123"/>
      <c r="G563" s="114"/>
      <c r="H563" s="115"/>
    </row>
    <row r="564" spans="4:8" ht="15.6" x14ac:dyDescent="0.3">
      <c r="D564" s="123"/>
      <c r="E564" s="123"/>
      <c r="F564" s="123"/>
      <c r="G564" s="114"/>
      <c r="H564" s="115"/>
    </row>
    <row r="565" spans="4:8" ht="15.6" x14ac:dyDescent="0.3">
      <c r="D565" s="123"/>
      <c r="E565" s="123"/>
      <c r="F565" s="123"/>
      <c r="G565" s="114"/>
      <c r="H565" s="115"/>
    </row>
    <row r="566" spans="4:8" ht="15.6" x14ac:dyDescent="0.3">
      <c r="D566" s="123"/>
      <c r="E566" s="123"/>
      <c r="F566" s="123"/>
      <c r="G566" s="114"/>
      <c r="H566" s="115"/>
    </row>
    <row r="567" spans="4:8" ht="15.6" x14ac:dyDescent="0.3">
      <c r="D567" s="123"/>
      <c r="E567" s="123"/>
      <c r="F567" s="123"/>
      <c r="G567" s="114"/>
      <c r="H567" s="115"/>
    </row>
    <row r="568" spans="4:8" ht="15.6" x14ac:dyDescent="0.3">
      <c r="D568" s="123"/>
      <c r="E568" s="123"/>
      <c r="F568" s="123"/>
      <c r="G568" s="114"/>
      <c r="H568" s="115"/>
    </row>
    <row r="569" spans="4:8" ht="15.6" x14ac:dyDescent="0.3">
      <c r="D569" s="123"/>
      <c r="E569" s="123"/>
      <c r="F569" s="123"/>
      <c r="G569" s="114"/>
      <c r="H569" s="115"/>
    </row>
    <row r="570" spans="4:8" ht="15.6" x14ac:dyDescent="0.3">
      <c r="D570" s="123"/>
      <c r="E570" s="123"/>
      <c r="F570" s="123"/>
      <c r="G570" s="114"/>
      <c r="H570" s="115"/>
    </row>
    <row r="571" spans="4:8" ht="15.6" x14ac:dyDescent="0.3">
      <c r="D571" s="123"/>
      <c r="E571" s="123"/>
      <c r="F571" s="123"/>
      <c r="G571" s="114"/>
      <c r="H571" s="115"/>
    </row>
    <row r="572" spans="4:8" ht="15.6" x14ac:dyDescent="0.3">
      <c r="D572" s="123"/>
      <c r="E572" s="123"/>
      <c r="F572" s="123"/>
      <c r="G572" s="114"/>
      <c r="H572" s="115"/>
    </row>
    <row r="573" spans="4:8" ht="15.6" x14ac:dyDescent="0.3">
      <c r="D573" s="123"/>
      <c r="E573" s="123"/>
      <c r="F573" s="123"/>
      <c r="G573" s="114"/>
      <c r="H573" s="115"/>
    </row>
    <row r="574" spans="4:8" ht="15.6" x14ac:dyDescent="0.3">
      <c r="D574" s="123"/>
      <c r="E574" s="123"/>
      <c r="F574" s="123"/>
      <c r="G574" s="114"/>
      <c r="H574" s="115"/>
    </row>
    <row r="575" spans="4:8" ht="15.6" x14ac:dyDescent="0.3">
      <c r="D575" s="123"/>
      <c r="E575" s="123"/>
      <c r="F575" s="123"/>
      <c r="G575" s="114"/>
      <c r="H575" s="115"/>
    </row>
    <row r="576" spans="4:8" ht="15.6" x14ac:dyDescent="0.3">
      <c r="D576" s="123"/>
      <c r="E576" s="123"/>
      <c r="F576" s="123"/>
      <c r="G576" s="114"/>
      <c r="H576" s="115"/>
    </row>
    <row r="577" spans="4:8" ht="15.6" x14ac:dyDescent="0.3">
      <c r="D577" s="123"/>
      <c r="E577" s="123"/>
      <c r="F577" s="123"/>
      <c r="G577" s="114"/>
      <c r="H577" s="115"/>
    </row>
    <row r="578" spans="4:8" ht="15.6" x14ac:dyDescent="0.3">
      <c r="D578" s="123"/>
      <c r="E578" s="123"/>
      <c r="F578" s="123"/>
      <c r="G578" s="114"/>
      <c r="H578" s="115"/>
    </row>
    <row r="579" spans="4:8" ht="15.6" x14ac:dyDescent="0.3">
      <c r="D579" s="123"/>
      <c r="E579" s="123"/>
      <c r="F579" s="123"/>
      <c r="G579" s="114"/>
      <c r="H579" s="115"/>
    </row>
    <row r="580" spans="4:8" ht="15.6" x14ac:dyDescent="0.3">
      <c r="D580" s="123"/>
      <c r="E580" s="123"/>
      <c r="F580" s="123"/>
      <c r="G580" s="114"/>
      <c r="H580" s="115"/>
    </row>
    <row r="581" spans="4:8" ht="15.6" x14ac:dyDescent="0.3">
      <c r="D581" s="123"/>
      <c r="E581" s="123"/>
      <c r="F581" s="123"/>
      <c r="G581" s="114"/>
      <c r="H581" s="115"/>
    </row>
    <row r="582" spans="4:8" ht="15.6" x14ac:dyDescent="0.3">
      <c r="D582" s="123"/>
      <c r="E582" s="123"/>
      <c r="F582" s="123"/>
      <c r="G582" s="114"/>
      <c r="H582" s="115"/>
    </row>
    <row r="583" spans="4:8" ht="15.6" x14ac:dyDescent="0.3">
      <c r="D583" s="123"/>
      <c r="E583" s="123"/>
      <c r="F583" s="123"/>
      <c r="G583" s="114"/>
      <c r="H583" s="115"/>
    </row>
    <row r="584" spans="4:8" ht="15.6" x14ac:dyDescent="0.3">
      <c r="D584" s="123"/>
      <c r="E584" s="123"/>
      <c r="F584" s="123"/>
      <c r="G584" s="114"/>
      <c r="H584" s="115"/>
    </row>
    <row r="585" spans="4:8" ht="15.6" x14ac:dyDescent="0.3">
      <c r="D585" s="123"/>
      <c r="E585" s="123"/>
      <c r="F585" s="123"/>
      <c r="G585" s="114"/>
      <c r="H585" s="115"/>
    </row>
    <row r="586" spans="4:8" ht="15.6" x14ac:dyDescent="0.3">
      <c r="D586" s="123"/>
      <c r="E586" s="123"/>
      <c r="F586" s="123"/>
      <c r="G586" s="114"/>
      <c r="H586" s="115"/>
    </row>
    <row r="587" spans="4:8" ht="15.6" x14ac:dyDescent="0.3">
      <c r="D587" s="123"/>
      <c r="E587" s="123"/>
      <c r="F587" s="123"/>
      <c r="G587" s="114"/>
      <c r="H587" s="115"/>
    </row>
    <row r="588" spans="4:8" ht="15.6" x14ac:dyDescent="0.3">
      <c r="D588" s="123"/>
      <c r="E588" s="123"/>
      <c r="F588" s="123"/>
      <c r="G588" s="114"/>
      <c r="H588" s="115"/>
    </row>
    <row r="589" spans="4:8" ht="15.6" x14ac:dyDescent="0.3">
      <c r="D589" s="123"/>
      <c r="E589" s="123"/>
      <c r="F589" s="123"/>
      <c r="G589" s="114"/>
      <c r="H589" s="115"/>
    </row>
    <row r="590" spans="4:8" ht="15.6" x14ac:dyDescent="0.3">
      <c r="D590" s="123"/>
      <c r="E590" s="123"/>
      <c r="F590" s="123"/>
      <c r="G590" s="114"/>
      <c r="H590" s="115"/>
    </row>
    <row r="591" spans="4:8" ht="15.6" x14ac:dyDescent="0.3">
      <c r="D591" s="123"/>
      <c r="E591" s="123"/>
      <c r="F591" s="123"/>
      <c r="G591" s="114"/>
      <c r="H591" s="115"/>
    </row>
    <row r="592" spans="4:8" ht="15.6" x14ac:dyDescent="0.3">
      <c r="D592" s="123"/>
      <c r="E592" s="123"/>
      <c r="F592" s="123"/>
      <c r="G592" s="114"/>
      <c r="H592" s="115"/>
    </row>
    <row r="593" spans="4:8" ht="15.6" x14ac:dyDescent="0.3">
      <c r="D593" s="123"/>
      <c r="E593" s="123"/>
      <c r="F593" s="123"/>
      <c r="G593" s="114"/>
      <c r="H593" s="115"/>
    </row>
    <row r="594" spans="4:8" ht="15.6" x14ac:dyDescent="0.3">
      <c r="D594" s="123"/>
      <c r="E594" s="123"/>
      <c r="F594" s="123"/>
      <c r="G594" s="114"/>
      <c r="H594" s="115"/>
    </row>
    <row r="595" spans="4:8" ht="15.6" x14ac:dyDescent="0.3">
      <c r="D595" s="123"/>
      <c r="E595" s="123"/>
      <c r="F595" s="123"/>
      <c r="G595" s="114"/>
      <c r="H595" s="115"/>
    </row>
    <row r="596" spans="4:8" ht="15.6" x14ac:dyDescent="0.3">
      <c r="D596" s="123"/>
      <c r="E596" s="123"/>
      <c r="F596" s="123"/>
      <c r="G596" s="114"/>
      <c r="H596" s="115"/>
    </row>
    <row r="597" spans="4:8" ht="15.6" x14ac:dyDescent="0.3">
      <c r="D597" s="123"/>
      <c r="E597" s="123"/>
      <c r="F597" s="123"/>
      <c r="G597" s="114"/>
      <c r="H597" s="115"/>
    </row>
    <row r="598" spans="4:8" ht="15.6" x14ac:dyDescent="0.3">
      <c r="D598" s="123"/>
      <c r="E598" s="123"/>
      <c r="F598" s="123"/>
      <c r="G598" s="114"/>
      <c r="H598" s="115"/>
    </row>
    <row r="599" spans="4:8" ht="15.6" x14ac:dyDescent="0.3">
      <c r="D599" s="123"/>
      <c r="E599" s="123"/>
      <c r="F599" s="123"/>
      <c r="G599" s="114"/>
      <c r="H599" s="115"/>
    </row>
    <row r="600" spans="4:8" ht="15.6" x14ac:dyDescent="0.3">
      <c r="D600" s="123"/>
      <c r="E600" s="123"/>
      <c r="F600" s="123"/>
      <c r="G600" s="114"/>
      <c r="H600" s="115"/>
    </row>
    <row r="601" spans="4:8" ht="15.6" x14ac:dyDescent="0.3">
      <c r="D601" s="123"/>
      <c r="E601" s="123"/>
      <c r="F601" s="123"/>
      <c r="G601" s="114"/>
      <c r="H601" s="115"/>
    </row>
    <row r="602" spans="4:8" ht="15.6" x14ac:dyDescent="0.3">
      <c r="D602" s="123"/>
      <c r="E602" s="123"/>
      <c r="F602" s="123"/>
      <c r="G602" s="114"/>
      <c r="H602" s="115"/>
    </row>
    <row r="603" spans="4:8" ht="15.6" x14ac:dyDescent="0.3">
      <c r="D603" s="123"/>
      <c r="E603" s="123"/>
      <c r="F603" s="123"/>
      <c r="G603" s="114"/>
      <c r="H603" s="115"/>
    </row>
    <row r="604" spans="4:8" ht="15.6" x14ac:dyDescent="0.3">
      <c r="D604" s="123"/>
      <c r="E604" s="123"/>
      <c r="F604" s="123"/>
      <c r="G604" s="114"/>
      <c r="H604" s="115"/>
    </row>
    <row r="605" spans="4:8" ht="15.6" x14ac:dyDescent="0.3">
      <c r="D605" s="123"/>
      <c r="E605" s="123"/>
      <c r="F605" s="123"/>
      <c r="G605" s="114"/>
      <c r="H605" s="115"/>
    </row>
    <row r="606" spans="4:8" ht="15.6" x14ac:dyDescent="0.3">
      <c r="D606" s="123"/>
      <c r="E606" s="123"/>
      <c r="F606" s="123"/>
      <c r="G606" s="114"/>
      <c r="H606" s="115"/>
    </row>
    <row r="607" spans="4:8" ht="15.6" x14ac:dyDescent="0.3">
      <c r="D607" s="123"/>
      <c r="E607" s="123"/>
      <c r="F607" s="123"/>
      <c r="G607" s="114"/>
      <c r="H607" s="115"/>
    </row>
    <row r="608" spans="4:8" ht="15.6" x14ac:dyDescent="0.3">
      <c r="D608" s="123"/>
      <c r="E608" s="123"/>
      <c r="F608" s="123"/>
      <c r="G608" s="114"/>
      <c r="H608" s="115"/>
    </row>
    <row r="609" spans="4:8" ht="15.6" x14ac:dyDescent="0.3">
      <c r="D609" s="123"/>
      <c r="E609" s="123"/>
      <c r="F609" s="123"/>
      <c r="G609" s="114"/>
      <c r="H609" s="115"/>
    </row>
    <row r="610" spans="4:8" ht="15.6" x14ac:dyDescent="0.3">
      <c r="D610" s="123"/>
      <c r="E610" s="123"/>
      <c r="F610" s="123"/>
      <c r="G610" s="114"/>
      <c r="H610" s="115"/>
    </row>
    <row r="611" spans="4:8" ht="15.6" x14ac:dyDescent="0.3">
      <c r="D611" s="123"/>
      <c r="E611" s="123"/>
      <c r="F611" s="123"/>
      <c r="G611" s="114"/>
      <c r="H611" s="115"/>
    </row>
    <row r="612" spans="4:8" ht="15.6" x14ac:dyDescent="0.3">
      <c r="D612" s="123"/>
      <c r="E612" s="123"/>
      <c r="F612" s="123"/>
      <c r="G612" s="114"/>
      <c r="H612" s="115"/>
    </row>
    <row r="613" spans="4:8" ht="15.6" x14ac:dyDescent="0.3">
      <c r="D613" s="123"/>
      <c r="E613" s="123"/>
      <c r="F613" s="123"/>
      <c r="G613" s="114"/>
      <c r="H613" s="115"/>
    </row>
    <row r="614" spans="4:8" ht="15.6" x14ac:dyDescent="0.3">
      <c r="D614" s="123"/>
      <c r="E614" s="123"/>
      <c r="F614" s="123"/>
      <c r="G614" s="114"/>
      <c r="H614" s="115"/>
    </row>
    <row r="615" spans="4:8" ht="15.6" x14ac:dyDescent="0.3">
      <c r="D615" s="123"/>
      <c r="E615" s="123"/>
      <c r="F615" s="123"/>
      <c r="G615" s="114"/>
      <c r="H615" s="115"/>
    </row>
    <row r="616" spans="4:8" ht="15.6" x14ac:dyDescent="0.3">
      <c r="D616" s="123"/>
      <c r="E616" s="123"/>
      <c r="F616" s="123"/>
      <c r="G616" s="114"/>
      <c r="H616" s="115"/>
    </row>
    <row r="617" spans="4:8" ht="15.6" x14ac:dyDescent="0.3">
      <c r="D617" s="123"/>
      <c r="E617" s="123"/>
      <c r="F617" s="123"/>
      <c r="G617" s="114"/>
      <c r="H617" s="115"/>
    </row>
    <row r="618" spans="4:8" ht="15.6" x14ac:dyDescent="0.3">
      <c r="D618" s="123"/>
      <c r="E618" s="123"/>
      <c r="F618" s="123"/>
      <c r="G618" s="114"/>
      <c r="H618" s="115"/>
    </row>
    <row r="619" spans="4:8" ht="15.6" x14ac:dyDescent="0.3">
      <c r="D619" s="123"/>
      <c r="E619" s="123"/>
      <c r="F619" s="123"/>
      <c r="G619" s="114"/>
      <c r="H619" s="115"/>
    </row>
    <row r="620" spans="4:8" ht="15.6" x14ac:dyDescent="0.3">
      <c r="D620" s="123"/>
      <c r="E620" s="123"/>
      <c r="F620" s="123"/>
      <c r="G620" s="114"/>
      <c r="H620" s="115"/>
    </row>
    <row r="621" spans="4:8" ht="15.6" x14ac:dyDescent="0.3">
      <c r="D621" s="123"/>
      <c r="E621" s="123"/>
      <c r="F621" s="123"/>
      <c r="G621" s="114"/>
      <c r="H621" s="115"/>
    </row>
    <row r="622" spans="4:8" ht="15.6" x14ac:dyDescent="0.3">
      <c r="D622" s="123"/>
      <c r="E622" s="123"/>
      <c r="F622" s="123"/>
      <c r="G622" s="114"/>
      <c r="H622" s="115"/>
    </row>
    <row r="623" spans="4:8" ht="15.6" x14ac:dyDescent="0.3">
      <c r="D623" s="123"/>
      <c r="E623" s="123"/>
      <c r="F623" s="123"/>
      <c r="G623" s="114"/>
      <c r="H623" s="115"/>
    </row>
    <row r="624" spans="4:8" ht="15.6" x14ac:dyDescent="0.3">
      <c r="D624" s="123"/>
      <c r="E624" s="123"/>
      <c r="F624" s="123"/>
      <c r="G624" s="114"/>
      <c r="H624" s="115"/>
    </row>
    <row r="625" spans="4:8" ht="15.6" x14ac:dyDescent="0.3">
      <c r="D625" s="123"/>
      <c r="E625" s="123"/>
      <c r="F625" s="123"/>
      <c r="G625" s="114"/>
      <c r="H625" s="115"/>
    </row>
    <row r="626" spans="4:8" ht="15.6" x14ac:dyDescent="0.3">
      <c r="D626" s="123"/>
      <c r="E626" s="123"/>
      <c r="F626" s="123"/>
      <c r="G626" s="114"/>
      <c r="H626" s="115"/>
    </row>
    <row r="627" spans="4:8" ht="15.6" x14ac:dyDescent="0.3">
      <c r="D627" s="123"/>
      <c r="E627" s="123"/>
      <c r="F627" s="123"/>
      <c r="G627" s="114"/>
      <c r="H627" s="115"/>
    </row>
    <row r="628" spans="4:8" ht="15.6" x14ac:dyDescent="0.3">
      <c r="D628" s="123"/>
      <c r="E628" s="123"/>
      <c r="F628" s="123"/>
      <c r="G628" s="114"/>
      <c r="H628" s="115"/>
    </row>
    <row r="629" spans="4:8" ht="15.6" x14ac:dyDescent="0.3">
      <c r="D629" s="123"/>
      <c r="E629" s="123"/>
      <c r="F629" s="123"/>
      <c r="G629" s="114"/>
      <c r="H629" s="115"/>
    </row>
    <row r="630" spans="4:8" ht="15.6" x14ac:dyDescent="0.3">
      <c r="D630" s="123"/>
      <c r="E630" s="123"/>
      <c r="F630" s="123"/>
      <c r="G630" s="114"/>
      <c r="H630" s="115"/>
    </row>
    <row r="631" spans="4:8" ht="15.6" x14ac:dyDescent="0.3">
      <c r="D631" s="123"/>
      <c r="E631" s="123"/>
      <c r="F631" s="123"/>
      <c r="G631" s="114"/>
      <c r="H631" s="115"/>
    </row>
    <row r="632" spans="4:8" ht="15.6" x14ac:dyDescent="0.3">
      <c r="D632" s="123"/>
      <c r="E632" s="123"/>
      <c r="F632" s="123"/>
      <c r="G632" s="114"/>
      <c r="H632" s="115"/>
    </row>
    <row r="633" spans="4:8" ht="15.6" x14ac:dyDescent="0.3">
      <c r="D633" s="123"/>
      <c r="E633" s="123"/>
      <c r="F633" s="123"/>
      <c r="G633" s="114"/>
      <c r="H633" s="115"/>
    </row>
    <row r="634" spans="4:8" ht="15.6" x14ac:dyDescent="0.3">
      <c r="D634" s="123"/>
      <c r="E634" s="123"/>
      <c r="F634" s="123"/>
      <c r="G634" s="114"/>
      <c r="H634" s="115"/>
    </row>
    <row r="635" spans="4:8" ht="15.6" x14ac:dyDescent="0.3">
      <c r="D635" s="123"/>
      <c r="E635" s="123"/>
      <c r="F635" s="123"/>
      <c r="G635" s="114"/>
      <c r="H635" s="115"/>
    </row>
    <row r="636" spans="4:8" ht="15.6" x14ac:dyDescent="0.3">
      <c r="D636" s="123"/>
      <c r="E636" s="123"/>
      <c r="F636" s="123"/>
      <c r="G636" s="114"/>
      <c r="H636" s="115"/>
    </row>
    <row r="637" spans="4:8" ht="15.6" x14ac:dyDescent="0.3">
      <c r="D637" s="123"/>
      <c r="E637" s="123"/>
      <c r="F637" s="123"/>
      <c r="G637" s="114"/>
      <c r="H637" s="115"/>
    </row>
    <row r="638" spans="4:8" ht="15.6" x14ac:dyDescent="0.3">
      <c r="D638" s="123"/>
      <c r="E638" s="123"/>
      <c r="F638" s="123"/>
      <c r="G638" s="114"/>
      <c r="H638" s="115"/>
    </row>
    <row r="639" spans="4:8" ht="15.6" x14ac:dyDescent="0.3">
      <c r="D639" s="123"/>
      <c r="E639" s="123"/>
      <c r="F639" s="123"/>
      <c r="G639" s="114"/>
      <c r="H639" s="115"/>
    </row>
    <row r="640" spans="4:8" ht="15.6" x14ac:dyDescent="0.3">
      <c r="D640" s="123"/>
      <c r="E640" s="123"/>
      <c r="F640" s="123"/>
      <c r="G640" s="114"/>
      <c r="H640" s="115"/>
    </row>
    <row r="641" spans="4:8" ht="15.6" x14ac:dyDescent="0.3">
      <c r="D641" s="123"/>
      <c r="E641" s="123"/>
      <c r="F641" s="123"/>
      <c r="G641" s="114"/>
      <c r="H641" s="115"/>
    </row>
    <row r="642" spans="4:8" ht="15.6" x14ac:dyDescent="0.3">
      <c r="D642" s="123"/>
      <c r="E642" s="123"/>
      <c r="F642" s="123"/>
      <c r="G642" s="114"/>
      <c r="H642" s="115"/>
    </row>
    <row r="643" spans="4:8" ht="15.6" x14ac:dyDescent="0.3">
      <c r="D643" s="123"/>
      <c r="E643" s="123"/>
      <c r="F643" s="123"/>
      <c r="G643" s="114"/>
      <c r="H643" s="115"/>
    </row>
    <row r="644" spans="4:8" ht="15.6" x14ac:dyDescent="0.3">
      <c r="D644" s="123"/>
      <c r="E644" s="123"/>
      <c r="F644" s="123"/>
      <c r="G644" s="114"/>
      <c r="H644" s="115"/>
    </row>
    <row r="645" spans="4:8" ht="15.6" x14ac:dyDescent="0.3">
      <c r="D645" s="123"/>
      <c r="E645" s="123"/>
      <c r="F645" s="123"/>
      <c r="G645" s="114"/>
      <c r="H645" s="115"/>
    </row>
    <row r="646" spans="4:8" ht="15.6" x14ac:dyDescent="0.3">
      <c r="D646" s="123"/>
      <c r="E646" s="123"/>
      <c r="F646" s="123"/>
      <c r="G646" s="114"/>
      <c r="H646" s="115"/>
    </row>
    <row r="647" spans="4:8" ht="15.6" x14ac:dyDescent="0.3">
      <c r="D647" s="123"/>
      <c r="E647" s="123"/>
      <c r="F647" s="123"/>
      <c r="G647" s="114"/>
      <c r="H647" s="115"/>
    </row>
    <row r="648" spans="4:8" ht="15.6" x14ac:dyDescent="0.3">
      <c r="D648" s="123"/>
      <c r="E648" s="123"/>
      <c r="F648" s="123"/>
      <c r="G648" s="114"/>
      <c r="H648" s="115"/>
    </row>
    <row r="649" spans="4:8" ht="15.6" x14ac:dyDescent="0.3">
      <c r="D649" s="123"/>
      <c r="E649" s="123"/>
      <c r="F649" s="123"/>
      <c r="G649" s="114"/>
      <c r="H649" s="115"/>
    </row>
    <row r="650" spans="4:8" ht="15.6" x14ac:dyDescent="0.3">
      <c r="D650" s="123"/>
      <c r="E650" s="123"/>
      <c r="F650" s="123"/>
      <c r="G650" s="114"/>
      <c r="H650" s="115"/>
    </row>
    <row r="651" spans="4:8" ht="15.6" x14ac:dyDescent="0.3">
      <c r="D651" s="123"/>
      <c r="E651" s="123"/>
      <c r="F651" s="123"/>
      <c r="G651" s="114"/>
      <c r="H651" s="115"/>
    </row>
    <row r="652" spans="4:8" ht="15.6" x14ac:dyDescent="0.3">
      <c r="D652" s="123"/>
      <c r="E652" s="123"/>
      <c r="F652" s="123"/>
      <c r="G652" s="114"/>
      <c r="H652" s="115"/>
    </row>
    <row r="653" spans="4:8" ht="15.6" x14ac:dyDescent="0.3">
      <c r="D653" s="123"/>
      <c r="E653" s="123"/>
      <c r="F653" s="123"/>
      <c r="G653" s="114"/>
      <c r="H653" s="115"/>
    </row>
    <row r="654" spans="4:8" ht="15.6" x14ac:dyDescent="0.3">
      <c r="D654" s="123"/>
      <c r="E654" s="123"/>
      <c r="F654" s="123"/>
      <c r="G654" s="114"/>
      <c r="H654" s="115"/>
    </row>
    <row r="655" spans="4:8" ht="15.6" x14ac:dyDescent="0.3">
      <c r="D655" s="123"/>
      <c r="E655" s="123"/>
      <c r="F655" s="123"/>
      <c r="G655" s="114"/>
      <c r="H655" s="115"/>
    </row>
    <row r="656" spans="4:8" ht="15.6" x14ac:dyDescent="0.3">
      <c r="D656" s="123"/>
      <c r="E656" s="123"/>
      <c r="F656" s="123"/>
      <c r="G656" s="114"/>
      <c r="H656" s="115"/>
    </row>
    <row r="657" spans="4:8" ht="15.6" x14ac:dyDescent="0.3">
      <c r="D657" s="123"/>
      <c r="E657" s="123"/>
      <c r="F657" s="123"/>
      <c r="G657" s="114"/>
      <c r="H657" s="115"/>
    </row>
    <row r="658" spans="4:8" ht="15.6" x14ac:dyDescent="0.3">
      <c r="D658" s="123"/>
      <c r="E658" s="123"/>
      <c r="F658" s="123"/>
      <c r="G658" s="114"/>
      <c r="H658" s="115"/>
    </row>
    <row r="659" spans="4:8" ht="15.6" x14ac:dyDescent="0.3">
      <c r="D659" s="123"/>
      <c r="E659" s="123"/>
      <c r="F659" s="123"/>
      <c r="G659" s="114"/>
      <c r="H659" s="115"/>
    </row>
    <row r="660" spans="4:8" ht="15.6" x14ac:dyDescent="0.3">
      <c r="D660" s="123"/>
      <c r="E660" s="123"/>
      <c r="F660" s="123"/>
      <c r="G660" s="114"/>
      <c r="H660" s="115"/>
    </row>
    <row r="661" spans="4:8" ht="15.6" x14ac:dyDescent="0.3">
      <c r="D661" s="123"/>
      <c r="E661" s="123"/>
      <c r="F661" s="123"/>
      <c r="G661" s="114"/>
      <c r="H661" s="115"/>
    </row>
    <row r="662" spans="4:8" ht="15.6" x14ac:dyDescent="0.3">
      <c r="D662" s="123"/>
      <c r="E662" s="123"/>
      <c r="F662" s="123"/>
      <c r="G662" s="114"/>
      <c r="H662" s="115"/>
    </row>
    <row r="663" spans="4:8" ht="15.6" x14ac:dyDescent="0.3">
      <c r="D663" s="123"/>
      <c r="E663" s="123"/>
      <c r="F663" s="123"/>
      <c r="G663" s="114"/>
      <c r="H663" s="115"/>
    </row>
    <row r="664" spans="4:8" ht="15.6" x14ac:dyDescent="0.3">
      <c r="D664" s="123"/>
      <c r="E664" s="123"/>
      <c r="F664" s="123"/>
      <c r="G664" s="114"/>
      <c r="H664" s="115"/>
    </row>
    <row r="665" spans="4:8" ht="15.6" x14ac:dyDescent="0.3">
      <c r="D665" s="123"/>
      <c r="E665" s="123"/>
      <c r="F665" s="123"/>
      <c r="G665" s="114"/>
      <c r="H665" s="115"/>
    </row>
    <row r="666" spans="4:8" ht="15.6" x14ac:dyDescent="0.3">
      <c r="D666" s="123"/>
      <c r="E666" s="123"/>
      <c r="F666" s="123"/>
      <c r="G666" s="114"/>
      <c r="H666" s="115"/>
    </row>
    <row r="667" spans="4:8" ht="15.6" x14ac:dyDescent="0.3">
      <c r="D667" s="123"/>
      <c r="E667" s="123"/>
      <c r="F667" s="123"/>
      <c r="G667" s="114"/>
      <c r="H667" s="115"/>
    </row>
    <row r="668" spans="4:8" ht="15.6" x14ac:dyDescent="0.3">
      <c r="D668" s="123"/>
      <c r="E668" s="123"/>
      <c r="F668" s="123"/>
      <c r="G668" s="114"/>
      <c r="H668" s="115"/>
    </row>
    <row r="669" spans="4:8" ht="15.6" x14ac:dyDescent="0.3">
      <c r="D669" s="123"/>
      <c r="E669" s="123"/>
      <c r="F669" s="123"/>
      <c r="G669" s="114"/>
      <c r="H669" s="115"/>
    </row>
    <row r="670" spans="4:8" ht="15.6" x14ac:dyDescent="0.3">
      <c r="D670" s="123"/>
      <c r="E670" s="123"/>
      <c r="F670" s="123"/>
      <c r="G670" s="114"/>
      <c r="H670" s="115"/>
    </row>
    <row r="671" spans="4:8" ht="15.6" x14ac:dyDescent="0.3">
      <c r="D671" s="123"/>
      <c r="E671" s="123"/>
      <c r="F671" s="123"/>
      <c r="G671" s="114"/>
      <c r="H671" s="115"/>
    </row>
    <row r="672" spans="4:8" ht="15.6" x14ac:dyDescent="0.3">
      <c r="D672" s="123"/>
      <c r="E672" s="123"/>
      <c r="F672" s="123"/>
      <c r="G672" s="114"/>
      <c r="H672" s="115"/>
    </row>
    <row r="673" spans="4:8" ht="15.6" x14ac:dyDescent="0.3">
      <c r="D673" s="123"/>
      <c r="E673" s="123"/>
      <c r="F673" s="123"/>
      <c r="G673" s="114"/>
      <c r="H673" s="115"/>
    </row>
    <row r="674" spans="4:8" ht="15.6" x14ac:dyDescent="0.3">
      <c r="D674" s="123"/>
      <c r="E674" s="123"/>
      <c r="F674" s="123"/>
      <c r="G674" s="114"/>
      <c r="H674" s="115"/>
    </row>
    <row r="675" spans="4:8" ht="15.6" x14ac:dyDescent="0.3">
      <c r="D675" s="123"/>
      <c r="E675" s="123"/>
      <c r="F675" s="123"/>
      <c r="G675" s="114"/>
      <c r="H675" s="115"/>
    </row>
    <row r="676" spans="4:8" ht="15.6" x14ac:dyDescent="0.3">
      <c r="D676" s="123"/>
      <c r="E676" s="123"/>
      <c r="F676" s="123"/>
      <c r="G676" s="114"/>
      <c r="H676" s="115"/>
    </row>
    <row r="677" spans="4:8" ht="15.6" x14ac:dyDescent="0.3">
      <c r="D677" s="123"/>
      <c r="E677" s="123"/>
      <c r="F677" s="123"/>
      <c r="G677" s="114"/>
      <c r="H677" s="115"/>
    </row>
    <row r="678" spans="4:8" ht="15.6" x14ac:dyDescent="0.3">
      <c r="D678" s="123"/>
      <c r="E678" s="123"/>
      <c r="F678" s="123"/>
      <c r="G678" s="114"/>
      <c r="H678" s="115"/>
    </row>
    <row r="679" spans="4:8" ht="15.6" x14ac:dyDescent="0.3">
      <c r="D679" s="123"/>
      <c r="E679" s="123"/>
      <c r="F679" s="123"/>
      <c r="G679" s="114"/>
      <c r="H679" s="115"/>
    </row>
    <row r="680" spans="4:8" ht="15.6" x14ac:dyDescent="0.3">
      <c r="D680" s="123"/>
      <c r="E680" s="123"/>
      <c r="F680" s="123"/>
      <c r="G680" s="114"/>
      <c r="H680" s="115"/>
    </row>
    <row r="681" spans="4:8" ht="15.6" x14ac:dyDescent="0.3">
      <c r="D681" s="123"/>
      <c r="E681" s="123"/>
      <c r="F681" s="123"/>
      <c r="G681" s="114"/>
      <c r="H681" s="115"/>
    </row>
    <row r="682" spans="4:8" ht="15.6" x14ac:dyDescent="0.3">
      <c r="D682" s="123"/>
      <c r="E682" s="123"/>
      <c r="F682" s="123"/>
      <c r="G682" s="114"/>
      <c r="H682" s="115"/>
    </row>
    <row r="683" spans="4:8" ht="15.6" x14ac:dyDescent="0.3">
      <c r="D683" s="123"/>
      <c r="E683" s="123"/>
      <c r="F683" s="123"/>
      <c r="G683" s="114"/>
      <c r="H683" s="115"/>
    </row>
    <row r="684" spans="4:8" ht="15.6" x14ac:dyDescent="0.3">
      <c r="D684" s="123"/>
      <c r="E684" s="123"/>
      <c r="F684" s="123"/>
      <c r="G684" s="114"/>
      <c r="H684" s="115"/>
    </row>
    <row r="685" spans="4:8" ht="15.6" x14ac:dyDescent="0.3">
      <c r="D685" s="123"/>
      <c r="E685" s="123"/>
      <c r="F685" s="123"/>
      <c r="G685" s="114"/>
      <c r="H685" s="115"/>
    </row>
    <row r="686" spans="4:8" ht="15.6" x14ac:dyDescent="0.3">
      <c r="D686" s="123"/>
      <c r="E686" s="123"/>
      <c r="F686" s="123"/>
      <c r="G686" s="114"/>
      <c r="H686" s="115"/>
    </row>
    <row r="687" spans="4:8" ht="15.6" x14ac:dyDescent="0.3">
      <c r="D687" s="123"/>
      <c r="E687" s="123"/>
      <c r="F687" s="123"/>
      <c r="G687" s="114"/>
      <c r="H687" s="115"/>
    </row>
    <row r="688" spans="4:8" ht="15.6" x14ac:dyDescent="0.3">
      <c r="D688" s="123"/>
      <c r="E688" s="123"/>
      <c r="F688" s="123"/>
      <c r="G688" s="114"/>
      <c r="H688" s="115"/>
    </row>
    <row r="689" spans="4:8" ht="15.6" x14ac:dyDescent="0.3">
      <c r="D689" s="123"/>
      <c r="E689" s="123"/>
      <c r="F689" s="123"/>
      <c r="G689" s="114"/>
      <c r="H689" s="115"/>
    </row>
    <row r="690" spans="4:8" ht="15.6" x14ac:dyDescent="0.3">
      <c r="D690" s="123"/>
      <c r="E690" s="123"/>
      <c r="F690" s="123"/>
      <c r="G690" s="114"/>
      <c r="H690" s="115"/>
    </row>
    <row r="691" spans="4:8" ht="15.6" x14ac:dyDescent="0.3">
      <c r="D691" s="123"/>
      <c r="E691" s="123"/>
      <c r="F691" s="123"/>
      <c r="G691" s="114"/>
      <c r="H691" s="115"/>
    </row>
    <row r="692" spans="4:8" ht="15.6" x14ac:dyDescent="0.3">
      <c r="D692" s="123"/>
      <c r="E692" s="123"/>
      <c r="F692" s="123"/>
      <c r="G692" s="114"/>
      <c r="H692" s="115"/>
    </row>
    <row r="693" spans="4:8" ht="15.6" x14ac:dyDescent="0.3">
      <c r="D693" s="123"/>
      <c r="E693" s="123"/>
      <c r="F693" s="123"/>
      <c r="G693" s="114"/>
      <c r="H693" s="115"/>
    </row>
    <row r="694" spans="4:8" ht="15.6" x14ac:dyDescent="0.3">
      <c r="D694" s="123"/>
      <c r="E694" s="123"/>
      <c r="F694" s="123"/>
      <c r="G694" s="114"/>
      <c r="H694" s="115"/>
    </row>
    <row r="695" spans="4:8" ht="15.6" x14ac:dyDescent="0.3">
      <c r="D695" s="123"/>
      <c r="E695" s="123"/>
      <c r="F695" s="123"/>
      <c r="G695" s="114"/>
      <c r="H695" s="115"/>
    </row>
    <row r="696" spans="4:8" ht="15.6" x14ac:dyDescent="0.3">
      <c r="D696" s="123"/>
      <c r="E696" s="123"/>
      <c r="F696" s="123"/>
      <c r="G696" s="114"/>
      <c r="H696" s="115"/>
    </row>
    <row r="697" spans="4:8" ht="15.6" x14ac:dyDescent="0.3">
      <c r="D697" s="123"/>
      <c r="E697" s="123"/>
      <c r="F697" s="123"/>
      <c r="G697" s="114"/>
      <c r="H697" s="115"/>
    </row>
    <row r="698" spans="4:8" ht="15.6" x14ac:dyDescent="0.3">
      <c r="D698" s="123"/>
      <c r="E698" s="123"/>
      <c r="F698" s="123"/>
      <c r="G698" s="114"/>
      <c r="H698" s="115"/>
    </row>
    <row r="699" spans="4:8" ht="15.6" x14ac:dyDescent="0.3">
      <c r="D699" s="123"/>
      <c r="E699" s="123"/>
      <c r="F699" s="123"/>
      <c r="G699" s="114"/>
      <c r="H699" s="115"/>
    </row>
    <row r="700" spans="4:8" ht="15.6" x14ac:dyDescent="0.3">
      <c r="D700" s="123"/>
      <c r="E700" s="123"/>
      <c r="F700" s="123"/>
      <c r="G700" s="114"/>
      <c r="H700" s="115"/>
    </row>
    <row r="701" spans="4:8" ht="15.6" x14ac:dyDescent="0.3">
      <c r="D701" s="123"/>
      <c r="E701" s="123"/>
      <c r="F701" s="123"/>
      <c r="G701" s="114"/>
      <c r="H701" s="115"/>
    </row>
    <row r="702" spans="4:8" ht="15.6" x14ac:dyDescent="0.3">
      <c r="D702" s="123"/>
      <c r="E702" s="123"/>
      <c r="F702" s="123"/>
      <c r="G702" s="114"/>
      <c r="H702" s="115"/>
    </row>
    <row r="703" spans="4:8" ht="15.6" x14ac:dyDescent="0.3">
      <c r="D703" s="123"/>
      <c r="E703" s="123"/>
      <c r="F703" s="123"/>
      <c r="G703" s="114"/>
      <c r="H703" s="115"/>
    </row>
    <row r="704" spans="4:8" ht="15.6" x14ac:dyDescent="0.3">
      <c r="D704" s="123"/>
      <c r="E704" s="123"/>
      <c r="F704" s="123"/>
      <c r="G704" s="114"/>
      <c r="H704" s="115"/>
    </row>
    <row r="705" spans="4:8" ht="15.6" x14ac:dyDescent="0.3">
      <c r="D705" s="123"/>
      <c r="E705" s="123"/>
      <c r="F705" s="123"/>
      <c r="G705" s="114"/>
      <c r="H705" s="115"/>
    </row>
    <row r="706" spans="4:8" ht="15.6" x14ac:dyDescent="0.3">
      <c r="D706" s="123"/>
      <c r="E706" s="123"/>
      <c r="F706" s="123"/>
      <c r="G706" s="114"/>
      <c r="H706" s="115"/>
    </row>
    <row r="707" spans="4:8" ht="15.6" x14ac:dyDescent="0.3">
      <c r="D707" s="123"/>
      <c r="E707" s="123"/>
      <c r="F707" s="123"/>
      <c r="G707" s="114"/>
      <c r="H707" s="115"/>
    </row>
    <row r="708" spans="4:8" ht="15.6" x14ac:dyDescent="0.3">
      <c r="D708" s="123"/>
      <c r="E708" s="123"/>
      <c r="F708" s="123"/>
      <c r="G708" s="114"/>
      <c r="H708" s="115"/>
    </row>
    <row r="709" spans="4:8" ht="15.6" x14ac:dyDescent="0.3">
      <c r="D709" s="123"/>
      <c r="E709" s="123"/>
      <c r="F709" s="123"/>
      <c r="G709" s="114"/>
      <c r="H709" s="115"/>
    </row>
    <row r="710" spans="4:8" ht="15.6" x14ac:dyDescent="0.3">
      <c r="D710" s="123"/>
      <c r="E710" s="123"/>
      <c r="F710" s="123"/>
      <c r="G710" s="114"/>
      <c r="H710" s="115"/>
    </row>
    <row r="711" spans="4:8" ht="15.6" x14ac:dyDescent="0.3">
      <c r="D711" s="123"/>
      <c r="E711" s="123"/>
      <c r="F711" s="123"/>
      <c r="G711" s="114"/>
      <c r="H711" s="115"/>
    </row>
    <row r="712" spans="4:8" ht="15.6" x14ac:dyDescent="0.3">
      <c r="D712" s="123"/>
      <c r="E712" s="123"/>
      <c r="F712" s="123"/>
      <c r="G712" s="114"/>
      <c r="H712" s="115"/>
    </row>
    <row r="713" spans="4:8" ht="15.6" x14ac:dyDescent="0.3">
      <c r="D713" s="123"/>
      <c r="E713" s="123"/>
      <c r="F713" s="123"/>
      <c r="G713" s="114"/>
      <c r="H713" s="115"/>
    </row>
    <row r="714" spans="4:8" ht="15.6" x14ac:dyDescent="0.3">
      <c r="D714" s="123"/>
      <c r="E714" s="123"/>
      <c r="F714" s="123"/>
      <c r="G714" s="114"/>
      <c r="H714" s="115"/>
    </row>
    <row r="715" spans="4:8" ht="15.6" x14ac:dyDescent="0.3">
      <c r="D715" s="123"/>
      <c r="E715" s="123"/>
      <c r="F715" s="123"/>
      <c r="G715" s="114"/>
      <c r="H715" s="115"/>
    </row>
    <row r="716" spans="4:8" ht="15.6" x14ac:dyDescent="0.3">
      <c r="D716" s="123"/>
      <c r="E716" s="123"/>
      <c r="F716" s="123"/>
      <c r="G716" s="114"/>
      <c r="H716" s="115"/>
    </row>
    <row r="717" spans="4:8" ht="15.6" x14ac:dyDescent="0.3">
      <c r="D717" s="123"/>
      <c r="E717" s="123"/>
      <c r="F717" s="123"/>
      <c r="G717" s="114"/>
      <c r="H717" s="115"/>
    </row>
    <row r="718" spans="4:8" ht="15.6" x14ac:dyDescent="0.3">
      <c r="D718" s="123"/>
      <c r="E718" s="123"/>
      <c r="F718" s="123"/>
      <c r="G718" s="114"/>
      <c r="H718" s="115"/>
    </row>
    <row r="719" spans="4:8" ht="15.6" x14ac:dyDescent="0.3">
      <c r="D719" s="123"/>
      <c r="E719" s="123"/>
      <c r="F719" s="123"/>
      <c r="G719" s="114"/>
      <c r="H719" s="115"/>
    </row>
    <row r="720" spans="4:8" ht="15.6" x14ac:dyDescent="0.3">
      <c r="D720" s="123"/>
      <c r="E720" s="123"/>
      <c r="F720" s="123"/>
      <c r="G720" s="114"/>
      <c r="H720" s="115"/>
    </row>
    <row r="721" spans="4:8" ht="15.6" x14ac:dyDescent="0.3">
      <c r="D721" s="123"/>
      <c r="E721" s="123"/>
      <c r="F721" s="123"/>
      <c r="G721" s="114"/>
      <c r="H721" s="115"/>
    </row>
    <row r="722" spans="4:8" ht="15.6" x14ac:dyDescent="0.3">
      <c r="D722" s="123"/>
      <c r="E722" s="123"/>
      <c r="F722" s="123"/>
      <c r="G722" s="114"/>
      <c r="H722" s="115"/>
    </row>
    <row r="723" spans="4:8" ht="15.6" x14ac:dyDescent="0.3">
      <c r="D723" s="123"/>
      <c r="E723" s="123"/>
      <c r="F723" s="123"/>
      <c r="G723" s="114"/>
      <c r="H723" s="115"/>
    </row>
    <row r="724" spans="4:8" ht="15.6" x14ac:dyDescent="0.3">
      <c r="D724" s="123"/>
      <c r="E724" s="123"/>
      <c r="F724" s="123"/>
      <c r="G724" s="114"/>
      <c r="H724" s="115"/>
    </row>
    <row r="725" spans="4:8" ht="15.6" x14ac:dyDescent="0.3">
      <c r="D725" s="123"/>
      <c r="E725" s="123"/>
      <c r="F725" s="123"/>
      <c r="G725" s="114"/>
      <c r="H725" s="115"/>
    </row>
    <row r="726" spans="4:8" ht="15.6" x14ac:dyDescent="0.3">
      <c r="D726" s="123"/>
      <c r="E726" s="123"/>
      <c r="F726" s="123"/>
      <c r="G726" s="114"/>
      <c r="H726" s="115"/>
    </row>
    <row r="727" spans="4:8" ht="15.6" x14ac:dyDescent="0.3">
      <c r="D727" s="123"/>
      <c r="E727" s="123"/>
      <c r="F727" s="123"/>
      <c r="G727" s="114"/>
      <c r="H727" s="115"/>
    </row>
    <row r="728" spans="4:8" ht="15.6" x14ac:dyDescent="0.3">
      <c r="D728" s="123"/>
      <c r="E728" s="123"/>
      <c r="F728" s="123"/>
      <c r="G728" s="114"/>
      <c r="H728" s="115"/>
    </row>
    <row r="729" spans="4:8" ht="15.6" x14ac:dyDescent="0.3">
      <c r="D729" s="123"/>
      <c r="E729" s="123"/>
      <c r="F729" s="123"/>
      <c r="G729" s="114"/>
      <c r="H729" s="115"/>
    </row>
    <row r="730" spans="4:8" ht="15.6" x14ac:dyDescent="0.3">
      <c r="D730" s="123"/>
      <c r="E730" s="123"/>
      <c r="F730" s="123"/>
      <c r="G730" s="114"/>
      <c r="H730" s="115"/>
    </row>
    <row r="731" spans="4:8" ht="15.6" x14ac:dyDescent="0.3">
      <c r="D731" s="123"/>
      <c r="E731" s="123"/>
      <c r="F731" s="123"/>
      <c r="G731" s="114"/>
      <c r="H731" s="115"/>
    </row>
    <row r="732" spans="4:8" ht="15.6" x14ac:dyDescent="0.3">
      <c r="D732" s="123"/>
      <c r="E732" s="123"/>
      <c r="F732" s="123"/>
      <c r="G732" s="114"/>
      <c r="H732" s="115"/>
    </row>
    <row r="733" spans="4:8" ht="15.6" x14ac:dyDescent="0.3">
      <c r="D733" s="123"/>
      <c r="E733" s="123"/>
      <c r="F733" s="123"/>
      <c r="G733" s="114"/>
      <c r="H733" s="115"/>
    </row>
    <row r="734" spans="4:8" ht="15.6" x14ac:dyDescent="0.3">
      <c r="D734" s="123"/>
      <c r="E734" s="123"/>
      <c r="F734" s="123"/>
      <c r="G734" s="114"/>
      <c r="H734" s="115"/>
    </row>
    <row r="735" spans="4:8" ht="15.6" x14ac:dyDescent="0.3">
      <c r="D735" s="123"/>
      <c r="E735" s="123"/>
      <c r="F735" s="123"/>
      <c r="G735" s="114"/>
      <c r="H735" s="115"/>
    </row>
    <row r="736" spans="4:8" ht="15.6" x14ac:dyDescent="0.3">
      <c r="D736" s="123"/>
      <c r="E736" s="123"/>
      <c r="F736" s="123"/>
      <c r="G736" s="114"/>
      <c r="H736" s="115"/>
    </row>
    <row r="737" spans="4:8" ht="15.6" x14ac:dyDescent="0.3">
      <c r="D737" s="123"/>
      <c r="E737" s="123"/>
      <c r="F737" s="123"/>
      <c r="G737" s="114"/>
      <c r="H737" s="115"/>
    </row>
    <row r="738" spans="4:8" ht="15.6" x14ac:dyDescent="0.3">
      <c r="D738" s="123"/>
      <c r="E738" s="123"/>
      <c r="F738" s="123"/>
      <c r="G738" s="114"/>
      <c r="H738" s="115"/>
    </row>
    <row r="739" spans="4:8" ht="15.6" x14ac:dyDescent="0.3">
      <c r="D739" s="123"/>
      <c r="E739" s="123"/>
      <c r="F739" s="123"/>
      <c r="G739" s="114"/>
      <c r="H739" s="115"/>
    </row>
    <row r="740" spans="4:8" ht="15.6" x14ac:dyDescent="0.3">
      <c r="D740" s="123"/>
      <c r="E740" s="123"/>
      <c r="F740" s="123"/>
      <c r="G740" s="114"/>
      <c r="H740" s="115"/>
    </row>
    <row r="741" spans="4:8" ht="15.6" x14ac:dyDescent="0.3">
      <c r="D741" s="123"/>
      <c r="E741" s="123"/>
      <c r="F741" s="123"/>
      <c r="G741" s="114"/>
      <c r="H741" s="115"/>
    </row>
    <row r="742" spans="4:8" ht="15.6" x14ac:dyDescent="0.3">
      <c r="D742" s="123"/>
      <c r="E742" s="123"/>
      <c r="F742" s="123"/>
      <c r="G742" s="114"/>
      <c r="H742" s="115"/>
    </row>
    <row r="743" spans="4:8" ht="15.6" x14ac:dyDescent="0.3">
      <c r="D743" s="123"/>
      <c r="E743" s="123"/>
      <c r="F743" s="123"/>
      <c r="G743" s="114"/>
      <c r="H743" s="115"/>
    </row>
    <row r="744" spans="4:8" ht="15.6" x14ac:dyDescent="0.3">
      <c r="D744" s="123"/>
      <c r="E744" s="123"/>
      <c r="F744" s="123"/>
      <c r="G744" s="114"/>
      <c r="H744" s="115"/>
    </row>
    <row r="745" spans="4:8" ht="15.6" x14ac:dyDescent="0.3">
      <c r="D745" s="123"/>
      <c r="E745" s="123"/>
      <c r="F745" s="123"/>
      <c r="G745" s="114"/>
      <c r="H745" s="115"/>
    </row>
    <row r="746" spans="4:8" ht="15.6" x14ac:dyDescent="0.3">
      <c r="D746" s="123"/>
      <c r="E746" s="123"/>
      <c r="F746" s="123"/>
      <c r="G746" s="114"/>
      <c r="H746" s="115"/>
    </row>
    <row r="747" spans="4:8" ht="15.6" x14ac:dyDescent="0.3">
      <c r="D747" s="123"/>
      <c r="E747" s="123"/>
      <c r="F747" s="123"/>
      <c r="G747" s="114"/>
      <c r="H747" s="115"/>
    </row>
    <row r="748" spans="4:8" ht="15.6" x14ac:dyDescent="0.3">
      <c r="D748" s="123"/>
      <c r="E748" s="123"/>
      <c r="F748" s="123"/>
      <c r="G748" s="114"/>
      <c r="H748" s="115"/>
    </row>
    <row r="749" spans="4:8" ht="15.6" x14ac:dyDescent="0.3">
      <c r="D749" s="123"/>
      <c r="E749" s="123"/>
      <c r="F749" s="123"/>
      <c r="G749" s="114"/>
      <c r="H749" s="115"/>
    </row>
    <row r="750" spans="4:8" ht="15.6" x14ac:dyDescent="0.3">
      <c r="D750" s="123"/>
      <c r="E750" s="123"/>
      <c r="F750" s="123"/>
      <c r="G750" s="114"/>
      <c r="H750" s="115"/>
    </row>
    <row r="751" spans="4:8" ht="15.6" x14ac:dyDescent="0.3">
      <c r="D751" s="123"/>
      <c r="E751" s="123"/>
      <c r="F751" s="123"/>
      <c r="G751" s="114"/>
      <c r="H751" s="115"/>
    </row>
    <row r="752" spans="4:8" ht="15.6" x14ac:dyDescent="0.3">
      <c r="D752" s="123"/>
      <c r="E752" s="123"/>
      <c r="F752" s="123"/>
      <c r="G752" s="114"/>
      <c r="H752" s="115"/>
    </row>
    <row r="753" spans="4:8" ht="15.6" x14ac:dyDescent="0.3">
      <c r="D753" s="123"/>
      <c r="E753" s="123"/>
      <c r="F753" s="123"/>
      <c r="G753" s="114"/>
      <c r="H753" s="115"/>
    </row>
    <row r="754" spans="4:8" ht="15.6" x14ac:dyDescent="0.3">
      <c r="D754" s="123"/>
      <c r="E754" s="123"/>
      <c r="F754" s="123"/>
      <c r="G754" s="114"/>
      <c r="H754" s="115"/>
    </row>
    <row r="755" spans="4:8" ht="15.6" x14ac:dyDescent="0.3">
      <c r="D755" s="123"/>
      <c r="E755" s="123"/>
      <c r="F755" s="123"/>
      <c r="G755" s="114"/>
      <c r="H755" s="115"/>
    </row>
    <row r="756" spans="4:8" ht="15.6" x14ac:dyDescent="0.3">
      <c r="D756" s="123"/>
      <c r="E756" s="123"/>
      <c r="F756" s="123"/>
      <c r="G756" s="114"/>
      <c r="H756" s="115"/>
    </row>
    <row r="757" spans="4:8" ht="15.6" x14ac:dyDescent="0.3">
      <c r="D757" s="123"/>
      <c r="E757" s="123"/>
      <c r="F757" s="123"/>
      <c r="G757" s="114"/>
      <c r="H757" s="115"/>
    </row>
    <row r="758" spans="4:8" ht="15.6" x14ac:dyDescent="0.3">
      <c r="D758" s="123"/>
      <c r="E758" s="123"/>
      <c r="F758" s="123"/>
      <c r="G758" s="114"/>
      <c r="H758" s="115"/>
    </row>
    <row r="759" spans="4:8" ht="15.6" x14ac:dyDescent="0.3">
      <c r="D759" s="123"/>
      <c r="E759" s="123"/>
      <c r="F759" s="123"/>
      <c r="G759" s="114"/>
      <c r="H759" s="115"/>
    </row>
    <row r="760" spans="4:8" ht="15.6" x14ac:dyDescent="0.3">
      <c r="D760" s="123"/>
      <c r="E760" s="123"/>
      <c r="F760" s="123"/>
      <c r="G760" s="114"/>
      <c r="H760" s="115"/>
    </row>
    <row r="761" spans="4:8" ht="15.6" x14ac:dyDescent="0.3">
      <c r="D761" s="123"/>
      <c r="E761" s="123"/>
      <c r="F761" s="123"/>
      <c r="G761" s="114"/>
      <c r="H761" s="115"/>
    </row>
    <row r="762" spans="4:8" ht="15.6" x14ac:dyDescent="0.3">
      <c r="D762" s="123"/>
      <c r="E762" s="123"/>
      <c r="F762" s="123"/>
      <c r="G762" s="114"/>
      <c r="H762" s="115"/>
    </row>
    <row r="763" spans="4:8" ht="15.6" x14ac:dyDescent="0.3">
      <c r="D763" s="123"/>
      <c r="E763" s="123"/>
      <c r="F763" s="123"/>
      <c r="G763" s="114"/>
      <c r="H763" s="115"/>
    </row>
    <row r="764" spans="4:8" ht="15.6" x14ac:dyDescent="0.3">
      <c r="D764" s="123"/>
      <c r="E764" s="123"/>
      <c r="F764" s="123"/>
      <c r="G764" s="114"/>
      <c r="H764" s="115"/>
    </row>
    <row r="765" spans="4:8" ht="15.6" x14ac:dyDescent="0.3">
      <c r="D765" s="123"/>
      <c r="E765" s="123"/>
      <c r="F765" s="123"/>
      <c r="G765" s="114"/>
      <c r="H765" s="115"/>
    </row>
    <row r="766" spans="4:8" ht="15.6" x14ac:dyDescent="0.3">
      <c r="D766" s="123"/>
      <c r="E766" s="123"/>
      <c r="F766" s="123"/>
      <c r="G766" s="114"/>
      <c r="H766" s="115"/>
    </row>
    <row r="767" spans="4:8" ht="15.6" x14ac:dyDescent="0.3">
      <c r="D767" s="123"/>
      <c r="E767" s="123"/>
      <c r="F767" s="123"/>
      <c r="G767" s="114"/>
      <c r="H767" s="115"/>
    </row>
    <row r="768" spans="4:8" ht="15.6" x14ac:dyDescent="0.3">
      <c r="D768" s="123"/>
      <c r="E768" s="123"/>
      <c r="F768" s="123"/>
      <c r="G768" s="114"/>
      <c r="H768" s="115"/>
    </row>
    <row r="769" spans="4:8" ht="15.6" x14ac:dyDescent="0.3">
      <c r="D769" s="123"/>
      <c r="E769" s="123"/>
      <c r="F769" s="123"/>
      <c r="G769" s="114"/>
      <c r="H769" s="115"/>
    </row>
    <row r="770" spans="4:8" ht="15.6" x14ac:dyDescent="0.3">
      <c r="D770" s="123"/>
      <c r="E770" s="123"/>
      <c r="F770" s="123"/>
      <c r="G770" s="114"/>
      <c r="H770" s="115"/>
    </row>
    <row r="771" spans="4:8" ht="15.6" x14ac:dyDescent="0.3">
      <c r="D771" s="123"/>
      <c r="E771" s="123"/>
      <c r="F771" s="123"/>
      <c r="G771" s="114"/>
      <c r="H771" s="115"/>
    </row>
    <row r="772" spans="4:8" ht="15.6" x14ac:dyDescent="0.3">
      <c r="D772" s="123"/>
      <c r="E772" s="123"/>
      <c r="F772" s="123"/>
      <c r="G772" s="114"/>
      <c r="H772" s="115"/>
    </row>
    <row r="773" spans="4:8" ht="15.6" x14ac:dyDescent="0.3">
      <c r="D773" s="123"/>
      <c r="E773" s="123"/>
      <c r="F773" s="123"/>
      <c r="G773" s="114"/>
      <c r="H773" s="115"/>
    </row>
    <row r="774" spans="4:8" ht="15.6" x14ac:dyDescent="0.3">
      <c r="D774" s="123"/>
      <c r="E774" s="123"/>
      <c r="F774" s="123"/>
      <c r="G774" s="114"/>
      <c r="H774" s="115"/>
    </row>
    <row r="775" spans="4:8" ht="15.6" x14ac:dyDescent="0.3">
      <c r="D775" s="123"/>
      <c r="E775" s="123"/>
      <c r="F775" s="123"/>
      <c r="G775" s="114"/>
      <c r="H775" s="115"/>
    </row>
    <row r="776" spans="4:8" ht="15.6" x14ac:dyDescent="0.3">
      <c r="D776" s="123"/>
      <c r="E776" s="123"/>
      <c r="F776" s="123"/>
      <c r="G776" s="114"/>
      <c r="H776" s="115"/>
    </row>
    <row r="777" spans="4:8" ht="15.6" x14ac:dyDescent="0.3">
      <c r="D777" s="123"/>
      <c r="E777" s="123"/>
      <c r="F777" s="123"/>
      <c r="G777" s="114"/>
      <c r="H777" s="115"/>
    </row>
    <row r="778" spans="4:8" ht="15.6" x14ac:dyDescent="0.3">
      <c r="D778" s="123"/>
      <c r="E778" s="123"/>
      <c r="F778" s="123"/>
      <c r="G778" s="114"/>
      <c r="H778" s="115"/>
    </row>
    <row r="779" spans="4:8" ht="15.6" x14ac:dyDescent="0.3">
      <c r="D779" s="123"/>
      <c r="E779" s="123"/>
      <c r="F779" s="123"/>
      <c r="G779" s="114"/>
      <c r="H779" s="115"/>
    </row>
    <row r="780" spans="4:8" ht="15.6" x14ac:dyDescent="0.3">
      <c r="D780" s="123"/>
      <c r="E780" s="123"/>
      <c r="F780" s="123"/>
      <c r="G780" s="114"/>
      <c r="H780" s="115"/>
    </row>
    <row r="781" spans="4:8" ht="15.6" x14ac:dyDescent="0.3">
      <c r="D781" s="123"/>
      <c r="E781" s="123"/>
      <c r="F781" s="123"/>
      <c r="G781" s="114"/>
      <c r="H781" s="115"/>
    </row>
    <row r="782" spans="4:8" ht="15.6" x14ac:dyDescent="0.3">
      <c r="D782" s="123"/>
      <c r="E782" s="123"/>
      <c r="F782" s="123"/>
      <c r="G782" s="114"/>
      <c r="H782" s="115"/>
    </row>
    <row r="783" spans="4:8" ht="15.6" x14ac:dyDescent="0.3">
      <c r="D783" s="123"/>
      <c r="E783" s="123"/>
      <c r="F783" s="123"/>
      <c r="G783" s="114"/>
      <c r="H783" s="115"/>
    </row>
    <row r="784" spans="4:8" ht="15.6" x14ac:dyDescent="0.3">
      <c r="D784" s="123"/>
      <c r="E784" s="123"/>
      <c r="F784" s="123"/>
      <c r="G784" s="114"/>
      <c r="H784" s="115"/>
    </row>
    <row r="785" spans="4:8" ht="15.6" x14ac:dyDescent="0.3">
      <c r="D785" s="123"/>
      <c r="E785" s="123"/>
      <c r="F785" s="123"/>
      <c r="G785" s="114"/>
      <c r="H785" s="115"/>
    </row>
    <row r="786" spans="4:8" ht="15.6" x14ac:dyDescent="0.3">
      <c r="D786" s="123"/>
      <c r="E786" s="123"/>
      <c r="F786" s="123"/>
      <c r="G786" s="114"/>
      <c r="H786" s="115"/>
    </row>
    <row r="787" spans="4:8" ht="15.6" x14ac:dyDescent="0.3">
      <c r="D787" s="123"/>
      <c r="E787" s="123"/>
      <c r="F787" s="123"/>
      <c r="G787" s="114"/>
      <c r="H787" s="115"/>
    </row>
    <row r="788" spans="4:8" ht="15.6" x14ac:dyDescent="0.3">
      <c r="D788" s="123"/>
      <c r="E788" s="123"/>
      <c r="F788" s="123"/>
      <c r="G788" s="114"/>
      <c r="H788" s="115"/>
    </row>
    <row r="789" spans="4:8" ht="15.6" x14ac:dyDescent="0.3">
      <c r="D789" s="123"/>
      <c r="E789" s="123"/>
      <c r="F789" s="123"/>
      <c r="G789" s="114"/>
      <c r="H789" s="115"/>
    </row>
    <row r="790" spans="4:8" ht="15.6" x14ac:dyDescent="0.3">
      <c r="D790" s="123"/>
      <c r="E790" s="123"/>
      <c r="F790" s="123"/>
      <c r="G790" s="114"/>
      <c r="H790" s="115"/>
    </row>
    <row r="791" spans="4:8" ht="15.6" x14ac:dyDescent="0.3">
      <c r="D791" s="123"/>
      <c r="E791" s="123"/>
      <c r="F791" s="123"/>
      <c r="G791" s="114"/>
      <c r="H791" s="115"/>
    </row>
    <row r="792" spans="4:8" ht="15.6" x14ac:dyDescent="0.3">
      <c r="D792" s="123"/>
      <c r="E792" s="123"/>
      <c r="F792" s="123"/>
      <c r="G792" s="114"/>
      <c r="H792" s="115"/>
    </row>
    <row r="793" spans="4:8" ht="15.6" x14ac:dyDescent="0.3">
      <c r="D793" s="123"/>
      <c r="E793" s="123"/>
      <c r="F793" s="123"/>
      <c r="G793" s="114"/>
      <c r="H793" s="115"/>
    </row>
    <row r="794" spans="4:8" ht="15.6" x14ac:dyDescent="0.3">
      <c r="D794" s="123"/>
      <c r="E794" s="123"/>
      <c r="F794" s="123"/>
      <c r="G794" s="114"/>
      <c r="H794" s="115"/>
    </row>
    <row r="795" spans="4:8" ht="15.6" x14ac:dyDescent="0.3">
      <c r="D795" s="123"/>
      <c r="E795" s="123"/>
      <c r="F795" s="123"/>
      <c r="G795" s="114"/>
      <c r="H795" s="115"/>
    </row>
    <row r="796" spans="4:8" ht="15.6" x14ac:dyDescent="0.3">
      <c r="D796" s="123"/>
      <c r="E796" s="123"/>
      <c r="F796" s="123"/>
      <c r="G796" s="114"/>
      <c r="H796" s="115"/>
    </row>
    <row r="797" spans="4:8" ht="15.6" x14ac:dyDescent="0.3">
      <c r="D797" s="123"/>
      <c r="E797" s="123"/>
      <c r="F797" s="123"/>
      <c r="G797" s="114"/>
      <c r="H797" s="115"/>
    </row>
    <row r="798" spans="4:8" ht="15.6" x14ac:dyDescent="0.3">
      <c r="D798" s="123"/>
      <c r="E798" s="123"/>
      <c r="F798" s="123"/>
      <c r="G798" s="114"/>
      <c r="H798" s="115"/>
    </row>
    <row r="799" spans="4:8" ht="15.6" x14ac:dyDescent="0.3">
      <c r="D799" s="123"/>
      <c r="E799" s="123"/>
      <c r="F799" s="123"/>
      <c r="G799" s="114"/>
      <c r="H799" s="115"/>
    </row>
    <row r="800" spans="4:8" ht="15.6" x14ac:dyDescent="0.3">
      <c r="D800" s="123"/>
      <c r="E800" s="123"/>
      <c r="F800" s="123"/>
      <c r="G800" s="114"/>
      <c r="H800" s="115"/>
    </row>
    <row r="801" spans="4:8" ht="15.6" x14ac:dyDescent="0.3">
      <c r="D801" s="123"/>
      <c r="E801" s="123"/>
      <c r="F801" s="123"/>
      <c r="G801" s="114"/>
      <c r="H801" s="115"/>
    </row>
    <row r="802" spans="4:8" ht="15.6" x14ac:dyDescent="0.3">
      <c r="D802" s="123"/>
      <c r="E802" s="123"/>
      <c r="F802" s="123"/>
      <c r="G802" s="114"/>
      <c r="H802" s="115"/>
    </row>
    <row r="803" spans="4:8" ht="15.6" x14ac:dyDescent="0.3">
      <c r="D803" s="123"/>
      <c r="E803" s="123"/>
      <c r="F803" s="123"/>
      <c r="G803" s="114"/>
      <c r="H803" s="115"/>
    </row>
    <row r="804" spans="4:8" ht="15.6" x14ac:dyDescent="0.3">
      <c r="D804" s="123"/>
      <c r="E804" s="123"/>
      <c r="F804" s="123"/>
      <c r="G804" s="114"/>
      <c r="H804" s="115"/>
    </row>
    <row r="805" spans="4:8" ht="15.6" x14ac:dyDescent="0.3">
      <c r="D805" s="123"/>
      <c r="E805" s="123"/>
      <c r="F805" s="123"/>
      <c r="G805" s="114"/>
      <c r="H805" s="115"/>
    </row>
    <row r="806" spans="4:8" ht="15.6" x14ac:dyDescent="0.3">
      <c r="D806" s="123"/>
      <c r="E806" s="123"/>
      <c r="F806" s="123"/>
      <c r="G806" s="114"/>
      <c r="H806" s="115"/>
    </row>
    <row r="807" spans="4:8" ht="15.6" x14ac:dyDescent="0.3">
      <c r="D807" s="123"/>
      <c r="E807" s="123"/>
      <c r="F807" s="123"/>
      <c r="G807" s="114"/>
      <c r="H807" s="115"/>
    </row>
    <row r="808" spans="4:8" ht="15.6" x14ac:dyDescent="0.3">
      <c r="D808" s="123"/>
      <c r="E808" s="123"/>
      <c r="F808" s="123"/>
      <c r="G808" s="114"/>
      <c r="H808" s="115"/>
    </row>
    <row r="809" spans="4:8" ht="15.6" x14ac:dyDescent="0.3">
      <c r="D809" s="123"/>
      <c r="E809" s="123"/>
      <c r="F809" s="123"/>
      <c r="G809" s="114"/>
      <c r="H809" s="115"/>
    </row>
    <row r="810" spans="4:8" ht="15.6" x14ac:dyDescent="0.3">
      <c r="D810" s="123"/>
      <c r="E810" s="123"/>
      <c r="F810" s="123"/>
      <c r="G810" s="114"/>
      <c r="H810" s="115"/>
    </row>
    <row r="811" spans="4:8" ht="15.6" x14ac:dyDescent="0.3">
      <c r="D811" s="123"/>
      <c r="E811" s="123"/>
      <c r="F811" s="123"/>
      <c r="G811" s="114"/>
      <c r="H811" s="115"/>
    </row>
    <row r="812" spans="4:8" ht="15.6" x14ac:dyDescent="0.3">
      <c r="D812" s="123"/>
      <c r="E812" s="123"/>
      <c r="F812" s="123"/>
      <c r="G812" s="114"/>
      <c r="H812" s="115"/>
    </row>
    <row r="813" spans="4:8" ht="15.6" x14ac:dyDescent="0.3">
      <c r="D813" s="123"/>
      <c r="E813" s="123"/>
      <c r="F813" s="123"/>
      <c r="G813" s="114"/>
      <c r="H813" s="115"/>
    </row>
    <row r="814" spans="4:8" ht="15.6" x14ac:dyDescent="0.3">
      <c r="D814" s="123"/>
      <c r="E814" s="123"/>
      <c r="F814" s="123"/>
      <c r="G814" s="114"/>
      <c r="H814" s="115"/>
    </row>
    <row r="815" spans="4:8" ht="15.6" x14ac:dyDescent="0.3">
      <c r="D815" s="123"/>
      <c r="E815" s="123"/>
      <c r="F815" s="123"/>
      <c r="G815" s="114"/>
      <c r="H815" s="115"/>
    </row>
    <row r="816" spans="4:8" ht="15.6" x14ac:dyDescent="0.3">
      <c r="D816" s="123"/>
      <c r="E816" s="123"/>
      <c r="F816" s="123"/>
      <c r="G816" s="114"/>
      <c r="H816" s="115"/>
    </row>
    <row r="817" spans="4:8" ht="15.6" x14ac:dyDescent="0.3">
      <c r="D817" s="123"/>
      <c r="E817" s="123"/>
      <c r="F817" s="123"/>
      <c r="G817" s="114"/>
      <c r="H817" s="115"/>
    </row>
    <row r="818" spans="4:8" ht="15.6" x14ac:dyDescent="0.3">
      <c r="D818" s="123"/>
      <c r="E818" s="123"/>
      <c r="F818" s="123"/>
      <c r="G818" s="114"/>
      <c r="H818" s="115"/>
    </row>
    <row r="819" spans="4:8" ht="15.6" x14ac:dyDescent="0.3">
      <c r="D819" s="123"/>
      <c r="E819" s="123"/>
      <c r="F819" s="123"/>
      <c r="G819" s="114"/>
      <c r="H819" s="115"/>
    </row>
    <row r="820" spans="4:8" ht="15.6" x14ac:dyDescent="0.3">
      <c r="D820" s="123"/>
      <c r="E820" s="123"/>
      <c r="F820" s="123"/>
      <c r="G820" s="114"/>
      <c r="H820" s="115"/>
    </row>
    <row r="821" spans="4:8" ht="15.6" x14ac:dyDescent="0.3">
      <c r="D821" s="123"/>
      <c r="E821" s="123"/>
      <c r="F821" s="123"/>
      <c r="G821" s="114"/>
      <c r="H821" s="115"/>
    </row>
    <row r="822" spans="4:8" ht="15.6" x14ac:dyDescent="0.3">
      <c r="D822" s="123"/>
      <c r="E822" s="123"/>
      <c r="F822" s="123"/>
      <c r="G822" s="114"/>
      <c r="H822" s="115"/>
    </row>
    <row r="823" spans="4:8" ht="15.6" x14ac:dyDescent="0.3">
      <c r="D823" s="123"/>
      <c r="E823" s="123"/>
      <c r="F823" s="123"/>
      <c r="G823" s="114"/>
      <c r="H823" s="115"/>
    </row>
    <row r="824" spans="4:8" ht="15.6" x14ac:dyDescent="0.3">
      <c r="D824" s="123"/>
      <c r="E824" s="123"/>
      <c r="F824" s="123"/>
      <c r="G824" s="114"/>
      <c r="H824" s="115"/>
    </row>
    <row r="825" spans="4:8" ht="15.6" x14ac:dyDescent="0.3">
      <c r="D825" s="123"/>
      <c r="E825" s="123"/>
      <c r="F825" s="123"/>
      <c r="G825" s="114"/>
      <c r="H825" s="115"/>
    </row>
    <row r="826" spans="4:8" ht="15.6" x14ac:dyDescent="0.3">
      <c r="D826" s="123"/>
      <c r="E826" s="123"/>
      <c r="F826" s="123"/>
      <c r="G826" s="114"/>
      <c r="H826" s="115"/>
    </row>
    <row r="827" spans="4:8" ht="15.6" x14ac:dyDescent="0.3">
      <c r="D827" s="123"/>
      <c r="E827" s="123"/>
      <c r="F827" s="123"/>
      <c r="G827" s="114"/>
      <c r="H827" s="115"/>
    </row>
    <row r="828" spans="4:8" ht="15.6" x14ac:dyDescent="0.3">
      <c r="D828" s="123"/>
      <c r="E828" s="123"/>
      <c r="F828" s="123"/>
      <c r="G828" s="114"/>
      <c r="H828" s="115"/>
    </row>
    <row r="829" spans="4:8" ht="15.6" x14ac:dyDescent="0.3">
      <c r="D829" s="123"/>
      <c r="E829" s="123"/>
      <c r="F829" s="123"/>
      <c r="G829" s="114"/>
      <c r="H829" s="115"/>
    </row>
    <row r="830" spans="4:8" ht="15.6" x14ac:dyDescent="0.3">
      <c r="D830" s="123"/>
      <c r="E830" s="123"/>
      <c r="F830" s="123"/>
      <c r="G830" s="114"/>
      <c r="H830" s="115"/>
    </row>
    <row r="831" spans="4:8" ht="15.6" x14ac:dyDescent="0.3">
      <c r="D831" s="123"/>
      <c r="E831" s="123"/>
      <c r="F831" s="123"/>
      <c r="G831" s="114"/>
      <c r="H831" s="115"/>
    </row>
    <row r="832" spans="4:8" ht="15.6" x14ac:dyDescent="0.3">
      <c r="D832" s="123"/>
      <c r="E832" s="123"/>
      <c r="F832" s="123"/>
      <c r="G832" s="114"/>
      <c r="H832" s="115"/>
    </row>
    <row r="833" spans="4:8" ht="15.6" x14ac:dyDescent="0.3">
      <c r="D833" s="123"/>
      <c r="E833" s="123"/>
      <c r="F833" s="123"/>
      <c r="G833" s="114"/>
      <c r="H833" s="115"/>
    </row>
    <row r="834" spans="4:8" ht="15.6" x14ac:dyDescent="0.3">
      <c r="D834" s="123"/>
      <c r="E834" s="123"/>
      <c r="F834" s="123"/>
      <c r="G834" s="114"/>
      <c r="H834" s="115"/>
    </row>
    <row r="835" spans="4:8" ht="15.6" x14ac:dyDescent="0.3">
      <c r="D835" s="123"/>
      <c r="E835" s="123"/>
      <c r="F835" s="123"/>
      <c r="G835" s="114"/>
      <c r="H835" s="115"/>
    </row>
    <row r="836" spans="4:8" ht="15.6" x14ac:dyDescent="0.3">
      <c r="D836" s="123"/>
      <c r="E836" s="123"/>
      <c r="F836" s="123"/>
      <c r="G836" s="114"/>
      <c r="H836" s="115"/>
    </row>
    <row r="837" spans="4:8" ht="15.6" x14ac:dyDescent="0.3">
      <c r="D837" s="123"/>
      <c r="E837" s="123"/>
      <c r="F837" s="123"/>
      <c r="G837" s="114"/>
      <c r="H837" s="115"/>
    </row>
    <row r="838" spans="4:8" ht="15.6" x14ac:dyDescent="0.3">
      <c r="D838" s="123"/>
      <c r="E838" s="123"/>
      <c r="F838" s="123"/>
      <c r="G838" s="114"/>
      <c r="H838" s="115"/>
    </row>
    <row r="839" spans="4:8" ht="15.6" x14ac:dyDescent="0.3">
      <c r="D839" s="123"/>
      <c r="E839" s="123"/>
      <c r="F839" s="123"/>
      <c r="G839" s="114"/>
      <c r="H839" s="115"/>
    </row>
    <row r="840" spans="4:8" ht="15.6" x14ac:dyDescent="0.3">
      <c r="D840" s="123"/>
      <c r="E840" s="123"/>
      <c r="F840" s="123"/>
      <c r="G840" s="114"/>
      <c r="H840" s="115"/>
    </row>
    <row r="841" spans="4:8" ht="15.6" x14ac:dyDescent="0.3">
      <c r="D841" s="123"/>
      <c r="E841" s="123"/>
      <c r="F841" s="123"/>
      <c r="G841" s="114"/>
      <c r="H841" s="115"/>
    </row>
    <row r="842" spans="4:8" ht="15.6" x14ac:dyDescent="0.3">
      <c r="D842" s="123"/>
      <c r="E842" s="123"/>
      <c r="F842" s="123"/>
      <c r="G842" s="114"/>
      <c r="H842" s="115"/>
    </row>
    <row r="843" spans="4:8" ht="15.6" x14ac:dyDescent="0.3">
      <c r="D843" s="123"/>
      <c r="E843" s="123"/>
      <c r="F843" s="123"/>
      <c r="G843" s="114"/>
      <c r="H843" s="115"/>
    </row>
    <row r="844" spans="4:8" ht="15.6" x14ac:dyDescent="0.3">
      <c r="D844" s="123"/>
      <c r="E844" s="123"/>
      <c r="F844" s="123"/>
      <c r="G844" s="114"/>
      <c r="H844" s="115"/>
    </row>
    <row r="845" spans="4:8" ht="15.6" x14ac:dyDescent="0.3">
      <c r="D845" s="123"/>
      <c r="E845" s="123"/>
      <c r="F845" s="123"/>
      <c r="G845" s="114"/>
      <c r="H845" s="115"/>
    </row>
    <row r="846" spans="4:8" ht="15.6" x14ac:dyDescent="0.3">
      <c r="D846" s="123"/>
      <c r="E846" s="123"/>
      <c r="F846" s="123"/>
      <c r="G846" s="114"/>
      <c r="H846" s="115"/>
    </row>
    <row r="847" spans="4:8" ht="15.6" x14ac:dyDescent="0.3">
      <c r="D847" s="123"/>
      <c r="E847" s="123"/>
      <c r="F847" s="123"/>
      <c r="G847" s="114"/>
      <c r="H847" s="115"/>
    </row>
    <row r="848" spans="4:8" ht="15.6" x14ac:dyDescent="0.3">
      <c r="D848" s="123"/>
      <c r="E848" s="123"/>
      <c r="F848" s="123"/>
      <c r="G848" s="114"/>
      <c r="H848" s="115"/>
    </row>
    <row r="849" spans="4:8" ht="15.6" x14ac:dyDescent="0.3">
      <c r="D849" s="123"/>
      <c r="E849" s="123"/>
      <c r="F849" s="123"/>
      <c r="G849" s="114"/>
      <c r="H849" s="115"/>
    </row>
    <row r="850" spans="4:8" ht="15.6" x14ac:dyDescent="0.3">
      <c r="D850" s="123"/>
      <c r="E850" s="123"/>
      <c r="F850" s="123"/>
      <c r="G850" s="114"/>
      <c r="H850" s="115"/>
    </row>
    <row r="851" spans="4:8" ht="15.6" x14ac:dyDescent="0.3">
      <c r="D851" s="123"/>
      <c r="E851" s="123"/>
      <c r="F851" s="123"/>
      <c r="G851" s="114"/>
      <c r="H851" s="115"/>
    </row>
    <row r="852" spans="4:8" ht="15.6" x14ac:dyDescent="0.3">
      <c r="D852" s="123"/>
      <c r="E852" s="123"/>
      <c r="F852" s="123"/>
      <c r="G852" s="114"/>
      <c r="H852" s="115"/>
    </row>
    <row r="853" spans="4:8" ht="15.6" x14ac:dyDescent="0.3">
      <c r="D853" s="123"/>
      <c r="E853" s="123"/>
      <c r="F853" s="123"/>
      <c r="G853" s="114"/>
      <c r="H853" s="115"/>
    </row>
    <row r="854" spans="4:8" ht="15.6" x14ac:dyDescent="0.3">
      <c r="D854" s="123"/>
      <c r="E854" s="123"/>
      <c r="F854" s="123"/>
      <c r="G854" s="114"/>
      <c r="H854" s="115"/>
    </row>
    <row r="855" spans="4:8" ht="15.6" x14ac:dyDescent="0.3">
      <c r="D855" s="123"/>
      <c r="E855" s="123"/>
      <c r="F855" s="123"/>
      <c r="G855" s="114"/>
      <c r="H855" s="115"/>
    </row>
    <row r="856" spans="4:8" ht="15.6" x14ac:dyDescent="0.3">
      <c r="D856" s="123"/>
      <c r="E856" s="123"/>
      <c r="F856" s="123"/>
      <c r="G856" s="114"/>
      <c r="H856" s="115"/>
    </row>
    <row r="857" spans="4:8" ht="15.6" x14ac:dyDescent="0.3">
      <c r="D857" s="123"/>
      <c r="E857" s="123"/>
      <c r="F857" s="123"/>
      <c r="G857" s="114"/>
      <c r="H857" s="115"/>
    </row>
    <row r="858" spans="4:8" ht="15.6" x14ac:dyDescent="0.3">
      <c r="D858" s="123"/>
      <c r="E858" s="123"/>
      <c r="F858" s="123"/>
      <c r="G858" s="114"/>
      <c r="H858" s="115"/>
    </row>
    <row r="859" spans="4:8" ht="15.6" x14ac:dyDescent="0.3">
      <c r="D859" s="123"/>
      <c r="E859" s="123"/>
      <c r="F859" s="123"/>
      <c r="G859" s="114"/>
      <c r="H859" s="115"/>
    </row>
    <row r="860" spans="4:8" ht="15.6" x14ac:dyDescent="0.3">
      <c r="D860" s="123"/>
      <c r="E860" s="123"/>
      <c r="F860" s="123"/>
      <c r="G860" s="114"/>
      <c r="H860" s="115"/>
    </row>
    <row r="861" spans="4:8" ht="15.6" x14ac:dyDescent="0.3">
      <c r="D861" s="123"/>
      <c r="E861" s="123"/>
      <c r="F861" s="123"/>
      <c r="G861" s="114"/>
      <c r="H861" s="115"/>
    </row>
    <row r="862" spans="4:8" ht="15.6" x14ac:dyDescent="0.3">
      <c r="D862" s="123"/>
      <c r="E862" s="123"/>
      <c r="F862" s="123"/>
      <c r="G862" s="114"/>
      <c r="H862" s="115"/>
    </row>
    <row r="863" spans="4:8" ht="15.6" x14ac:dyDescent="0.3">
      <c r="D863" s="123"/>
      <c r="E863" s="123"/>
      <c r="F863" s="123"/>
      <c r="G863" s="114"/>
      <c r="H863" s="115"/>
    </row>
    <row r="864" spans="4:8" ht="15.6" x14ac:dyDescent="0.3">
      <c r="D864" s="123"/>
      <c r="E864" s="123"/>
      <c r="F864" s="123"/>
      <c r="G864" s="114"/>
      <c r="H864" s="115"/>
    </row>
    <row r="865" spans="4:8" ht="15.6" x14ac:dyDescent="0.3">
      <c r="D865" s="123"/>
      <c r="E865" s="123"/>
      <c r="F865" s="123"/>
      <c r="G865" s="114"/>
      <c r="H865" s="115"/>
    </row>
    <row r="866" spans="4:8" ht="15.6" x14ac:dyDescent="0.3">
      <c r="D866" s="123"/>
      <c r="E866" s="123"/>
      <c r="F866" s="123"/>
      <c r="G866" s="114"/>
      <c r="H866" s="115"/>
    </row>
    <row r="867" spans="4:8" ht="15.6" x14ac:dyDescent="0.3">
      <c r="D867" s="123"/>
      <c r="E867" s="123"/>
      <c r="F867" s="123"/>
      <c r="G867" s="114"/>
      <c r="H867" s="115"/>
    </row>
    <row r="868" spans="4:8" ht="15.6" x14ac:dyDescent="0.3">
      <c r="D868" s="123"/>
      <c r="E868" s="123"/>
      <c r="F868" s="123"/>
      <c r="G868" s="114"/>
      <c r="H868" s="115"/>
    </row>
    <row r="869" spans="4:8" ht="15.6" x14ac:dyDescent="0.3">
      <c r="D869" s="123"/>
      <c r="E869" s="123"/>
      <c r="F869" s="123"/>
      <c r="G869" s="114"/>
      <c r="H869" s="115"/>
    </row>
    <row r="870" spans="4:8" ht="15.6" x14ac:dyDescent="0.3">
      <c r="D870" s="123"/>
      <c r="E870" s="123"/>
      <c r="F870" s="123"/>
      <c r="G870" s="114"/>
      <c r="H870" s="115"/>
    </row>
    <row r="871" spans="4:8" ht="15.6" x14ac:dyDescent="0.3">
      <c r="D871" s="123"/>
      <c r="E871" s="123"/>
      <c r="F871" s="123"/>
      <c r="G871" s="114"/>
      <c r="H871" s="115"/>
    </row>
    <row r="872" spans="4:8" ht="15.6" x14ac:dyDescent="0.3">
      <c r="D872" s="123"/>
      <c r="E872" s="123"/>
      <c r="F872" s="123"/>
      <c r="G872" s="114"/>
      <c r="H872" s="115"/>
    </row>
    <row r="873" spans="4:8" ht="15.6" x14ac:dyDescent="0.3">
      <c r="D873" s="123"/>
      <c r="E873" s="123"/>
      <c r="F873" s="123"/>
      <c r="G873" s="114"/>
      <c r="H873" s="115"/>
    </row>
    <row r="874" spans="4:8" ht="15.6" x14ac:dyDescent="0.3">
      <c r="D874" s="123"/>
      <c r="E874" s="123"/>
      <c r="F874" s="123"/>
      <c r="G874" s="114"/>
      <c r="H874" s="115"/>
    </row>
    <row r="875" spans="4:8" ht="15.6" x14ac:dyDescent="0.3">
      <c r="D875" s="123"/>
      <c r="E875" s="123"/>
      <c r="F875" s="123"/>
      <c r="G875" s="114"/>
      <c r="H875" s="115"/>
    </row>
    <row r="876" spans="4:8" ht="15.6" x14ac:dyDescent="0.3">
      <c r="D876" s="123"/>
      <c r="E876" s="123"/>
      <c r="F876" s="123"/>
      <c r="G876" s="114"/>
      <c r="H876" s="115"/>
    </row>
    <row r="877" spans="4:8" ht="15.6" x14ac:dyDescent="0.3">
      <c r="D877" s="123"/>
      <c r="E877" s="123"/>
      <c r="F877" s="123"/>
      <c r="G877" s="114"/>
      <c r="H877" s="115"/>
    </row>
    <row r="878" spans="4:8" ht="15.6" x14ac:dyDescent="0.3">
      <c r="D878" s="123"/>
      <c r="E878" s="123"/>
      <c r="F878" s="123"/>
      <c r="G878" s="114"/>
      <c r="H878" s="115"/>
    </row>
    <row r="879" spans="4:8" ht="15.6" x14ac:dyDescent="0.3">
      <c r="D879" s="123"/>
      <c r="E879" s="123"/>
      <c r="F879" s="123"/>
      <c r="G879" s="114"/>
      <c r="H879" s="115"/>
    </row>
    <row r="880" spans="4:8" ht="15.6" x14ac:dyDescent="0.3">
      <c r="D880" s="123"/>
      <c r="E880" s="123"/>
      <c r="F880" s="123"/>
      <c r="G880" s="114"/>
      <c r="H880" s="115"/>
    </row>
    <row r="881" spans="4:8" ht="15.6" x14ac:dyDescent="0.3">
      <c r="D881" s="123"/>
      <c r="E881" s="123"/>
      <c r="F881" s="123"/>
      <c r="G881" s="114"/>
      <c r="H881" s="115"/>
    </row>
    <row r="882" spans="4:8" ht="15.6" x14ac:dyDescent="0.3">
      <c r="D882" s="123"/>
      <c r="E882" s="123"/>
      <c r="F882" s="123"/>
      <c r="G882" s="114"/>
      <c r="H882" s="115"/>
    </row>
    <row r="883" spans="4:8" ht="15.6" x14ac:dyDescent="0.3">
      <c r="D883" s="123"/>
      <c r="E883" s="123"/>
      <c r="F883" s="123"/>
      <c r="G883" s="114"/>
      <c r="H883" s="115"/>
    </row>
    <row r="884" spans="4:8" ht="15.6" x14ac:dyDescent="0.3">
      <c r="D884" s="123"/>
      <c r="E884" s="123"/>
      <c r="F884" s="123"/>
      <c r="G884" s="114"/>
      <c r="H884" s="115"/>
    </row>
    <row r="885" spans="4:8" ht="15.6" x14ac:dyDescent="0.3">
      <c r="D885" s="123"/>
      <c r="E885" s="123"/>
      <c r="F885" s="123"/>
      <c r="G885" s="114"/>
      <c r="H885" s="115"/>
    </row>
    <row r="886" spans="4:8" ht="15.6" x14ac:dyDescent="0.3">
      <c r="D886" s="123"/>
      <c r="E886" s="123"/>
      <c r="F886" s="123"/>
      <c r="G886" s="114"/>
      <c r="H886" s="115"/>
    </row>
    <row r="887" spans="4:8" ht="15.6" x14ac:dyDescent="0.3">
      <c r="D887" s="123"/>
      <c r="E887" s="123"/>
      <c r="F887" s="123"/>
      <c r="G887" s="114"/>
      <c r="H887" s="115"/>
    </row>
    <row r="888" spans="4:8" ht="15.6" x14ac:dyDescent="0.3">
      <c r="D888" s="123"/>
      <c r="E888" s="123"/>
      <c r="F888" s="123"/>
      <c r="G888" s="114"/>
      <c r="H888" s="115"/>
    </row>
    <row r="889" spans="4:8" ht="15.6" x14ac:dyDescent="0.3">
      <c r="D889" s="123"/>
      <c r="E889" s="123"/>
      <c r="F889" s="123"/>
      <c r="G889" s="114"/>
      <c r="H889" s="115"/>
    </row>
    <row r="890" spans="4:8" ht="15.6" x14ac:dyDescent="0.3">
      <c r="D890" s="123"/>
      <c r="E890" s="123"/>
      <c r="F890" s="123"/>
      <c r="G890" s="114"/>
      <c r="H890" s="115"/>
    </row>
    <row r="891" spans="4:8" ht="15.6" x14ac:dyDescent="0.3">
      <c r="D891" s="123"/>
      <c r="E891" s="123"/>
      <c r="F891" s="123"/>
      <c r="G891" s="114"/>
      <c r="H891" s="115"/>
    </row>
    <row r="892" spans="4:8" ht="15.6" x14ac:dyDescent="0.3">
      <c r="D892" s="123"/>
      <c r="E892" s="123"/>
      <c r="F892" s="123"/>
      <c r="G892" s="114"/>
      <c r="H892" s="115"/>
    </row>
    <row r="893" spans="4:8" ht="15.6" x14ac:dyDescent="0.3">
      <c r="D893" s="123"/>
      <c r="E893" s="123"/>
      <c r="F893" s="123"/>
      <c r="G893" s="114"/>
      <c r="H893" s="115"/>
    </row>
    <row r="894" spans="4:8" ht="15.6" x14ac:dyDescent="0.3">
      <c r="D894" s="123"/>
      <c r="E894" s="123"/>
      <c r="F894" s="123"/>
      <c r="G894" s="114"/>
      <c r="H894" s="115"/>
    </row>
    <row r="895" spans="4:8" ht="15.6" x14ac:dyDescent="0.3">
      <c r="D895" s="123"/>
      <c r="E895" s="123"/>
      <c r="F895" s="123"/>
      <c r="G895" s="114"/>
      <c r="H895" s="115"/>
    </row>
    <row r="896" spans="4:8" ht="15.6" x14ac:dyDescent="0.3">
      <c r="D896" s="123"/>
      <c r="E896" s="123"/>
      <c r="F896" s="123"/>
      <c r="G896" s="114"/>
      <c r="H896" s="115"/>
    </row>
    <row r="897" spans="4:8" ht="15.6" x14ac:dyDescent="0.3">
      <c r="D897" s="123"/>
      <c r="E897" s="123"/>
      <c r="F897" s="123"/>
      <c r="G897" s="114"/>
      <c r="H897" s="115"/>
    </row>
    <row r="898" spans="4:8" ht="15.6" x14ac:dyDescent="0.3">
      <c r="D898" s="123"/>
      <c r="E898" s="123"/>
      <c r="F898" s="123"/>
      <c r="G898" s="114"/>
      <c r="H898" s="115"/>
    </row>
    <row r="899" spans="4:8" ht="15.6" x14ac:dyDescent="0.3">
      <c r="D899" s="123"/>
      <c r="E899" s="123"/>
      <c r="F899" s="123"/>
      <c r="G899" s="114"/>
      <c r="H899" s="115"/>
    </row>
    <row r="900" spans="4:8" ht="15.6" x14ac:dyDescent="0.3">
      <c r="D900" s="123"/>
      <c r="E900" s="123"/>
      <c r="F900" s="123"/>
      <c r="G900" s="114"/>
      <c r="H900" s="115"/>
    </row>
    <row r="901" spans="4:8" ht="15.6" x14ac:dyDescent="0.3">
      <c r="D901" s="123"/>
      <c r="E901" s="123"/>
      <c r="F901" s="123"/>
      <c r="G901" s="114"/>
      <c r="H901" s="115"/>
    </row>
    <row r="902" spans="4:8" ht="15.6" x14ac:dyDescent="0.3">
      <c r="D902" s="123"/>
      <c r="E902" s="123"/>
      <c r="F902" s="123"/>
      <c r="G902" s="114"/>
      <c r="H902" s="115"/>
    </row>
    <row r="903" spans="4:8" ht="15.6" x14ac:dyDescent="0.3">
      <c r="D903" s="123"/>
      <c r="E903" s="123"/>
      <c r="F903" s="123"/>
      <c r="G903" s="114"/>
      <c r="H903" s="115"/>
    </row>
    <row r="904" spans="4:8" ht="15.6" x14ac:dyDescent="0.3">
      <c r="D904" s="123"/>
      <c r="E904" s="123"/>
      <c r="F904" s="123"/>
      <c r="G904" s="114"/>
      <c r="H904" s="115"/>
    </row>
    <row r="905" spans="4:8" ht="15.6" x14ac:dyDescent="0.3">
      <c r="D905" s="123"/>
      <c r="E905" s="123"/>
      <c r="F905" s="123"/>
      <c r="G905" s="114"/>
      <c r="H905" s="115"/>
    </row>
    <row r="906" spans="4:8" ht="15.6" x14ac:dyDescent="0.3">
      <c r="D906" s="123"/>
      <c r="E906" s="123"/>
      <c r="F906" s="123"/>
      <c r="G906" s="114"/>
      <c r="H906" s="115"/>
    </row>
    <row r="907" spans="4:8" ht="15.6" x14ac:dyDescent="0.3">
      <c r="D907" s="123"/>
      <c r="E907" s="123"/>
      <c r="F907" s="123"/>
      <c r="G907" s="114"/>
      <c r="H907" s="115"/>
    </row>
    <row r="908" spans="4:8" ht="15.6" x14ac:dyDescent="0.3">
      <c r="D908" s="123"/>
      <c r="E908" s="123"/>
      <c r="F908" s="123"/>
      <c r="G908" s="114"/>
      <c r="H908" s="115"/>
    </row>
    <row r="909" spans="4:8" ht="15.6" x14ac:dyDescent="0.3">
      <c r="D909" s="123"/>
      <c r="E909" s="123"/>
      <c r="F909" s="123"/>
      <c r="G909" s="114"/>
      <c r="H909" s="115"/>
    </row>
    <row r="910" spans="4:8" ht="15.6" x14ac:dyDescent="0.3">
      <c r="D910" s="123"/>
      <c r="E910" s="123"/>
      <c r="F910" s="123"/>
      <c r="G910" s="114"/>
      <c r="H910" s="115"/>
    </row>
    <row r="911" spans="4:8" ht="15.6" x14ac:dyDescent="0.3">
      <c r="D911" s="123"/>
      <c r="E911" s="123"/>
      <c r="F911" s="123"/>
      <c r="G911" s="114"/>
      <c r="H911" s="115"/>
    </row>
    <row r="912" spans="4:8" ht="15.6" x14ac:dyDescent="0.3">
      <c r="D912" s="123"/>
      <c r="E912" s="123"/>
      <c r="F912" s="123"/>
      <c r="G912" s="114"/>
      <c r="H912" s="115"/>
    </row>
    <row r="913" spans="4:8" ht="15.6" x14ac:dyDescent="0.3">
      <c r="D913" s="123"/>
      <c r="E913" s="123"/>
      <c r="F913" s="123"/>
      <c r="G913" s="114"/>
      <c r="H913" s="115"/>
    </row>
    <row r="914" spans="4:8" ht="15.6" x14ac:dyDescent="0.3">
      <c r="D914" s="123"/>
      <c r="E914" s="123"/>
      <c r="F914" s="123"/>
      <c r="G914" s="114"/>
      <c r="H914" s="115"/>
    </row>
    <row r="915" spans="4:8" ht="15.6" x14ac:dyDescent="0.3">
      <c r="D915" s="123"/>
      <c r="E915" s="123"/>
      <c r="F915" s="123"/>
      <c r="G915" s="114"/>
      <c r="H915" s="115"/>
    </row>
    <row r="916" spans="4:8" ht="15.6" x14ac:dyDescent="0.3">
      <c r="D916" s="123"/>
      <c r="E916" s="123"/>
      <c r="F916" s="123"/>
      <c r="G916" s="114"/>
      <c r="H916" s="115"/>
    </row>
    <row r="917" spans="4:8" ht="15.6" x14ac:dyDescent="0.3">
      <c r="D917" s="123"/>
      <c r="E917" s="123"/>
      <c r="F917" s="123"/>
      <c r="G917" s="114"/>
      <c r="H917" s="115"/>
    </row>
    <row r="918" spans="4:8" ht="15.6" x14ac:dyDescent="0.3">
      <c r="D918" s="123"/>
      <c r="E918" s="123"/>
      <c r="F918" s="123"/>
      <c r="G918" s="114"/>
      <c r="H918" s="115"/>
    </row>
    <row r="919" spans="4:8" ht="15.6" x14ac:dyDescent="0.3">
      <c r="D919" s="123"/>
      <c r="E919" s="123"/>
      <c r="F919" s="123"/>
      <c r="G919" s="114"/>
      <c r="H919" s="115"/>
    </row>
    <row r="920" spans="4:8" ht="15.6" x14ac:dyDescent="0.3">
      <c r="D920" s="123"/>
      <c r="E920" s="123"/>
      <c r="F920" s="123"/>
      <c r="G920" s="114"/>
      <c r="H920" s="115"/>
    </row>
    <row r="921" spans="4:8" ht="15.6" x14ac:dyDescent="0.3">
      <c r="D921" s="123"/>
      <c r="E921" s="123"/>
      <c r="F921" s="123"/>
      <c r="G921" s="114"/>
      <c r="H921" s="115"/>
    </row>
    <row r="922" spans="4:8" ht="15.6" x14ac:dyDescent="0.3">
      <c r="D922" s="123"/>
      <c r="E922" s="123"/>
      <c r="F922" s="123"/>
      <c r="G922" s="114"/>
      <c r="H922" s="115"/>
    </row>
    <row r="923" spans="4:8" ht="15.6" x14ac:dyDescent="0.3">
      <c r="D923" s="123"/>
      <c r="E923" s="123"/>
      <c r="F923" s="123"/>
      <c r="G923" s="114"/>
      <c r="H923" s="115"/>
    </row>
    <row r="924" spans="4:8" ht="15.6" x14ac:dyDescent="0.3">
      <c r="D924" s="123"/>
      <c r="E924" s="123"/>
      <c r="F924" s="123"/>
      <c r="G924" s="114"/>
      <c r="H924" s="115"/>
    </row>
    <row r="925" spans="4:8" ht="15.6" x14ac:dyDescent="0.3">
      <c r="D925" s="123"/>
      <c r="E925" s="123"/>
      <c r="F925" s="123"/>
      <c r="G925" s="114"/>
      <c r="H925" s="115"/>
    </row>
    <row r="926" spans="4:8" ht="15.6" x14ac:dyDescent="0.3">
      <c r="D926" s="123"/>
      <c r="E926" s="123"/>
      <c r="F926" s="123"/>
      <c r="G926" s="114"/>
      <c r="H926" s="115"/>
    </row>
    <row r="927" spans="4:8" ht="15.6" x14ac:dyDescent="0.3">
      <c r="D927" s="123"/>
      <c r="E927" s="123"/>
      <c r="F927" s="123"/>
      <c r="G927" s="114"/>
      <c r="H927" s="115"/>
    </row>
    <row r="928" spans="4:8" ht="15.6" x14ac:dyDescent="0.3">
      <c r="D928" s="123"/>
      <c r="E928" s="123"/>
      <c r="F928" s="123"/>
      <c r="G928" s="114"/>
      <c r="H928" s="115"/>
    </row>
    <row r="929" spans="4:8" ht="15.6" x14ac:dyDescent="0.3">
      <c r="D929" s="123"/>
      <c r="E929" s="123"/>
      <c r="F929" s="123"/>
      <c r="G929" s="114"/>
      <c r="H929" s="115"/>
    </row>
    <row r="930" spans="4:8" ht="15.6" x14ac:dyDescent="0.3">
      <c r="D930" s="123"/>
      <c r="E930" s="123"/>
      <c r="F930" s="123"/>
      <c r="G930" s="114"/>
      <c r="H930" s="115"/>
    </row>
    <row r="931" spans="4:8" ht="15.6" x14ac:dyDescent="0.3">
      <c r="D931" s="123"/>
      <c r="E931" s="123"/>
      <c r="F931" s="123"/>
      <c r="G931" s="114"/>
      <c r="H931" s="115"/>
    </row>
    <row r="932" spans="4:8" ht="15.6" x14ac:dyDescent="0.3">
      <c r="D932" s="123"/>
      <c r="E932" s="123"/>
      <c r="F932" s="123"/>
      <c r="G932" s="114"/>
      <c r="H932" s="115"/>
    </row>
    <row r="933" spans="4:8" ht="15.6" x14ac:dyDescent="0.3">
      <c r="D933" s="123"/>
      <c r="E933" s="123"/>
      <c r="F933" s="123"/>
      <c r="G933" s="114"/>
      <c r="H933" s="115"/>
    </row>
    <row r="934" spans="4:8" ht="15.6" x14ac:dyDescent="0.3">
      <c r="D934" s="123"/>
      <c r="E934" s="123"/>
      <c r="F934" s="123"/>
      <c r="G934" s="114"/>
      <c r="H934" s="115"/>
    </row>
    <row r="935" spans="4:8" ht="15.6" x14ac:dyDescent="0.3">
      <c r="D935" s="123"/>
      <c r="E935" s="123"/>
      <c r="F935" s="123"/>
      <c r="G935" s="114"/>
      <c r="H935" s="115"/>
    </row>
    <row r="936" spans="4:8" ht="15.6" x14ac:dyDescent="0.3">
      <c r="D936" s="123"/>
      <c r="E936" s="123"/>
      <c r="F936" s="123"/>
      <c r="G936" s="114"/>
      <c r="H936" s="115"/>
    </row>
    <row r="937" spans="4:8" ht="15.6" x14ac:dyDescent="0.3">
      <c r="D937" s="123"/>
      <c r="E937" s="123"/>
      <c r="F937" s="123"/>
      <c r="G937" s="114"/>
      <c r="H937" s="115"/>
    </row>
    <row r="938" spans="4:8" ht="15.6" x14ac:dyDescent="0.3">
      <c r="D938" s="123"/>
      <c r="E938" s="123"/>
      <c r="F938" s="123"/>
      <c r="G938" s="114"/>
      <c r="H938" s="115"/>
    </row>
    <row r="939" spans="4:8" ht="15.6" x14ac:dyDescent="0.3">
      <c r="D939" s="123"/>
      <c r="E939" s="123"/>
      <c r="F939" s="123"/>
      <c r="G939" s="114"/>
      <c r="H939" s="115"/>
    </row>
    <row r="940" spans="4:8" ht="15.6" x14ac:dyDescent="0.3">
      <c r="D940" s="123"/>
      <c r="E940" s="123"/>
      <c r="F940" s="123"/>
      <c r="G940" s="114"/>
      <c r="H940" s="115"/>
    </row>
    <row r="941" spans="4:8" ht="15.6" x14ac:dyDescent="0.3">
      <c r="D941" s="123"/>
      <c r="E941" s="123"/>
      <c r="F941" s="123"/>
      <c r="G941" s="114"/>
      <c r="H941" s="115"/>
    </row>
    <row r="942" spans="4:8" ht="15.6" x14ac:dyDescent="0.3">
      <c r="D942" s="123"/>
      <c r="E942" s="123"/>
      <c r="F942" s="123"/>
      <c r="G942" s="114"/>
      <c r="H942" s="115"/>
    </row>
    <row r="943" spans="4:8" ht="15.6" x14ac:dyDescent="0.3">
      <c r="D943" s="123"/>
      <c r="E943" s="123"/>
      <c r="F943" s="123"/>
      <c r="G943" s="114"/>
      <c r="H943" s="115"/>
    </row>
    <row r="944" spans="4:8" ht="15.6" x14ac:dyDescent="0.3">
      <c r="D944" s="123"/>
      <c r="E944" s="123"/>
      <c r="F944" s="123"/>
      <c r="G944" s="114"/>
      <c r="H944" s="115"/>
    </row>
    <row r="945" spans="4:8" ht="15.6" x14ac:dyDescent="0.3">
      <c r="D945" s="123"/>
      <c r="E945" s="123"/>
      <c r="F945" s="123"/>
      <c r="G945" s="114"/>
      <c r="H945" s="115"/>
    </row>
    <row r="946" spans="4:8" ht="15.6" x14ac:dyDescent="0.3">
      <c r="D946" s="123"/>
      <c r="E946" s="123"/>
      <c r="F946" s="123"/>
      <c r="G946" s="114"/>
      <c r="H946" s="115"/>
    </row>
    <row r="947" spans="4:8" ht="15.6" x14ac:dyDescent="0.3">
      <c r="D947" s="123"/>
      <c r="E947" s="123"/>
      <c r="F947" s="123"/>
      <c r="G947" s="114"/>
      <c r="H947" s="115"/>
    </row>
    <row r="948" spans="4:8" ht="15.6" x14ac:dyDescent="0.3">
      <c r="D948" s="123"/>
      <c r="E948" s="123"/>
      <c r="F948" s="123"/>
      <c r="G948" s="114"/>
      <c r="H948" s="115"/>
    </row>
    <row r="949" spans="4:8" ht="15.6" x14ac:dyDescent="0.3">
      <c r="D949" s="123"/>
      <c r="E949" s="123"/>
      <c r="F949" s="123"/>
      <c r="G949" s="114"/>
      <c r="H949" s="115"/>
    </row>
    <row r="950" spans="4:8" ht="15.6" x14ac:dyDescent="0.3">
      <c r="D950" s="123"/>
      <c r="E950" s="123"/>
      <c r="F950" s="123"/>
      <c r="G950" s="114"/>
      <c r="H950" s="115"/>
    </row>
    <row r="951" spans="4:8" ht="15.6" x14ac:dyDescent="0.3">
      <c r="D951" s="123"/>
      <c r="E951" s="123"/>
      <c r="F951" s="123"/>
      <c r="G951" s="114"/>
      <c r="H951" s="115"/>
    </row>
    <row r="952" spans="4:8" ht="15.6" x14ac:dyDescent="0.3">
      <c r="D952" s="123"/>
      <c r="E952" s="123"/>
      <c r="F952" s="123"/>
      <c r="G952" s="114"/>
      <c r="H952" s="115"/>
    </row>
    <row r="953" spans="4:8" ht="15.6" x14ac:dyDescent="0.3">
      <c r="D953" s="123"/>
      <c r="E953" s="123"/>
      <c r="F953" s="123"/>
      <c r="G953" s="114"/>
      <c r="H953" s="115"/>
    </row>
    <row r="954" spans="4:8" ht="15.6" x14ac:dyDescent="0.3">
      <c r="D954" s="123"/>
      <c r="E954" s="123"/>
      <c r="F954" s="123"/>
      <c r="G954" s="114"/>
      <c r="H954" s="115"/>
    </row>
    <row r="955" spans="4:8" ht="15.6" x14ac:dyDescent="0.3">
      <c r="D955" s="123"/>
      <c r="E955" s="123"/>
      <c r="F955" s="123"/>
      <c r="G955" s="114"/>
      <c r="H955" s="115"/>
    </row>
    <row r="956" spans="4:8" ht="15.6" x14ac:dyDescent="0.3">
      <c r="D956" s="123"/>
      <c r="E956" s="123"/>
      <c r="F956" s="123"/>
      <c r="G956" s="114"/>
      <c r="H956" s="115"/>
    </row>
    <row r="957" spans="4:8" ht="15.6" x14ac:dyDescent="0.3">
      <c r="D957" s="123"/>
      <c r="E957" s="123"/>
      <c r="F957" s="123"/>
      <c r="G957" s="114"/>
      <c r="H957" s="115"/>
    </row>
    <row r="958" spans="4:8" ht="15.6" x14ac:dyDescent="0.3">
      <c r="D958" s="123"/>
      <c r="E958" s="123"/>
      <c r="F958" s="123"/>
      <c r="G958" s="114"/>
      <c r="H958" s="115"/>
    </row>
    <row r="959" spans="4:8" ht="15.6" x14ac:dyDescent="0.3">
      <c r="D959" s="123"/>
      <c r="E959" s="123"/>
      <c r="F959" s="123"/>
      <c r="G959" s="114"/>
      <c r="H959" s="115"/>
    </row>
    <row r="960" spans="4:8" ht="15.6" x14ac:dyDescent="0.3">
      <c r="D960" s="123"/>
      <c r="E960" s="123"/>
      <c r="F960" s="123"/>
      <c r="G960" s="114"/>
      <c r="H960" s="115"/>
    </row>
    <row r="961" spans="4:8" ht="15.6" x14ac:dyDescent="0.3">
      <c r="D961" s="123"/>
      <c r="E961" s="123"/>
      <c r="F961" s="123"/>
      <c r="G961" s="114"/>
      <c r="H961" s="115"/>
    </row>
    <row r="962" spans="4:8" ht="15.6" x14ac:dyDescent="0.3">
      <c r="D962" s="123"/>
      <c r="E962" s="123"/>
      <c r="F962" s="123"/>
      <c r="G962" s="114"/>
      <c r="H962" s="115"/>
    </row>
    <row r="963" spans="4:8" ht="15.6" x14ac:dyDescent="0.3">
      <c r="D963" s="123"/>
      <c r="E963" s="123"/>
      <c r="F963" s="123"/>
      <c r="G963" s="114"/>
      <c r="H963" s="115"/>
    </row>
    <row r="964" spans="4:8" ht="15.6" x14ac:dyDescent="0.3">
      <c r="D964" s="123"/>
      <c r="E964" s="123"/>
      <c r="F964" s="123"/>
      <c r="G964" s="114"/>
      <c r="H964" s="115"/>
    </row>
    <row r="965" spans="4:8" ht="15.6" x14ac:dyDescent="0.3">
      <c r="D965" s="123"/>
      <c r="E965" s="123"/>
      <c r="F965" s="123"/>
      <c r="G965" s="114"/>
      <c r="H965" s="115"/>
    </row>
    <row r="966" spans="4:8" ht="15.6" x14ac:dyDescent="0.3">
      <c r="D966" s="123"/>
      <c r="E966" s="123"/>
      <c r="F966" s="123"/>
      <c r="G966" s="114"/>
      <c r="H966" s="115"/>
    </row>
    <row r="967" spans="4:8" ht="15.6" x14ac:dyDescent="0.3">
      <c r="D967" s="123"/>
      <c r="E967" s="123"/>
      <c r="F967" s="123"/>
      <c r="G967" s="114"/>
      <c r="H967" s="115"/>
    </row>
    <row r="968" spans="4:8" ht="15.6" x14ac:dyDescent="0.3">
      <c r="D968" s="123"/>
      <c r="E968" s="123"/>
      <c r="F968" s="123"/>
      <c r="G968" s="114"/>
      <c r="H968" s="115"/>
    </row>
    <row r="969" spans="4:8" ht="15.6" x14ac:dyDescent="0.3">
      <c r="D969" s="123"/>
      <c r="E969" s="123"/>
      <c r="F969" s="123"/>
      <c r="G969" s="114"/>
      <c r="H969" s="115"/>
    </row>
    <row r="970" spans="4:8" ht="15.6" x14ac:dyDescent="0.3">
      <c r="D970" s="123"/>
      <c r="E970" s="123"/>
      <c r="F970" s="123"/>
      <c r="G970" s="114"/>
      <c r="H970" s="115"/>
    </row>
    <row r="971" spans="4:8" ht="15.6" x14ac:dyDescent="0.3">
      <c r="D971" s="123"/>
      <c r="E971" s="123"/>
      <c r="F971" s="123"/>
      <c r="G971" s="114"/>
      <c r="H971" s="115"/>
    </row>
    <row r="972" spans="4:8" ht="15.6" x14ac:dyDescent="0.3">
      <c r="D972" s="123"/>
      <c r="E972" s="123"/>
      <c r="F972" s="123"/>
      <c r="G972" s="114"/>
      <c r="H972" s="115"/>
    </row>
    <row r="973" spans="4:8" ht="15.6" x14ac:dyDescent="0.3">
      <c r="D973" s="123"/>
      <c r="E973" s="123"/>
      <c r="F973" s="123"/>
      <c r="G973" s="114"/>
      <c r="H973" s="115"/>
    </row>
    <row r="974" spans="4:8" ht="15.6" x14ac:dyDescent="0.3">
      <c r="D974" s="123"/>
      <c r="E974" s="123"/>
      <c r="F974" s="123"/>
      <c r="G974" s="114"/>
      <c r="H974" s="115"/>
    </row>
    <row r="975" spans="4:8" ht="15.6" x14ac:dyDescent="0.3">
      <c r="D975" s="123"/>
      <c r="E975" s="123"/>
      <c r="F975" s="123"/>
      <c r="G975" s="114"/>
      <c r="H975" s="115"/>
    </row>
    <row r="976" spans="4:8" ht="15.6" x14ac:dyDescent="0.3">
      <c r="D976" s="123"/>
      <c r="E976" s="123"/>
      <c r="F976" s="123"/>
      <c r="G976" s="114"/>
      <c r="H976" s="115"/>
    </row>
    <row r="977" spans="4:8" ht="15.6" x14ac:dyDescent="0.3">
      <c r="D977" s="123"/>
      <c r="E977" s="123"/>
      <c r="F977" s="123"/>
      <c r="G977" s="114"/>
      <c r="H977" s="115"/>
    </row>
    <row r="978" spans="4:8" ht="15.6" x14ac:dyDescent="0.3">
      <c r="D978" s="123"/>
      <c r="E978" s="123"/>
      <c r="F978" s="123"/>
      <c r="G978" s="114"/>
      <c r="H978" s="115"/>
    </row>
    <row r="979" spans="4:8" ht="15.6" x14ac:dyDescent="0.3">
      <c r="D979" s="123"/>
      <c r="E979" s="123"/>
      <c r="F979" s="123"/>
      <c r="G979" s="114"/>
      <c r="H979" s="115"/>
    </row>
    <row r="980" spans="4:8" ht="15.6" x14ac:dyDescent="0.3">
      <c r="D980" s="123"/>
      <c r="E980" s="123"/>
      <c r="F980" s="123"/>
      <c r="G980" s="114"/>
      <c r="H980" s="115"/>
    </row>
    <row r="981" spans="4:8" ht="15.6" x14ac:dyDescent="0.3">
      <c r="D981" s="123"/>
      <c r="E981" s="123"/>
      <c r="F981" s="123"/>
      <c r="G981" s="114"/>
      <c r="H981" s="115"/>
    </row>
    <row r="982" spans="4:8" ht="15.6" x14ac:dyDescent="0.3">
      <c r="D982" s="123"/>
      <c r="E982" s="123"/>
      <c r="F982" s="123"/>
      <c r="G982" s="114"/>
      <c r="H982" s="115"/>
    </row>
    <row r="983" spans="4:8" ht="15.6" x14ac:dyDescent="0.3">
      <c r="D983" s="123"/>
      <c r="E983" s="123"/>
      <c r="F983" s="123"/>
      <c r="G983" s="114"/>
      <c r="H983" s="115"/>
    </row>
    <row r="984" spans="4:8" ht="15.6" x14ac:dyDescent="0.3">
      <c r="D984" s="123"/>
      <c r="E984" s="123"/>
      <c r="F984" s="123"/>
      <c r="G984" s="114"/>
      <c r="H984" s="115"/>
    </row>
    <row r="985" spans="4:8" ht="15.6" x14ac:dyDescent="0.3">
      <c r="D985" s="123"/>
      <c r="E985" s="123"/>
      <c r="F985" s="123"/>
      <c r="G985" s="114"/>
      <c r="H985" s="115"/>
    </row>
    <row r="986" spans="4:8" ht="15.6" x14ac:dyDescent="0.3">
      <c r="D986" s="123"/>
      <c r="E986" s="123"/>
      <c r="F986" s="123"/>
      <c r="G986" s="114"/>
      <c r="H986" s="115"/>
    </row>
    <row r="987" spans="4:8" ht="15.6" x14ac:dyDescent="0.3">
      <c r="D987" s="123"/>
      <c r="E987" s="123"/>
      <c r="F987" s="123"/>
      <c r="G987" s="114"/>
      <c r="H987" s="115"/>
    </row>
    <row r="988" spans="4:8" ht="15.6" x14ac:dyDescent="0.3">
      <c r="D988" s="123"/>
      <c r="E988" s="123"/>
      <c r="F988" s="123"/>
      <c r="G988" s="114"/>
      <c r="H988" s="115"/>
    </row>
    <row r="989" spans="4:8" ht="15.6" x14ac:dyDescent="0.3">
      <c r="D989" s="123"/>
      <c r="E989" s="123"/>
      <c r="F989" s="123"/>
      <c r="G989" s="114"/>
      <c r="H989" s="115"/>
    </row>
    <row r="990" spans="4:8" ht="15.6" x14ac:dyDescent="0.3">
      <c r="D990" s="123"/>
      <c r="E990" s="123"/>
      <c r="F990" s="123"/>
      <c r="G990" s="114"/>
      <c r="H990" s="115"/>
    </row>
    <row r="991" spans="4:8" ht="15.6" x14ac:dyDescent="0.3">
      <c r="D991" s="123"/>
      <c r="E991" s="123"/>
      <c r="F991" s="123"/>
      <c r="G991" s="114"/>
      <c r="H991" s="115"/>
    </row>
    <row r="992" spans="4:8" ht="15.6" x14ac:dyDescent="0.3">
      <c r="D992" s="123"/>
      <c r="E992" s="123"/>
      <c r="F992" s="123"/>
      <c r="G992" s="114"/>
      <c r="H992" s="115"/>
    </row>
    <row r="993" spans="4:8" ht="15.6" x14ac:dyDescent="0.3">
      <c r="D993" s="123"/>
      <c r="E993" s="123"/>
      <c r="F993" s="123"/>
      <c r="G993" s="114"/>
      <c r="H993" s="115"/>
    </row>
    <row r="994" spans="4:8" ht="15.6" x14ac:dyDescent="0.3">
      <c r="D994" s="123"/>
      <c r="E994" s="123"/>
      <c r="F994" s="123"/>
      <c r="G994" s="114"/>
      <c r="H994" s="115"/>
    </row>
    <row r="995" spans="4:8" ht="15.6" x14ac:dyDescent="0.3">
      <c r="D995" s="123"/>
      <c r="E995" s="123"/>
      <c r="F995" s="123"/>
      <c r="G995" s="114"/>
      <c r="H995" s="115"/>
    </row>
    <row r="996" spans="4:8" ht="15.6" x14ac:dyDescent="0.3">
      <c r="D996" s="123"/>
      <c r="E996" s="123"/>
      <c r="F996" s="123"/>
      <c r="G996" s="114"/>
      <c r="H996" s="115"/>
    </row>
    <row r="997" spans="4:8" ht="15.6" x14ac:dyDescent="0.3">
      <c r="D997" s="123"/>
      <c r="E997" s="123"/>
      <c r="F997" s="123"/>
      <c r="G997" s="114"/>
      <c r="H997" s="115"/>
    </row>
    <row r="998" spans="4:8" ht="15.6" x14ac:dyDescent="0.3">
      <c r="D998" s="123"/>
      <c r="E998" s="123"/>
      <c r="F998" s="123"/>
      <c r="G998" s="114"/>
      <c r="H998" s="115"/>
    </row>
    <row r="999" spans="4:8" ht="15.6" x14ac:dyDescent="0.3">
      <c r="D999" s="123"/>
      <c r="E999" s="123"/>
      <c r="F999" s="123"/>
      <c r="G999" s="114"/>
      <c r="H999" s="115"/>
    </row>
    <row r="1000" spans="4:8" ht="15.6" x14ac:dyDescent="0.3">
      <c r="D1000" s="123"/>
      <c r="E1000" s="123"/>
      <c r="F1000" s="123"/>
      <c r="G1000" s="114"/>
      <c r="H1000" s="115"/>
    </row>
    <row r="1001" spans="4:8" ht="15.6" x14ac:dyDescent="0.3">
      <c r="D1001" s="123"/>
      <c r="E1001" s="123"/>
      <c r="F1001" s="123"/>
      <c r="G1001" s="114"/>
      <c r="H1001" s="115"/>
    </row>
    <row r="1002" spans="4:8" ht="15.6" x14ac:dyDescent="0.3">
      <c r="D1002" s="123"/>
      <c r="E1002" s="123"/>
      <c r="F1002" s="123"/>
      <c r="G1002" s="114"/>
      <c r="H1002" s="115"/>
    </row>
    <row r="1003" spans="4:8" ht="15.6" x14ac:dyDescent="0.3">
      <c r="D1003" s="123"/>
      <c r="E1003" s="123"/>
      <c r="F1003" s="123"/>
      <c r="G1003" s="114"/>
      <c r="H1003" s="115"/>
    </row>
    <row r="1004" spans="4:8" ht="15.6" x14ac:dyDescent="0.3">
      <c r="D1004" s="123"/>
      <c r="E1004" s="123"/>
      <c r="F1004" s="123"/>
      <c r="G1004" s="114"/>
      <c r="H1004" s="115"/>
    </row>
    <row r="1005" spans="4:8" ht="15.6" x14ac:dyDescent="0.3">
      <c r="D1005" s="123"/>
      <c r="E1005" s="123"/>
      <c r="F1005" s="123"/>
      <c r="G1005" s="114"/>
      <c r="H1005" s="115"/>
    </row>
    <row r="1006" spans="4:8" ht="15.6" x14ac:dyDescent="0.3">
      <c r="D1006" s="123"/>
      <c r="E1006" s="123"/>
      <c r="F1006" s="123"/>
      <c r="G1006" s="114"/>
      <c r="H1006" s="115"/>
    </row>
    <row r="1007" spans="4:8" ht="15.6" x14ac:dyDescent="0.3">
      <c r="D1007" s="123"/>
      <c r="E1007" s="123"/>
      <c r="F1007" s="123"/>
      <c r="G1007" s="114"/>
      <c r="H1007" s="115"/>
    </row>
    <row r="1008" spans="4:8" ht="15.6" x14ac:dyDescent="0.3">
      <c r="D1008" s="123"/>
      <c r="E1008" s="123"/>
      <c r="F1008" s="123"/>
      <c r="G1008" s="114"/>
      <c r="H1008" s="115"/>
    </row>
    <row r="1009" spans="4:8" ht="15.6" x14ac:dyDescent="0.3">
      <c r="D1009" s="123"/>
      <c r="E1009" s="123"/>
      <c r="F1009" s="123"/>
      <c r="G1009" s="114"/>
      <c r="H1009" s="115"/>
    </row>
    <row r="1010" spans="4:8" ht="15.6" x14ac:dyDescent="0.3">
      <c r="D1010" s="123"/>
      <c r="E1010" s="123"/>
      <c r="F1010" s="123"/>
      <c r="G1010" s="114"/>
      <c r="H1010" s="115"/>
    </row>
    <row r="1011" spans="4:8" ht="15.6" x14ac:dyDescent="0.3">
      <c r="D1011" s="123"/>
      <c r="E1011" s="123"/>
      <c r="F1011" s="123"/>
      <c r="G1011" s="114"/>
      <c r="H1011" s="115"/>
    </row>
    <row r="1012" spans="4:8" ht="15.6" x14ac:dyDescent="0.3">
      <c r="D1012" s="123"/>
      <c r="E1012" s="123"/>
      <c r="F1012" s="123"/>
      <c r="G1012" s="114"/>
      <c r="H1012" s="115"/>
    </row>
    <row r="1013" spans="4:8" ht="15.6" x14ac:dyDescent="0.3">
      <c r="D1013" s="123"/>
      <c r="E1013" s="123"/>
      <c r="F1013" s="123"/>
      <c r="G1013" s="114"/>
      <c r="H1013" s="115"/>
    </row>
    <row r="1014" spans="4:8" ht="15.6" x14ac:dyDescent="0.3">
      <c r="D1014" s="123"/>
      <c r="E1014" s="123"/>
      <c r="F1014" s="123"/>
      <c r="G1014" s="114"/>
      <c r="H1014" s="115"/>
    </row>
    <row r="1015" spans="4:8" ht="15.6" x14ac:dyDescent="0.3">
      <c r="D1015" s="123"/>
      <c r="E1015" s="123"/>
      <c r="F1015" s="123"/>
      <c r="G1015" s="114"/>
      <c r="H1015" s="115"/>
    </row>
    <row r="1016" spans="4:8" ht="15.6" x14ac:dyDescent="0.3">
      <c r="D1016" s="123"/>
      <c r="E1016" s="123"/>
      <c r="F1016" s="123"/>
      <c r="G1016" s="114"/>
      <c r="H1016" s="115"/>
    </row>
    <row r="1017" spans="4:8" ht="15.6" x14ac:dyDescent="0.3">
      <c r="D1017" s="123"/>
      <c r="E1017" s="123"/>
      <c r="F1017" s="123"/>
      <c r="G1017" s="114"/>
      <c r="H1017" s="115"/>
    </row>
    <row r="1018" spans="4:8" ht="15.6" x14ac:dyDescent="0.3">
      <c r="D1018" s="123"/>
      <c r="E1018" s="123"/>
      <c r="F1018" s="123"/>
      <c r="G1018" s="114"/>
      <c r="H1018" s="115"/>
    </row>
    <row r="1019" spans="4:8" ht="15.6" x14ac:dyDescent="0.3">
      <c r="D1019" s="123"/>
      <c r="E1019" s="123"/>
      <c r="F1019" s="123"/>
      <c r="G1019" s="114"/>
      <c r="H1019" s="115"/>
    </row>
    <row r="1020" spans="4:8" ht="15.6" x14ac:dyDescent="0.3">
      <c r="D1020" s="123"/>
      <c r="E1020" s="123"/>
      <c r="F1020" s="123"/>
      <c r="G1020" s="114"/>
      <c r="H1020" s="115"/>
    </row>
    <row r="1021" spans="4:8" ht="15.6" x14ac:dyDescent="0.3">
      <c r="D1021" s="123"/>
      <c r="E1021" s="123"/>
      <c r="F1021" s="123"/>
      <c r="G1021" s="114"/>
      <c r="H1021" s="115"/>
    </row>
    <row r="1022" spans="4:8" ht="15.6" x14ac:dyDescent="0.3">
      <c r="D1022" s="123"/>
      <c r="E1022" s="123"/>
      <c r="F1022" s="123"/>
      <c r="G1022" s="114"/>
      <c r="H1022" s="115"/>
    </row>
    <row r="1023" spans="4:8" ht="15.6" x14ac:dyDescent="0.3">
      <c r="D1023" s="123"/>
      <c r="E1023" s="123"/>
      <c r="F1023" s="123"/>
      <c r="G1023" s="114"/>
      <c r="H1023" s="115"/>
    </row>
    <row r="1024" spans="4:8" ht="15.6" x14ac:dyDescent="0.3">
      <c r="D1024" s="123"/>
      <c r="E1024" s="123"/>
      <c r="F1024" s="123"/>
      <c r="G1024" s="114"/>
      <c r="H1024" s="115"/>
    </row>
    <row r="1025" spans="4:8" ht="15.6" x14ac:dyDescent="0.3">
      <c r="D1025" s="123"/>
      <c r="E1025" s="123"/>
      <c r="F1025" s="123"/>
      <c r="G1025" s="114"/>
      <c r="H1025" s="115"/>
    </row>
    <row r="1026" spans="4:8" ht="15.6" x14ac:dyDescent="0.3">
      <c r="D1026" s="123"/>
      <c r="E1026" s="123"/>
      <c r="F1026" s="123"/>
      <c r="G1026" s="114"/>
      <c r="H1026" s="115"/>
    </row>
    <row r="1027" spans="4:8" ht="15.6" x14ac:dyDescent="0.3">
      <c r="D1027" s="123"/>
      <c r="E1027" s="123"/>
      <c r="F1027" s="123"/>
      <c r="G1027" s="114"/>
      <c r="H1027" s="115"/>
    </row>
    <row r="1028" spans="4:8" ht="15.6" x14ac:dyDescent="0.3">
      <c r="D1028" s="123"/>
      <c r="E1028" s="123"/>
      <c r="F1028" s="123"/>
      <c r="G1028" s="114"/>
      <c r="H1028" s="115"/>
    </row>
    <row r="1029" spans="4:8" ht="15.6" x14ac:dyDescent="0.3">
      <c r="D1029" s="123"/>
      <c r="E1029" s="123"/>
      <c r="F1029" s="123"/>
      <c r="G1029" s="114"/>
      <c r="H1029" s="115"/>
    </row>
    <row r="1030" spans="4:8" ht="15.6" x14ac:dyDescent="0.3">
      <c r="D1030" s="123"/>
      <c r="E1030" s="123"/>
      <c r="F1030" s="123"/>
      <c r="G1030" s="114"/>
      <c r="H1030" s="115"/>
    </row>
    <row r="1031" spans="4:8" ht="15.6" x14ac:dyDescent="0.3">
      <c r="D1031" s="123"/>
      <c r="E1031" s="123"/>
      <c r="F1031" s="123"/>
      <c r="G1031" s="114"/>
      <c r="H1031" s="115"/>
    </row>
    <row r="1032" spans="4:8" ht="15.6" x14ac:dyDescent="0.3">
      <c r="D1032" s="123"/>
      <c r="E1032" s="123"/>
      <c r="F1032" s="123"/>
      <c r="G1032" s="114"/>
      <c r="H1032" s="115"/>
    </row>
    <row r="1033" spans="4:8" ht="15.6" x14ac:dyDescent="0.3">
      <c r="D1033" s="123"/>
      <c r="E1033" s="123"/>
      <c r="F1033" s="123"/>
      <c r="G1033" s="114"/>
      <c r="H1033" s="115"/>
    </row>
    <row r="1034" spans="4:8" ht="15.6" x14ac:dyDescent="0.3">
      <c r="D1034" s="123"/>
      <c r="E1034" s="123"/>
      <c r="F1034" s="123"/>
      <c r="G1034" s="114"/>
      <c r="H1034" s="115"/>
    </row>
    <row r="1035" spans="4:8" ht="15.6" x14ac:dyDescent="0.3">
      <c r="D1035" s="123"/>
      <c r="E1035" s="123"/>
      <c r="F1035" s="123"/>
      <c r="G1035" s="114"/>
      <c r="H1035" s="115"/>
    </row>
    <row r="1036" spans="4:8" ht="15.6" x14ac:dyDescent="0.3">
      <c r="D1036" s="123"/>
      <c r="E1036" s="123"/>
      <c r="F1036" s="123"/>
      <c r="G1036" s="114"/>
      <c r="H1036" s="115"/>
    </row>
    <row r="1037" spans="4:8" ht="15.6" x14ac:dyDescent="0.3">
      <c r="D1037" s="123"/>
      <c r="E1037" s="123"/>
      <c r="F1037" s="123"/>
      <c r="G1037" s="114"/>
      <c r="H1037" s="115"/>
    </row>
    <row r="1038" spans="4:8" ht="15.6" x14ac:dyDescent="0.3">
      <c r="D1038" s="123"/>
      <c r="E1038" s="123"/>
      <c r="F1038" s="123"/>
      <c r="G1038" s="114"/>
      <c r="H1038" s="115"/>
    </row>
    <row r="1039" spans="4:8" ht="15.6" x14ac:dyDescent="0.3">
      <c r="D1039" s="123"/>
      <c r="E1039" s="123"/>
      <c r="F1039" s="123"/>
      <c r="G1039" s="114"/>
      <c r="H1039" s="115"/>
    </row>
    <row r="1040" spans="4:8" ht="15.6" x14ac:dyDescent="0.3">
      <c r="D1040" s="123"/>
      <c r="E1040" s="123"/>
      <c r="F1040" s="123"/>
      <c r="G1040" s="114"/>
      <c r="H1040" s="115"/>
    </row>
    <row r="1041" spans="4:8" ht="15.6" x14ac:dyDescent="0.3">
      <c r="D1041" s="123"/>
      <c r="E1041" s="123"/>
      <c r="F1041" s="123"/>
      <c r="G1041" s="114"/>
      <c r="H1041" s="115"/>
    </row>
    <row r="1042" spans="4:8" ht="15.6" x14ac:dyDescent="0.3">
      <c r="D1042" s="123"/>
      <c r="E1042" s="123"/>
      <c r="F1042" s="123"/>
      <c r="G1042" s="114"/>
      <c r="H1042" s="115"/>
    </row>
    <row r="1043" spans="4:8" ht="15.6" x14ac:dyDescent="0.3">
      <c r="D1043" s="123"/>
      <c r="E1043" s="123"/>
      <c r="F1043" s="123"/>
      <c r="G1043" s="114"/>
      <c r="H1043" s="115"/>
    </row>
    <row r="1044" spans="4:8" ht="15.6" x14ac:dyDescent="0.3">
      <c r="D1044" s="123"/>
      <c r="E1044" s="123"/>
      <c r="F1044" s="123"/>
      <c r="G1044" s="114"/>
      <c r="H1044" s="115"/>
    </row>
    <row r="1045" spans="4:8" ht="15.6" x14ac:dyDescent="0.3">
      <c r="D1045" s="123"/>
      <c r="E1045" s="123"/>
      <c r="F1045" s="123"/>
      <c r="G1045" s="114"/>
      <c r="H1045" s="115"/>
    </row>
    <row r="1046" spans="4:8" ht="15.6" x14ac:dyDescent="0.3">
      <c r="D1046" s="123"/>
      <c r="E1046" s="123"/>
      <c r="F1046" s="123"/>
      <c r="G1046" s="114"/>
      <c r="H1046" s="115"/>
    </row>
    <row r="1047" spans="4:8" ht="15.6" x14ac:dyDescent="0.3">
      <c r="D1047" s="123"/>
      <c r="E1047" s="123"/>
      <c r="F1047" s="123"/>
      <c r="G1047" s="114"/>
      <c r="H1047" s="115"/>
    </row>
    <row r="1048" spans="4:8" ht="15.6" x14ac:dyDescent="0.3">
      <c r="D1048" s="123"/>
      <c r="E1048" s="123"/>
      <c r="F1048" s="123"/>
      <c r="G1048" s="114"/>
      <c r="H1048" s="115"/>
    </row>
    <row r="1049" spans="4:8" ht="15.6" x14ac:dyDescent="0.3">
      <c r="D1049" s="123"/>
      <c r="E1049" s="123"/>
      <c r="F1049" s="123"/>
      <c r="G1049" s="114"/>
      <c r="H1049" s="115"/>
    </row>
    <row r="1050" spans="4:8" ht="15.6" x14ac:dyDescent="0.3">
      <c r="D1050" s="123"/>
      <c r="E1050" s="123"/>
      <c r="F1050" s="123"/>
      <c r="G1050" s="114"/>
      <c r="H1050" s="115"/>
    </row>
    <row r="1051" spans="4:8" ht="15.6" x14ac:dyDescent="0.3">
      <c r="D1051" s="123"/>
      <c r="E1051" s="123"/>
      <c r="F1051" s="123"/>
      <c r="G1051" s="114"/>
      <c r="H1051" s="115"/>
    </row>
    <row r="1052" spans="4:8" ht="15.6" x14ac:dyDescent="0.3">
      <c r="D1052" s="123"/>
      <c r="E1052" s="123"/>
      <c r="F1052" s="123"/>
      <c r="G1052" s="114"/>
      <c r="H1052" s="115"/>
    </row>
    <row r="1053" spans="4:8" ht="15.6" x14ac:dyDescent="0.3">
      <c r="D1053" s="123"/>
      <c r="E1053" s="123"/>
      <c r="F1053" s="123"/>
      <c r="G1053" s="114"/>
      <c r="H1053" s="115"/>
    </row>
    <row r="1054" spans="4:8" ht="15.6" x14ac:dyDescent="0.3">
      <c r="D1054" s="123"/>
      <c r="E1054" s="123"/>
      <c r="F1054" s="123"/>
      <c r="G1054" s="114"/>
      <c r="H1054" s="115"/>
    </row>
    <row r="1055" spans="4:8" ht="15.6" x14ac:dyDescent="0.3">
      <c r="D1055" s="123"/>
      <c r="E1055" s="123"/>
      <c r="F1055" s="123"/>
      <c r="G1055" s="114"/>
      <c r="H1055" s="115"/>
    </row>
    <row r="1056" spans="4:8" ht="15.6" x14ac:dyDescent="0.3">
      <c r="D1056" s="123"/>
      <c r="E1056" s="123"/>
      <c r="F1056" s="123"/>
      <c r="G1056" s="114"/>
      <c r="H1056" s="115"/>
    </row>
    <row r="1057" spans="4:8" ht="15.6" x14ac:dyDescent="0.3">
      <c r="D1057" s="123"/>
      <c r="E1057" s="123"/>
      <c r="F1057" s="123"/>
      <c r="G1057" s="114"/>
      <c r="H1057" s="115"/>
    </row>
    <row r="1058" spans="4:8" ht="15.6" x14ac:dyDescent="0.3">
      <c r="D1058" s="123"/>
      <c r="E1058" s="123"/>
      <c r="F1058" s="123"/>
      <c r="G1058" s="114"/>
      <c r="H1058" s="115"/>
    </row>
    <row r="1059" spans="4:8" ht="15.6" x14ac:dyDescent="0.3">
      <c r="D1059" s="123"/>
      <c r="E1059" s="123"/>
      <c r="F1059" s="123"/>
      <c r="G1059" s="114"/>
      <c r="H1059" s="115"/>
    </row>
    <row r="1060" spans="4:8" ht="15.6" x14ac:dyDescent="0.3">
      <c r="D1060" s="123"/>
      <c r="E1060" s="123"/>
      <c r="F1060" s="123"/>
      <c r="G1060" s="114"/>
      <c r="H1060" s="115"/>
    </row>
    <row r="1061" spans="4:8" ht="15.6" x14ac:dyDescent="0.3">
      <c r="D1061" s="123"/>
      <c r="E1061" s="123"/>
      <c r="F1061" s="123"/>
      <c r="G1061" s="114"/>
      <c r="H1061" s="115"/>
    </row>
    <row r="1062" spans="4:8" ht="15.6" x14ac:dyDescent="0.3">
      <c r="D1062" s="123"/>
      <c r="E1062" s="123"/>
      <c r="F1062" s="123"/>
      <c r="G1062" s="114"/>
      <c r="H1062" s="115"/>
    </row>
    <row r="1063" spans="4:8" ht="15.6" x14ac:dyDescent="0.3">
      <c r="D1063" s="123"/>
      <c r="E1063" s="123"/>
      <c r="F1063" s="123"/>
      <c r="G1063" s="114"/>
      <c r="H1063" s="115"/>
    </row>
    <row r="1064" spans="4:8" ht="15.6" x14ac:dyDescent="0.3">
      <c r="D1064" s="123"/>
      <c r="E1064" s="123"/>
      <c r="F1064" s="123"/>
      <c r="G1064" s="114"/>
      <c r="H1064" s="115"/>
    </row>
    <row r="1065" spans="4:8" ht="15.6" x14ac:dyDescent="0.3">
      <c r="D1065" s="123"/>
      <c r="E1065" s="123"/>
      <c r="F1065" s="123"/>
      <c r="G1065" s="114"/>
      <c r="H1065" s="115"/>
    </row>
    <row r="1066" spans="4:8" ht="15.6" x14ac:dyDescent="0.3">
      <c r="D1066" s="123"/>
      <c r="E1066" s="123"/>
      <c r="F1066" s="123"/>
      <c r="G1066" s="114"/>
      <c r="H1066" s="115"/>
    </row>
    <row r="1067" spans="4:8" ht="15.6" x14ac:dyDescent="0.3">
      <c r="D1067" s="123"/>
      <c r="E1067" s="123"/>
      <c r="F1067" s="123"/>
      <c r="G1067" s="114"/>
      <c r="H1067" s="115"/>
    </row>
    <row r="1068" spans="4:8" ht="15.6" x14ac:dyDescent="0.3">
      <c r="D1068" s="123"/>
      <c r="E1068" s="123"/>
      <c r="F1068" s="123"/>
      <c r="G1068" s="114"/>
      <c r="H1068" s="115"/>
    </row>
    <row r="1069" spans="4:8" ht="15.6" x14ac:dyDescent="0.3">
      <c r="D1069" s="123"/>
      <c r="E1069" s="123"/>
      <c r="F1069" s="123"/>
      <c r="G1069" s="114"/>
      <c r="H1069" s="115"/>
    </row>
    <row r="1070" spans="4:8" ht="15.6" x14ac:dyDescent="0.3">
      <c r="D1070" s="123"/>
      <c r="E1070" s="123"/>
      <c r="F1070" s="123"/>
      <c r="G1070" s="114"/>
      <c r="H1070" s="115"/>
    </row>
    <row r="1071" spans="4:8" ht="15.6" x14ac:dyDescent="0.3">
      <c r="D1071" s="123"/>
      <c r="E1071" s="123"/>
      <c r="F1071" s="123"/>
      <c r="G1071" s="114"/>
      <c r="H1071" s="115"/>
    </row>
    <row r="1072" spans="4:8" ht="15.6" x14ac:dyDescent="0.3">
      <c r="D1072" s="123"/>
      <c r="E1072" s="123"/>
      <c r="F1072" s="123"/>
      <c r="G1072" s="114"/>
      <c r="H1072" s="115"/>
    </row>
    <row r="1073" spans="4:8" ht="15.6" x14ac:dyDescent="0.3">
      <c r="D1073" s="123"/>
      <c r="E1073" s="123"/>
      <c r="F1073" s="123"/>
      <c r="G1073" s="114"/>
      <c r="H1073" s="115"/>
    </row>
    <row r="1074" spans="4:8" ht="15.6" x14ac:dyDescent="0.3">
      <c r="D1074" s="123"/>
      <c r="E1074" s="123"/>
      <c r="F1074" s="123"/>
      <c r="G1074" s="114"/>
      <c r="H1074" s="115"/>
    </row>
    <row r="1075" spans="4:8" ht="15.6" x14ac:dyDescent="0.3">
      <c r="D1075" s="123"/>
      <c r="E1075" s="123"/>
      <c r="F1075" s="123"/>
      <c r="G1075" s="114"/>
      <c r="H1075" s="115"/>
    </row>
    <row r="1076" spans="4:8" ht="15.6" x14ac:dyDescent="0.3">
      <c r="D1076" s="123"/>
      <c r="E1076" s="123"/>
      <c r="F1076" s="123"/>
      <c r="G1076" s="114"/>
      <c r="H1076" s="115"/>
    </row>
    <row r="1077" spans="4:8" ht="15.6" x14ac:dyDescent="0.3">
      <c r="D1077" s="123"/>
      <c r="E1077" s="123"/>
      <c r="F1077" s="123"/>
      <c r="G1077" s="114"/>
      <c r="H1077" s="115"/>
    </row>
    <row r="1078" spans="4:8" ht="15.6" x14ac:dyDescent="0.3">
      <c r="D1078" s="123"/>
      <c r="E1078" s="123"/>
      <c r="F1078" s="123"/>
      <c r="G1078" s="114"/>
      <c r="H1078" s="115"/>
    </row>
    <row r="1079" spans="4:8" ht="15.6" x14ac:dyDescent="0.3">
      <c r="D1079" s="123"/>
      <c r="E1079" s="123"/>
      <c r="F1079" s="123"/>
      <c r="G1079" s="114"/>
      <c r="H1079" s="115"/>
    </row>
    <row r="1080" spans="4:8" ht="15.6" x14ac:dyDescent="0.3">
      <c r="D1080" s="123"/>
      <c r="E1080" s="123"/>
      <c r="F1080" s="123"/>
      <c r="G1080" s="114"/>
      <c r="H1080" s="115"/>
    </row>
    <row r="1081" spans="4:8" ht="15.6" x14ac:dyDescent="0.3">
      <c r="D1081" s="123"/>
      <c r="E1081" s="123"/>
      <c r="F1081" s="123"/>
      <c r="G1081" s="114"/>
      <c r="H1081" s="115"/>
    </row>
    <row r="1082" spans="4:8" ht="15.6" x14ac:dyDescent="0.3">
      <c r="D1082" s="123"/>
      <c r="E1082" s="123"/>
      <c r="F1082" s="123"/>
      <c r="G1082" s="114"/>
      <c r="H1082" s="115"/>
    </row>
    <row r="1083" spans="4:8" ht="15.6" x14ac:dyDescent="0.3">
      <c r="D1083" s="123"/>
      <c r="E1083" s="123"/>
      <c r="F1083" s="123"/>
      <c r="G1083" s="114"/>
      <c r="H1083" s="115"/>
    </row>
    <row r="1084" spans="4:8" ht="15.6" x14ac:dyDescent="0.3">
      <c r="D1084" s="123"/>
      <c r="E1084" s="123"/>
      <c r="F1084" s="123"/>
      <c r="G1084" s="114"/>
      <c r="H1084" s="115"/>
    </row>
    <row r="1085" spans="4:8" ht="15.6" x14ac:dyDescent="0.3">
      <c r="D1085" s="123"/>
      <c r="E1085" s="123"/>
      <c r="F1085" s="123"/>
      <c r="G1085" s="114"/>
      <c r="H1085" s="115"/>
    </row>
    <row r="1086" spans="4:8" ht="15.6" x14ac:dyDescent="0.3">
      <c r="D1086" s="123"/>
      <c r="E1086" s="123"/>
      <c r="F1086" s="123"/>
      <c r="G1086" s="114"/>
      <c r="H1086" s="115"/>
    </row>
    <row r="1087" spans="4:8" ht="15.6" x14ac:dyDescent="0.3">
      <c r="D1087" s="123"/>
      <c r="E1087" s="123"/>
      <c r="F1087" s="123"/>
      <c r="G1087" s="114"/>
      <c r="H1087" s="115"/>
    </row>
    <row r="1088" spans="4:8" ht="15.6" x14ac:dyDescent="0.3">
      <c r="D1088" s="123"/>
      <c r="E1088" s="123"/>
      <c r="F1088" s="123"/>
      <c r="G1088" s="114"/>
      <c r="H1088" s="115"/>
    </row>
    <row r="1089" spans="4:8" ht="15.6" x14ac:dyDescent="0.3">
      <c r="D1089" s="123"/>
      <c r="E1089" s="123"/>
      <c r="F1089" s="123"/>
      <c r="G1089" s="114"/>
      <c r="H1089" s="115"/>
    </row>
    <row r="1090" spans="4:8" ht="15.6" x14ac:dyDescent="0.3">
      <c r="D1090" s="123"/>
      <c r="E1090" s="123"/>
      <c r="F1090" s="123"/>
      <c r="G1090" s="114"/>
      <c r="H1090" s="115"/>
    </row>
    <row r="1091" spans="4:8" ht="15.6" x14ac:dyDescent="0.3">
      <c r="D1091" s="123"/>
      <c r="E1091" s="123"/>
      <c r="F1091" s="123"/>
      <c r="G1091" s="114"/>
      <c r="H1091" s="115"/>
    </row>
    <row r="1092" spans="4:8" ht="15.6" x14ac:dyDescent="0.3">
      <c r="D1092" s="123"/>
      <c r="E1092" s="123"/>
      <c r="F1092" s="123"/>
      <c r="G1092" s="114"/>
      <c r="H1092" s="115"/>
    </row>
    <row r="1093" spans="4:8" ht="15.6" x14ac:dyDescent="0.3">
      <c r="D1093" s="123"/>
      <c r="E1093" s="123"/>
      <c r="F1093" s="123"/>
      <c r="G1093" s="114"/>
      <c r="H1093" s="115"/>
    </row>
    <row r="1094" spans="4:8" ht="15.6" x14ac:dyDescent="0.3">
      <c r="D1094" s="123"/>
      <c r="E1094" s="123"/>
      <c r="F1094" s="123"/>
      <c r="G1094" s="114"/>
      <c r="H1094" s="115"/>
    </row>
    <row r="1095" spans="4:8" ht="15.6" x14ac:dyDescent="0.3">
      <c r="D1095" s="123"/>
      <c r="E1095" s="123"/>
      <c r="F1095" s="123"/>
      <c r="G1095" s="114"/>
      <c r="H1095" s="115"/>
    </row>
    <row r="1096" spans="4:8" ht="15.6" x14ac:dyDescent="0.3">
      <c r="D1096" s="123"/>
      <c r="E1096" s="123"/>
      <c r="F1096" s="123"/>
      <c r="G1096" s="114"/>
      <c r="H1096" s="115"/>
    </row>
    <row r="1097" spans="4:8" ht="15.6" x14ac:dyDescent="0.3">
      <c r="D1097" s="123"/>
      <c r="E1097" s="123"/>
      <c r="F1097" s="123"/>
      <c r="G1097" s="114"/>
      <c r="H1097" s="115"/>
    </row>
    <row r="1098" spans="4:8" ht="15.6" x14ac:dyDescent="0.3">
      <c r="D1098" s="123"/>
      <c r="E1098" s="123"/>
      <c r="F1098" s="123"/>
      <c r="G1098" s="114"/>
      <c r="H1098" s="115"/>
    </row>
    <row r="1099" spans="4:8" ht="15.6" x14ac:dyDescent="0.3">
      <c r="D1099" s="123"/>
      <c r="E1099" s="123"/>
      <c r="F1099" s="123"/>
      <c r="G1099" s="114"/>
      <c r="H1099" s="115"/>
    </row>
    <row r="1100" spans="4:8" ht="15.6" x14ac:dyDescent="0.3">
      <c r="D1100" s="123"/>
      <c r="E1100" s="123"/>
      <c r="F1100" s="123"/>
      <c r="G1100" s="114"/>
      <c r="H1100" s="115"/>
    </row>
    <row r="1101" spans="4:8" ht="15.6" x14ac:dyDescent="0.3">
      <c r="D1101" s="123"/>
      <c r="E1101" s="123"/>
      <c r="F1101" s="123"/>
      <c r="G1101" s="114"/>
      <c r="H1101" s="115"/>
    </row>
    <row r="1102" spans="4:8" ht="15.6" x14ac:dyDescent="0.3">
      <c r="D1102" s="123"/>
      <c r="E1102" s="123"/>
      <c r="F1102" s="123"/>
      <c r="G1102" s="114"/>
      <c r="H1102" s="115"/>
    </row>
    <row r="1103" spans="4:8" ht="15.6" x14ac:dyDescent="0.3">
      <c r="D1103" s="123"/>
      <c r="E1103" s="123"/>
      <c r="F1103" s="123"/>
      <c r="G1103" s="114"/>
      <c r="H1103" s="115"/>
    </row>
    <row r="1104" spans="4:8" ht="15.6" x14ac:dyDescent="0.3">
      <c r="D1104" s="123"/>
      <c r="E1104" s="123"/>
      <c r="F1104" s="123"/>
      <c r="G1104" s="114"/>
      <c r="H1104" s="115"/>
    </row>
    <row r="1105" spans="4:8" ht="15.6" x14ac:dyDescent="0.3">
      <c r="D1105" s="123"/>
      <c r="E1105" s="123"/>
      <c r="F1105" s="123"/>
      <c r="G1105" s="114"/>
      <c r="H1105" s="115"/>
    </row>
    <row r="1106" spans="4:8" ht="15.6" x14ac:dyDescent="0.3">
      <c r="D1106" s="123"/>
      <c r="E1106" s="123"/>
      <c r="F1106" s="123"/>
      <c r="G1106" s="114"/>
      <c r="H1106" s="115"/>
    </row>
    <row r="1107" spans="4:8" ht="15.6" x14ac:dyDescent="0.3">
      <c r="D1107" s="123"/>
      <c r="E1107" s="123"/>
      <c r="F1107" s="123"/>
      <c r="G1107" s="114"/>
      <c r="H1107" s="115"/>
    </row>
    <row r="1108" spans="4:8" ht="15.6" x14ac:dyDescent="0.3">
      <c r="D1108" s="123"/>
      <c r="E1108" s="123"/>
      <c r="F1108" s="123"/>
      <c r="G1108" s="114"/>
      <c r="H1108" s="115"/>
    </row>
    <row r="1109" spans="4:8" ht="15.6" x14ac:dyDescent="0.3">
      <c r="D1109" s="123"/>
      <c r="E1109" s="123"/>
      <c r="F1109" s="123"/>
      <c r="G1109" s="114"/>
      <c r="H1109" s="115"/>
    </row>
    <row r="1110" spans="4:8" ht="15.6" x14ac:dyDescent="0.3">
      <c r="D1110" s="123"/>
      <c r="E1110" s="123"/>
      <c r="F1110" s="123"/>
      <c r="G1110" s="114"/>
      <c r="H1110" s="115"/>
    </row>
    <row r="1111" spans="4:8" ht="15.6" x14ac:dyDescent="0.3">
      <c r="D1111" s="123"/>
      <c r="E1111" s="123"/>
      <c r="F1111" s="123"/>
      <c r="G1111" s="114"/>
      <c r="H1111" s="115"/>
    </row>
    <row r="1112" spans="4:8" ht="15.6" x14ac:dyDescent="0.3">
      <c r="D1112" s="123"/>
      <c r="E1112" s="123"/>
      <c r="F1112" s="123"/>
      <c r="G1112" s="114"/>
      <c r="H1112" s="115"/>
    </row>
    <row r="1113" spans="4:8" ht="15.6" x14ac:dyDescent="0.3">
      <c r="D1113" s="123"/>
      <c r="E1113" s="123"/>
      <c r="F1113" s="123"/>
      <c r="G1113" s="114"/>
      <c r="H1113" s="115"/>
    </row>
    <row r="1114" spans="4:8" ht="15.6" x14ac:dyDescent="0.3">
      <c r="D1114" s="123"/>
      <c r="E1114" s="123"/>
      <c r="F1114" s="123"/>
      <c r="G1114" s="114"/>
      <c r="H1114" s="115"/>
    </row>
    <row r="1115" spans="4:8" ht="15.6" x14ac:dyDescent="0.3">
      <c r="D1115" s="123"/>
      <c r="E1115" s="123"/>
      <c r="F1115" s="123"/>
      <c r="G1115" s="114"/>
      <c r="H1115" s="115"/>
    </row>
    <row r="1116" spans="4:8" ht="15.6" x14ac:dyDescent="0.3">
      <c r="D1116" s="123"/>
      <c r="E1116" s="123"/>
      <c r="F1116" s="123"/>
      <c r="G1116" s="114"/>
      <c r="H1116" s="115"/>
    </row>
    <row r="1117" spans="4:8" ht="15.6" x14ac:dyDescent="0.3">
      <c r="D1117" s="123"/>
      <c r="E1117" s="123"/>
      <c r="F1117" s="123"/>
      <c r="G1117" s="114"/>
      <c r="H1117" s="115"/>
    </row>
    <row r="1118" spans="4:8" ht="15.6" x14ac:dyDescent="0.3">
      <c r="D1118" s="123"/>
      <c r="E1118" s="123"/>
      <c r="F1118" s="123"/>
      <c r="G1118" s="114"/>
      <c r="H1118" s="115"/>
    </row>
    <row r="1119" spans="4:8" ht="15.6" x14ac:dyDescent="0.3">
      <c r="D1119" s="123"/>
      <c r="E1119" s="123"/>
      <c r="F1119" s="123"/>
      <c r="G1119" s="114"/>
      <c r="H1119" s="115"/>
    </row>
    <row r="1120" spans="4:8" ht="15.6" x14ac:dyDescent="0.3">
      <c r="D1120" s="123"/>
      <c r="E1120" s="123"/>
      <c r="F1120" s="123"/>
      <c r="G1120" s="114"/>
      <c r="H1120" s="115"/>
    </row>
    <row r="1121" spans="4:8" ht="15.6" x14ac:dyDescent="0.3">
      <c r="D1121" s="123"/>
      <c r="E1121" s="123"/>
      <c r="F1121" s="123"/>
      <c r="G1121" s="114"/>
      <c r="H1121" s="115"/>
    </row>
    <row r="1122" spans="4:8" ht="15.6" x14ac:dyDescent="0.3">
      <c r="D1122" s="123"/>
      <c r="E1122" s="123"/>
      <c r="F1122" s="123"/>
      <c r="G1122" s="114"/>
      <c r="H1122" s="115"/>
    </row>
    <row r="1123" spans="4:8" ht="15.6" x14ac:dyDescent="0.3">
      <c r="D1123" s="123"/>
      <c r="E1123" s="123"/>
      <c r="F1123" s="123"/>
      <c r="G1123" s="114"/>
      <c r="H1123" s="115"/>
    </row>
    <row r="1124" spans="4:8" ht="15.6" x14ac:dyDescent="0.3">
      <c r="D1124" s="123"/>
      <c r="E1124" s="123"/>
      <c r="F1124" s="123"/>
      <c r="G1124" s="114"/>
      <c r="H1124" s="115"/>
    </row>
    <row r="1125" spans="4:8" ht="15.6" x14ac:dyDescent="0.3">
      <c r="D1125" s="123"/>
      <c r="E1125" s="123"/>
      <c r="F1125" s="123"/>
      <c r="G1125" s="114"/>
      <c r="H1125" s="115"/>
    </row>
    <row r="1126" spans="4:8" ht="15.6" x14ac:dyDescent="0.3">
      <c r="D1126" s="123"/>
      <c r="E1126" s="123"/>
      <c r="F1126" s="123"/>
      <c r="G1126" s="114"/>
      <c r="H1126" s="115"/>
    </row>
    <row r="1127" spans="4:8" ht="15.6" x14ac:dyDescent="0.3">
      <c r="D1127" s="123"/>
      <c r="E1127" s="123"/>
      <c r="F1127" s="123"/>
      <c r="G1127" s="114"/>
      <c r="H1127" s="115"/>
    </row>
    <row r="1128" spans="4:8" ht="15.6" x14ac:dyDescent="0.3">
      <c r="D1128" s="123"/>
      <c r="E1128" s="123"/>
      <c r="F1128" s="123"/>
      <c r="G1128" s="114"/>
      <c r="H1128" s="115"/>
    </row>
    <row r="1129" spans="4:8" ht="15.6" x14ac:dyDescent="0.3">
      <c r="D1129" s="123"/>
      <c r="E1129" s="123"/>
      <c r="F1129" s="123"/>
      <c r="G1129" s="114"/>
      <c r="H1129" s="115"/>
    </row>
    <row r="1130" spans="4:8" ht="15.6" x14ac:dyDescent="0.3">
      <c r="D1130" s="123"/>
      <c r="E1130" s="123"/>
      <c r="F1130" s="123"/>
      <c r="G1130" s="114"/>
      <c r="H1130" s="115"/>
    </row>
    <row r="1131" spans="4:8" ht="15.6" x14ac:dyDescent="0.3">
      <c r="D1131" s="123"/>
      <c r="E1131" s="123"/>
      <c r="F1131" s="123"/>
      <c r="G1131" s="114"/>
      <c r="H1131" s="115"/>
    </row>
    <row r="1132" spans="4:8" ht="15.6" x14ac:dyDescent="0.3">
      <c r="D1132" s="123"/>
      <c r="E1132" s="123"/>
      <c r="F1132" s="123"/>
      <c r="G1132" s="114"/>
      <c r="H1132" s="115"/>
    </row>
    <row r="1133" spans="4:8" ht="15.6" x14ac:dyDescent="0.3">
      <c r="D1133" s="123"/>
      <c r="E1133" s="123"/>
      <c r="F1133" s="123"/>
      <c r="G1133" s="114"/>
      <c r="H1133" s="115"/>
    </row>
    <row r="1134" spans="4:8" ht="15.6" x14ac:dyDescent="0.3">
      <c r="D1134" s="123"/>
      <c r="E1134" s="123"/>
      <c r="F1134" s="123"/>
      <c r="G1134" s="114"/>
      <c r="H1134" s="115"/>
    </row>
    <row r="1135" spans="4:8" ht="15.6" x14ac:dyDescent="0.3">
      <c r="D1135" s="123"/>
      <c r="E1135" s="123"/>
      <c r="F1135" s="123"/>
      <c r="G1135" s="114"/>
      <c r="H1135" s="115"/>
    </row>
    <row r="1136" spans="4:8" ht="15.6" x14ac:dyDescent="0.3">
      <c r="D1136" s="123"/>
      <c r="E1136" s="123"/>
      <c r="F1136" s="123"/>
      <c r="G1136" s="114"/>
      <c r="H1136" s="115"/>
    </row>
    <row r="1137" spans="4:8" ht="15.6" x14ac:dyDescent="0.3">
      <c r="D1137" s="123"/>
      <c r="E1137" s="123"/>
      <c r="F1137" s="123"/>
      <c r="G1137" s="114"/>
      <c r="H1137" s="115"/>
    </row>
    <row r="1138" spans="4:8" ht="15.6" x14ac:dyDescent="0.3">
      <c r="D1138" s="123"/>
      <c r="E1138" s="123"/>
      <c r="F1138" s="123"/>
      <c r="G1138" s="114"/>
      <c r="H1138" s="115"/>
    </row>
    <row r="1139" spans="4:8" ht="15.6" x14ac:dyDescent="0.3">
      <c r="D1139" s="123"/>
      <c r="E1139" s="123"/>
      <c r="F1139" s="123"/>
      <c r="G1139" s="114"/>
      <c r="H1139" s="115"/>
    </row>
    <row r="1140" spans="4:8" ht="15.6" x14ac:dyDescent="0.3">
      <c r="D1140" s="123"/>
      <c r="E1140" s="123"/>
      <c r="F1140" s="123"/>
      <c r="G1140" s="114"/>
      <c r="H1140" s="115"/>
    </row>
    <row r="1141" spans="4:8" ht="15.6" x14ac:dyDescent="0.3">
      <c r="D1141" s="123"/>
      <c r="E1141" s="123"/>
      <c r="F1141" s="123"/>
      <c r="G1141" s="114"/>
      <c r="H1141" s="115"/>
    </row>
    <row r="1142" spans="4:8" ht="15.6" x14ac:dyDescent="0.3">
      <c r="D1142" s="123"/>
      <c r="E1142" s="123"/>
      <c r="F1142" s="123"/>
      <c r="G1142" s="114"/>
      <c r="H1142" s="115"/>
    </row>
    <row r="1143" spans="4:8" ht="15.6" x14ac:dyDescent="0.3">
      <c r="D1143" s="123"/>
      <c r="E1143" s="123"/>
      <c r="F1143" s="123"/>
      <c r="G1143" s="114"/>
      <c r="H1143" s="115"/>
    </row>
    <row r="1144" spans="4:8" ht="15.6" x14ac:dyDescent="0.3">
      <c r="D1144" s="123"/>
      <c r="E1144" s="123"/>
      <c r="F1144" s="123"/>
      <c r="G1144" s="114"/>
      <c r="H1144" s="115"/>
    </row>
    <row r="1145" spans="4:8" ht="15.6" x14ac:dyDescent="0.3">
      <c r="D1145" s="123"/>
      <c r="E1145" s="123"/>
      <c r="F1145" s="123"/>
      <c r="G1145" s="114"/>
      <c r="H1145" s="115"/>
    </row>
    <row r="1146" spans="4:8" ht="15.6" x14ac:dyDescent="0.3">
      <c r="D1146" s="123"/>
      <c r="E1146" s="123"/>
      <c r="F1146" s="123"/>
      <c r="G1146" s="114"/>
      <c r="H1146" s="115"/>
    </row>
    <row r="1147" spans="4:8" ht="15.6" x14ac:dyDescent="0.3">
      <c r="D1147" s="123"/>
      <c r="E1147" s="123"/>
      <c r="F1147" s="123"/>
      <c r="G1147" s="114"/>
      <c r="H1147" s="115"/>
    </row>
    <row r="1148" spans="4:8" ht="15.6" x14ac:dyDescent="0.3">
      <c r="D1148" s="123"/>
      <c r="E1148" s="123"/>
      <c r="F1148" s="123"/>
      <c r="G1148" s="114"/>
      <c r="H1148" s="115"/>
    </row>
    <row r="1149" spans="4:8" ht="15.6" x14ac:dyDescent="0.3">
      <c r="D1149" s="123"/>
      <c r="E1149" s="123"/>
      <c r="F1149" s="123"/>
      <c r="G1149" s="114"/>
      <c r="H1149" s="115"/>
    </row>
    <row r="1150" spans="4:8" ht="15.6" x14ac:dyDescent="0.3">
      <c r="D1150" s="123"/>
      <c r="E1150" s="123"/>
      <c r="F1150" s="123"/>
      <c r="G1150" s="114"/>
      <c r="H1150" s="115"/>
    </row>
    <row r="1151" spans="4:8" ht="15.6" x14ac:dyDescent="0.3">
      <c r="D1151" s="123"/>
      <c r="E1151" s="123"/>
      <c r="F1151" s="123"/>
      <c r="G1151" s="114"/>
      <c r="H1151" s="115"/>
    </row>
    <row r="1152" spans="4:8" ht="15.6" x14ac:dyDescent="0.3">
      <c r="D1152" s="123"/>
      <c r="E1152" s="123"/>
      <c r="F1152" s="123"/>
      <c r="G1152" s="114"/>
      <c r="H1152" s="115"/>
    </row>
    <row r="1153" spans="4:8" ht="15.6" x14ac:dyDescent="0.3">
      <c r="D1153" s="123"/>
      <c r="E1153" s="123"/>
      <c r="F1153" s="123"/>
      <c r="G1153" s="114"/>
      <c r="H1153" s="115"/>
    </row>
    <row r="1154" spans="4:8" ht="15.6" x14ac:dyDescent="0.3">
      <c r="D1154" s="123"/>
      <c r="E1154" s="123"/>
      <c r="F1154" s="123"/>
      <c r="G1154" s="114"/>
      <c r="H1154" s="115"/>
    </row>
    <row r="1155" spans="4:8" ht="15.6" x14ac:dyDescent="0.3">
      <c r="D1155" s="123"/>
      <c r="E1155" s="123"/>
      <c r="F1155" s="123"/>
      <c r="G1155" s="114"/>
      <c r="H1155" s="115"/>
    </row>
    <row r="1156" spans="4:8" ht="15.6" x14ac:dyDescent="0.3">
      <c r="D1156" s="123"/>
      <c r="E1156" s="123"/>
      <c r="F1156" s="123"/>
      <c r="G1156" s="114"/>
      <c r="H1156" s="115"/>
    </row>
    <row r="1157" spans="4:8" ht="15.6" x14ac:dyDescent="0.3">
      <c r="D1157" s="123"/>
      <c r="E1157" s="123"/>
      <c r="F1157" s="123"/>
      <c r="G1157" s="114"/>
      <c r="H1157" s="115"/>
    </row>
    <row r="1158" spans="4:8" ht="15.6" x14ac:dyDescent="0.3">
      <c r="D1158" s="123"/>
      <c r="E1158" s="123"/>
      <c r="F1158" s="123"/>
      <c r="G1158" s="114"/>
      <c r="H1158" s="115"/>
    </row>
    <row r="1159" spans="4:8" ht="15.6" x14ac:dyDescent="0.3">
      <c r="D1159" s="123"/>
      <c r="E1159" s="123"/>
      <c r="F1159" s="123"/>
      <c r="G1159" s="114"/>
      <c r="H1159" s="115"/>
    </row>
    <row r="1160" spans="4:8" ht="15.6" x14ac:dyDescent="0.3">
      <c r="D1160" s="123"/>
      <c r="E1160" s="123"/>
      <c r="F1160" s="123"/>
      <c r="G1160" s="114"/>
      <c r="H1160" s="115"/>
    </row>
    <row r="1161" spans="4:8" ht="15.6" x14ac:dyDescent="0.3">
      <c r="D1161" s="123"/>
      <c r="E1161" s="123"/>
      <c r="F1161" s="123"/>
      <c r="G1161" s="114"/>
      <c r="H1161" s="115"/>
    </row>
    <row r="1162" spans="4:8" ht="15.6" x14ac:dyDescent="0.3">
      <c r="D1162" s="123"/>
      <c r="E1162" s="123"/>
      <c r="F1162" s="123"/>
      <c r="G1162" s="114"/>
      <c r="H1162" s="115"/>
    </row>
    <row r="1163" spans="4:8" ht="15.6" x14ac:dyDescent="0.3">
      <c r="D1163" s="123"/>
      <c r="E1163" s="123"/>
      <c r="F1163" s="123"/>
      <c r="G1163" s="114"/>
      <c r="H1163" s="115"/>
    </row>
    <row r="1164" spans="4:8" ht="15.6" x14ac:dyDescent="0.3">
      <c r="D1164" s="123"/>
      <c r="E1164" s="123"/>
      <c r="F1164" s="123"/>
      <c r="G1164" s="114"/>
      <c r="H1164" s="115"/>
    </row>
    <row r="1165" spans="4:8" ht="15.6" x14ac:dyDescent="0.3">
      <c r="D1165" s="123"/>
      <c r="E1165" s="123"/>
      <c r="F1165" s="123"/>
      <c r="G1165" s="114"/>
      <c r="H1165" s="115"/>
    </row>
    <row r="1166" spans="4:8" ht="15.6" x14ac:dyDescent="0.3">
      <c r="D1166" s="123"/>
      <c r="E1166" s="123"/>
      <c r="F1166" s="123"/>
      <c r="G1166" s="114"/>
      <c r="H1166" s="115"/>
    </row>
    <row r="1167" spans="4:8" ht="15.6" x14ac:dyDescent="0.3">
      <c r="D1167" s="123"/>
      <c r="E1167" s="123"/>
      <c r="F1167" s="123"/>
      <c r="G1167" s="114"/>
      <c r="H1167" s="115"/>
    </row>
    <row r="1168" spans="4:8" ht="15.6" x14ac:dyDescent="0.3">
      <c r="D1168" s="123"/>
      <c r="E1168" s="123"/>
      <c r="F1168" s="123"/>
      <c r="G1168" s="114"/>
      <c r="H1168" s="115"/>
    </row>
    <row r="1169" spans="4:8" ht="15.6" x14ac:dyDescent="0.3">
      <c r="D1169" s="123"/>
      <c r="E1169" s="123"/>
      <c r="F1169" s="123"/>
      <c r="G1169" s="114"/>
      <c r="H1169" s="115"/>
    </row>
    <row r="1170" spans="4:8" ht="15.6" x14ac:dyDescent="0.3">
      <c r="D1170" s="123"/>
      <c r="E1170" s="123"/>
      <c r="F1170" s="123"/>
      <c r="G1170" s="114"/>
      <c r="H1170" s="115"/>
    </row>
    <row r="1171" spans="4:8" ht="15.6" x14ac:dyDescent="0.3">
      <c r="D1171" s="123"/>
      <c r="E1171" s="123"/>
      <c r="F1171" s="123"/>
      <c r="G1171" s="114"/>
      <c r="H1171" s="115"/>
    </row>
    <row r="1172" spans="4:8" ht="15.6" x14ac:dyDescent="0.3">
      <c r="D1172" s="123"/>
      <c r="E1172" s="123"/>
      <c r="F1172" s="123"/>
      <c r="G1172" s="114"/>
      <c r="H1172" s="115"/>
    </row>
    <row r="1173" spans="4:8" ht="15.6" x14ac:dyDescent="0.3">
      <c r="D1173" s="123"/>
      <c r="E1173" s="123"/>
      <c r="F1173" s="123"/>
      <c r="G1173" s="114"/>
      <c r="H1173" s="115"/>
    </row>
    <row r="1174" spans="4:8" ht="15.6" x14ac:dyDescent="0.3">
      <c r="D1174" s="123"/>
      <c r="E1174" s="123"/>
      <c r="F1174" s="123"/>
      <c r="G1174" s="114"/>
      <c r="H1174" s="115"/>
    </row>
    <row r="1175" spans="4:8" ht="15.6" x14ac:dyDescent="0.3">
      <c r="D1175" s="123"/>
      <c r="E1175" s="123"/>
      <c r="F1175" s="123"/>
      <c r="G1175" s="114"/>
      <c r="H1175" s="115"/>
    </row>
    <row r="1176" spans="4:8" ht="15.6" x14ac:dyDescent="0.3">
      <c r="D1176" s="123"/>
      <c r="E1176" s="123"/>
      <c r="F1176" s="123"/>
      <c r="G1176" s="114"/>
      <c r="H1176" s="115"/>
    </row>
    <row r="1177" spans="4:8" ht="15.6" x14ac:dyDescent="0.3">
      <c r="D1177" s="123"/>
      <c r="E1177" s="123"/>
      <c r="F1177" s="123"/>
      <c r="G1177" s="114"/>
      <c r="H1177" s="115"/>
    </row>
    <row r="1178" spans="4:8" ht="15.6" x14ac:dyDescent="0.3">
      <c r="D1178" s="123"/>
      <c r="E1178" s="123"/>
      <c r="F1178" s="123"/>
      <c r="G1178" s="114"/>
      <c r="H1178" s="115"/>
    </row>
    <row r="1179" spans="4:8" ht="15.6" x14ac:dyDescent="0.3">
      <c r="D1179" s="123"/>
      <c r="E1179" s="123"/>
      <c r="F1179" s="123"/>
      <c r="G1179" s="114"/>
      <c r="H1179" s="115"/>
    </row>
    <row r="1180" spans="4:8" ht="15.6" x14ac:dyDescent="0.3">
      <c r="D1180" s="123"/>
      <c r="E1180" s="123"/>
      <c r="F1180" s="123"/>
      <c r="G1180" s="114"/>
      <c r="H1180" s="115"/>
    </row>
    <row r="1181" spans="4:8" ht="15.6" x14ac:dyDescent="0.3">
      <c r="D1181" s="123"/>
      <c r="E1181" s="123"/>
      <c r="F1181" s="123"/>
      <c r="G1181" s="114"/>
      <c r="H1181" s="115"/>
    </row>
    <row r="1182" spans="4:8" ht="15.6" x14ac:dyDescent="0.3">
      <c r="D1182" s="123"/>
      <c r="E1182" s="123"/>
      <c r="F1182" s="123"/>
      <c r="G1182" s="114"/>
      <c r="H1182" s="115"/>
    </row>
    <row r="1183" spans="4:8" ht="15.6" x14ac:dyDescent="0.3">
      <c r="D1183" s="123"/>
      <c r="E1183" s="123"/>
      <c r="F1183" s="123"/>
      <c r="G1183" s="114"/>
      <c r="H1183" s="115"/>
    </row>
    <row r="1184" spans="4:8" ht="15.6" x14ac:dyDescent="0.3">
      <c r="D1184" s="123"/>
      <c r="E1184" s="123"/>
      <c r="F1184" s="123"/>
      <c r="G1184" s="114"/>
      <c r="H1184" s="115"/>
    </row>
    <row r="1185" spans="4:8" ht="15.6" x14ac:dyDescent="0.3">
      <c r="D1185" s="123"/>
      <c r="E1185" s="123"/>
      <c r="F1185" s="123"/>
      <c r="G1185" s="114"/>
      <c r="H1185" s="115"/>
    </row>
    <row r="1186" spans="4:8" ht="15.6" x14ac:dyDescent="0.3">
      <c r="D1186" s="123"/>
      <c r="E1186" s="123"/>
      <c r="F1186" s="123"/>
      <c r="G1186" s="114"/>
      <c r="H1186" s="115"/>
    </row>
    <row r="1187" spans="4:8" ht="15.6" x14ac:dyDescent="0.3">
      <c r="D1187" s="123"/>
      <c r="E1187" s="123"/>
      <c r="F1187" s="123"/>
      <c r="G1187" s="114"/>
      <c r="H1187" s="115"/>
    </row>
    <row r="1188" spans="4:8" ht="15.6" x14ac:dyDescent="0.3">
      <c r="D1188" s="123"/>
      <c r="E1188" s="123"/>
      <c r="F1188" s="123"/>
      <c r="G1188" s="114"/>
      <c r="H1188" s="115"/>
    </row>
    <row r="1189" spans="4:8" ht="15.6" x14ac:dyDescent="0.3">
      <c r="D1189" s="123"/>
      <c r="E1189" s="123"/>
      <c r="F1189" s="123"/>
      <c r="G1189" s="114"/>
      <c r="H1189" s="115"/>
    </row>
    <row r="1190" spans="4:8" ht="15.6" x14ac:dyDescent="0.3">
      <c r="D1190" s="123"/>
      <c r="E1190" s="123"/>
      <c r="F1190" s="123"/>
      <c r="G1190" s="114"/>
      <c r="H1190" s="115"/>
    </row>
    <row r="1191" spans="4:8" ht="15.6" x14ac:dyDescent="0.3">
      <c r="D1191" s="123"/>
      <c r="E1191" s="123"/>
      <c r="F1191" s="123"/>
      <c r="G1191" s="114"/>
      <c r="H1191" s="115"/>
    </row>
    <row r="1192" spans="4:8" ht="15.6" x14ac:dyDescent="0.3">
      <c r="D1192" s="123"/>
      <c r="E1192" s="123"/>
      <c r="F1192" s="123"/>
      <c r="G1192" s="114"/>
      <c r="H1192" s="115"/>
    </row>
    <row r="1193" spans="4:8" ht="15.6" x14ac:dyDescent="0.3">
      <c r="D1193" s="123"/>
      <c r="E1193" s="123"/>
      <c r="F1193" s="123"/>
      <c r="G1193" s="114"/>
      <c r="H1193" s="115"/>
    </row>
    <row r="1194" spans="4:8" ht="15.6" x14ac:dyDescent="0.3">
      <c r="D1194" s="123"/>
      <c r="E1194" s="123"/>
      <c r="F1194" s="123"/>
      <c r="G1194" s="114"/>
      <c r="H1194" s="115"/>
    </row>
    <row r="1195" spans="4:8" ht="15.6" x14ac:dyDescent="0.3">
      <c r="D1195" s="123"/>
      <c r="E1195" s="123"/>
      <c r="F1195" s="123"/>
      <c r="G1195" s="114"/>
      <c r="H1195" s="115"/>
    </row>
    <row r="1196" spans="4:8" ht="15.6" x14ac:dyDescent="0.3">
      <c r="D1196" s="123"/>
      <c r="E1196" s="123"/>
      <c r="F1196" s="123"/>
      <c r="G1196" s="114"/>
      <c r="H1196" s="115"/>
    </row>
    <row r="1197" spans="4:8" ht="15.6" x14ac:dyDescent="0.3">
      <c r="D1197" s="123"/>
      <c r="E1197" s="123"/>
      <c r="F1197" s="123"/>
      <c r="G1197" s="114"/>
      <c r="H1197" s="115"/>
    </row>
    <row r="1198" spans="4:8" ht="15.6" x14ac:dyDescent="0.3">
      <c r="D1198" s="123"/>
      <c r="E1198" s="123"/>
      <c r="F1198" s="123"/>
      <c r="G1198" s="114"/>
      <c r="H1198" s="115"/>
    </row>
    <row r="1199" spans="4:8" ht="15.6" x14ac:dyDescent="0.3">
      <c r="D1199" s="123"/>
      <c r="E1199" s="123"/>
      <c r="F1199" s="123"/>
      <c r="G1199" s="114"/>
      <c r="H1199" s="115"/>
    </row>
    <row r="1200" spans="4:8" ht="15.6" x14ac:dyDescent="0.3">
      <c r="D1200" s="123"/>
      <c r="E1200" s="123"/>
      <c r="F1200" s="123"/>
      <c r="G1200" s="114"/>
      <c r="H1200" s="115"/>
    </row>
    <row r="1201" spans="4:8" ht="15.6" x14ac:dyDescent="0.3">
      <c r="D1201" s="123"/>
      <c r="E1201" s="123"/>
      <c r="F1201" s="123"/>
      <c r="G1201" s="114"/>
      <c r="H1201" s="115"/>
    </row>
    <row r="1202" spans="4:8" ht="15.6" x14ac:dyDescent="0.3">
      <c r="D1202" s="123"/>
      <c r="E1202" s="123"/>
      <c r="F1202" s="123"/>
      <c r="G1202" s="114"/>
      <c r="H1202" s="115"/>
    </row>
    <row r="1203" spans="4:8" ht="15.6" x14ac:dyDescent="0.3">
      <c r="D1203" s="123"/>
      <c r="E1203" s="123"/>
      <c r="F1203" s="123"/>
      <c r="G1203" s="114"/>
      <c r="H1203" s="115"/>
    </row>
    <row r="1204" spans="4:8" ht="15.6" x14ac:dyDescent="0.3">
      <c r="D1204" s="123"/>
      <c r="E1204" s="123"/>
      <c r="F1204" s="123"/>
      <c r="G1204" s="114"/>
      <c r="H1204" s="115"/>
    </row>
    <row r="1205" spans="4:8" ht="15.6" x14ac:dyDescent="0.3">
      <c r="D1205" s="123"/>
      <c r="E1205" s="123"/>
      <c r="F1205" s="123"/>
      <c r="G1205" s="114"/>
      <c r="H1205" s="115"/>
    </row>
    <row r="1206" spans="4:8" ht="15.6" x14ac:dyDescent="0.3">
      <c r="D1206" s="123"/>
      <c r="E1206" s="123"/>
      <c r="F1206" s="123"/>
      <c r="G1206" s="114"/>
      <c r="H1206" s="115"/>
    </row>
    <row r="1207" spans="4:8" ht="15.6" x14ac:dyDescent="0.3">
      <c r="D1207" s="123"/>
      <c r="E1207" s="123"/>
      <c r="F1207" s="123"/>
      <c r="G1207" s="114"/>
      <c r="H1207" s="115"/>
    </row>
    <row r="1208" spans="4:8" ht="15.6" x14ac:dyDescent="0.3">
      <c r="D1208" s="123"/>
      <c r="E1208" s="123"/>
      <c r="F1208" s="123"/>
      <c r="G1208" s="114"/>
      <c r="H1208" s="115"/>
    </row>
    <row r="1209" spans="4:8" ht="15.6" x14ac:dyDescent="0.3">
      <c r="D1209" s="123"/>
      <c r="E1209" s="123"/>
      <c r="F1209" s="123"/>
      <c r="G1209" s="114"/>
      <c r="H1209" s="115"/>
    </row>
    <row r="1210" spans="4:8" ht="15.6" x14ac:dyDescent="0.3">
      <c r="D1210" s="123"/>
      <c r="E1210" s="123"/>
      <c r="F1210" s="123"/>
      <c r="G1210" s="114"/>
      <c r="H1210" s="115"/>
    </row>
    <row r="1211" spans="4:8" ht="15.6" x14ac:dyDescent="0.3">
      <c r="D1211" s="123"/>
      <c r="E1211" s="123"/>
      <c r="F1211" s="123"/>
      <c r="G1211" s="114"/>
      <c r="H1211" s="115"/>
    </row>
    <row r="1212" spans="4:8" ht="15.6" x14ac:dyDescent="0.3">
      <c r="D1212" s="123"/>
      <c r="E1212" s="123"/>
      <c r="F1212" s="123"/>
      <c r="G1212" s="114"/>
      <c r="H1212" s="115"/>
    </row>
    <row r="1213" spans="4:8" ht="15.6" x14ac:dyDescent="0.3">
      <c r="D1213" s="123"/>
      <c r="E1213" s="123"/>
      <c r="F1213" s="123"/>
      <c r="G1213" s="114"/>
      <c r="H1213" s="115"/>
    </row>
    <row r="1214" spans="4:8" ht="15.6" x14ac:dyDescent="0.3">
      <c r="D1214" s="123"/>
      <c r="E1214" s="123"/>
      <c r="F1214" s="123"/>
      <c r="G1214" s="114"/>
      <c r="H1214" s="115"/>
    </row>
    <row r="1215" spans="4:8" ht="15.6" x14ac:dyDescent="0.3">
      <c r="D1215" s="123"/>
      <c r="E1215" s="123"/>
      <c r="F1215" s="123"/>
      <c r="G1215" s="114"/>
      <c r="H1215" s="115"/>
    </row>
    <row r="1216" spans="4:8" ht="15.6" x14ac:dyDescent="0.3">
      <c r="D1216" s="123"/>
      <c r="E1216" s="123"/>
      <c r="F1216" s="123"/>
      <c r="G1216" s="114"/>
      <c r="H1216" s="115"/>
    </row>
    <row r="1217" spans="4:8" ht="15.6" x14ac:dyDescent="0.3">
      <c r="D1217" s="123"/>
      <c r="E1217" s="123"/>
      <c r="F1217" s="123"/>
      <c r="G1217" s="114"/>
      <c r="H1217" s="115"/>
    </row>
    <row r="1218" spans="4:8" ht="15.6" x14ac:dyDescent="0.3">
      <c r="D1218" s="123"/>
      <c r="E1218" s="123"/>
      <c r="F1218" s="123"/>
      <c r="G1218" s="114"/>
      <c r="H1218" s="115"/>
    </row>
    <row r="1219" spans="4:8" ht="15.6" x14ac:dyDescent="0.3">
      <c r="D1219" s="123"/>
      <c r="E1219" s="123"/>
      <c r="F1219" s="123"/>
      <c r="G1219" s="114"/>
      <c r="H1219" s="115"/>
    </row>
    <row r="1220" spans="4:8" ht="15.6" x14ac:dyDescent="0.3">
      <c r="D1220" s="123"/>
      <c r="E1220" s="123"/>
      <c r="F1220" s="123"/>
      <c r="G1220" s="114"/>
      <c r="H1220" s="115"/>
    </row>
    <row r="1221" spans="4:8" ht="15.6" x14ac:dyDescent="0.3">
      <c r="D1221" s="123"/>
      <c r="E1221" s="123"/>
      <c r="F1221" s="123"/>
      <c r="G1221" s="114"/>
      <c r="H1221" s="115"/>
    </row>
    <row r="1222" spans="4:8" ht="15.6" x14ac:dyDescent="0.3">
      <c r="D1222" s="123"/>
      <c r="E1222" s="123"/>
      <c r="F1222" s="123"/>
      <c r="G1222" s="114"/>
      <c r="H1222" s="115"/>
    </row>
    <row r="1223" spans="4:8" ht="15.6" x14ac:dyDescent="0.3">
      <c r="D1223" s="123"/>
      <c r="E1223" s="123"/>
      <c r="F1223" s="123"/>
      <c r="G1223" s="114"/>
      <c r="H1223" s="115"/>
    </row>
    <row r="1224" spans="4:8" ht="15.6" x14ac:dyDescent="0.3">
      <c r="D1224" s="123"/>
      <c r="E1224" s="123"/>
      <c r="F1224" s="123"/>
      <c r="G1224" s="114"/>
      <c r="H1224" s="115"/>
    </row>
    <row r="1225" spans="4:8" ht="15.6" x14ac:dyDescent="0.3">
      <c r="D1225" s="123"/>
      <c r="E1225" s="123"/>
      <c r="F1225" s="123"/>
      <c r="G1225" s="114"/>
      <c r="H1225" s="115"/>
    </row>
    <row r="1226" spans="4:8" ht="15.6" x14ac:dyDescent="0.3">
      <c r="D1226" s="123"/>
      <c r="E1226" s="123"/>
      <c r="F1226" s="123"/>
      <c r="G1226" s="114"/>
      <c r="H1226" s="115"/>
    </row>
    <row r="1227" spans="4:8" ht="15.6" x14ac:dyDescent="0.3">
      <c r="D1227" s="123"/>
      <c r="E1227" s="123"/>
      <c r="F1227" s="123"/>
      <c r="G1227" s="114"/>
      <c r="H1227" s="115"/>
    </row>
    <row r="1228" spans="4:8" ht="15.6" x14ac:dyDescent="0.3">
      <c r="D1228" s="123"/>
      <c r="E1228" s="123"/>
      <c r="F1228" s="123"/>
      <c r="G1228" s="114"/>
      <c r="H1228" s="115"/>
    </row>
    <row r="1229" spans="4:8" ht="15.6" x14ac:dyDescent="0.3">
      <c r="D1229" s="123"/>
      <c r="E1229" s="123"/>
      <c r="F1229" s="123"/>
      <c r="G1229" s="114"/>
      <c r="H1229" s="115"/>
    </row>
    <row r="1230" spans="4:8" ht="15.6" x14ac:dyDescent="0.3">
      <c r="D1230" s="123"/>
      <c r="E1230" s="123"/>
      <c r="F1230" s="123"/>
      <c r="G1230" s="114"/>
      <c r="H1230" s="115"/>
    </row>
    <row r="1231" spans="4:8" ht="15.6" x14ac:dyDescent="0.3">
      <c r="D1231" s="123"/>
      <c r="E1231" s="123"/>
      <c r="F1231" s="123"/>
      <c r="G1231" s="114"/>
      <c r="H1231" s="115"/>
    </row>
    <row r="1232" spans="4:8" ht="15.6" x14ac:dyDescent="0.3">
      <c r="D1232" s="123"/>
      <c r="E1232" s="123"/>
      <c r="F1232" s="123"/>
      <c r="G1232" s="114"/>
      <c r="H1232" s="115"/>
    </row>
    <row r="1233" spans="4:8" ht="15.6" x14ac:dyDescent="0.3">
      <c r="D1233" s="123"/>
      <c r="E1233" s="123"/>
      <c r="F1233" s="123"/>
      <c r="G1233" s="114"/>
      <c r="H1233" s="115"/>
    </row>
    <row r="1234" spans="4:8" ht="15.6" x14ac:dyDescent="0.3">
      <c r="D1234" s="123"/>
      <c r="E1234" s="123"/>
      <c r="F1234" s="123"/>
      <c r="G1234" s="114"/>
      <c r="H1234" s="115"/>
    </row>
    <row r="1235" spans="4:8" ht="15.6" x14ac:dyDescent="0.3">
      <c r="D1235" s="123"/>
      <c r="E1235" s="123"/>
      <c r="F1235" s="123"/>
      <c r="G1235" s="114"/>
      <c r="H1235" s="115"/>
    </row>
    <row r="1236" spans="4:8" ht="15.6" x14ac:dyDescent="0.3">
      <c r="D1236" s="123"/>
      <c r="E1236" s="123"/>
      <c r="F1236" s="123"/>
      <c r="G1236" s="114"/>
      <c r="H1236" s="115"/>
    </row>
    <row r="1237" spans="4:8" ht="15.6" x14ac:dyDescent="0.3">
      <c r="D1237" s="123"/>
      <c r="E1237" s="123"/>
      <c r="F1237" s="123"/>
      <c r="G1237" s="114"/>
      <c r="H1237" s="115"/>
    </row>
    <row r="1238" spans="4:8" ht="15.6" x14ac:dyDescent="0.3">
      <c r="D1238" s="123"/>
      <c r="E1238" s="123"/>
      <c r="F1238" s="123"/>
      <c r="G1238" s="114"/>
      <c r="H1238" s="115"/>
    </row>
    <row r="1239" spans="4:8" ht="15.6" x14ac:dyDescent="0.3">
      <c r="D1239" s="123"/>
      <c r="E1239" s="123"/>
      <c r="F1239" s="123"/>
      <c r="G1239" s="114"/>
      <c r="H1239" s="115"/>
    </row>
    <row r="1240" spans="4:8" ht="15.6" x14ac:dyDescent="0.3">
      <c r="D1240" s="123"/>
      <c r="E1240" s="123"/>
      <c r="F1240" s="123"/>
      <c r="G1240" s="114"/>
      <c r="H1240" s="115"/>
    </row>
    <row r="1241" spans="4:8" ht="15.6" x14ac:dyDescent="0.3">
      <c r="D1241" s="123"/>
      <c r="E1241" s="123"/>
      <c r="F1241" s="123"/>
      <c r="G1241" s="114"/>
      <c r="H1241" s="115"/>
    </row>
    <row r="1242" spans="4:8" ht="15.6" x14ac:dyDescent="0.3">
      <c r="D1242" s="123"/>
      <c r="E1242" s="123"/>
      <c r="F1242" s="123"/>
      <c r="G1242" s="114"/>
      <c r="H1242" s="115"/>
    </row>
    <row r="1243" spans="4:8" ht="15.6" x14ac:dyDescent="0.3">
      <c r="D1243" s="123"/>
      <c r="E1243" s="123"/>
      <c r="F1243" s="123"/>
      <c r="G1243" s="114"/>
      <c r="H1243" s="115"/>
    </row>
    <row r="1244" spans="4:8" ht="15.6" x14ac:dyDescent="0.3">
      <c r="D1244" s="123"/>
      <c r="E1244" s="123"/>
      <c r="F1244" s="123"/>
      <c r="G1244" s="114"/>
      <c r="H1244" s="115"/>
    </row>
    <row r="1245" spans="4:8" ht="15.6" x14ac:dyDescent="0.3">
      <c r="D1245" s="123"/>
      <c r="E1245" s="123"/>
      <c r="F1245" s="123"/>
      <c r="G1245" s="114"/>
      <c r="H1245" s="115"/>
    </row>
    <row r="1246" spans="4:8" ht="15.6" x14ac:dyDescent="0.3">
      <c r="D1246" s="123"/>
      <c r="E1246" s="123"/>
      <c r="F1246" s="123"/>
      <c r="G1246" s="114"/>
      <c r="H1246" s="115"/>
    </row>
    <row r="1247" spans="4:8" ht="15.6" x14ac:dyDescent="0.3">
      <c r="D1247" s="123"/>
      <c r="E1247" s="123"/>
      <c r="F1247" s="123"/>
      <c r="G1247" s="114"/>
      <c r="H1247" s="115"/>
    </row>
    <row r="1248" spans="4:8" ht="15.6" x14ac:dyDescent="0.3">
      <c r="D1248" s="123"/>
      <c r="E1248" s="123"/>
      <c r="F1248" s="123"/>
      <c r="G1248" s="114"/>
      <c r="H1248" s="115"/>
    </row>
    <row r="1249" spans="4:8" ht="15.6" x14ac:dyDescent="0.3">
      <c r="D1249" s="123"/>
      <c r="E1249" s="123"/>
      <c r="F1249" s="123"/>
      <c r="G1249" s="114"/>
      <c r="H1249" s="115"/>
    </row>
    <row r="1250" spans="4:8" ht="15.6" x14ac:dyDescent="0.3">
      <c r="D1250" s="123"/>
      <c r="E1250" s="123"/>
      <c r="F1250" s="123"/>
      <c r="G1250" s="114"/>
      <c r="H1250" s="115"/>
    </row>
    <row r="1251" spans="4:8" ht="15.6" x14ac:dyDescent="0.3">
      <c r="D1251" s="123"/>
      <c r="E1251" s="123"/>
      <c r="F1251" s="123"/>
      <c r="G1251" s="114"/>
      <c r="H1251" s="115"/>
    </row>
    <row r="1252" spans="4:8" ht="15.6" x14ac:dyDescent="0.3">
      <c r="D1252" s="123"/>
      <c r="E1252" s="123"/>
      <c r="F1252" s="123"/>
      <c r="G1252" s="114"/>
      <c r="H1252" s="115"/>
    </row>
    <row r="1253" spans="4:8" ht="15.6" x14ac:dyDescent="0.3">
      <c r="D1253" s="123"/>
      <c r="E1253" s="123"/>
      <c r="F1253" s="123"/>
      <c r="G1253" s="114"/>
      <c r="H1253" s="115"/>
    </row>
    <row r="1254" spans="4:8" ht="15.6" x14ac:dyDescent="0.3">
      <c r="D1254" s="123"/>
      <c r="E1254" s="123"/>
      <c r="F1254" s="123"/>
      <c r="G1254" s="114"/>
      <c r="H1254" s="115"/>
    </row>
    <row r="1255" spans="4:8" ht="15.6" x14ac:dyDescent="0.3">
      <c r="D1255" s="123"/>
      <c r="E1255" s="123"/>
      <c r="F1255" s="123"/>
      <c r="G1255" s="114"/>
      <c r="H1255" s="115"/>
    </row>
    <row r="1256" spans="4:8" ht="15.6" x14ac:dyDescent="0.3">
      <c r="D1256" s="123"/>
      <c r="E1256" s="123"/>
      <c r="F1256" s="123"/>
      <c r="G1256" s="114"/>
      <c r="H1256" s="115"/>
    </row>
    <row r="1257" spans="4:8" ht="15.6" x14ac:dyDescent="0.3">
      <c r="D1257" s="123"/>
      <c r="E1257" s="123"/>
      <c r="F1257" s="123"/>
      <c r="G1257" s="114"/>
      <c r="H1257" s="115"/>
    </row>
    <row r="1258" spans="4:8" ht="15.6" x14ac:dyDescent="0.3">
      <c r="D1258" s="123"/>
      <c r="E1258" s="123"/>
      <c r="F1258" s="123"/>
      <c r="G1258" s="114"/>
      <c r="H1258" s="115"/>
    </row>
    <row r="1259" spans="4:8" ht="15.6" x14ac:dyDescent="0.3">
      <c r="D1259" s="123"/>
      <c r="E1259" s="123"/>
      <c r="F1259" s="123"/>
      <c r="G1259" s="114"/>
      <c r="H1259" s="115"/>
    </row>
    <row r="1260" spans="4:8" ht="15.6" x14ac:dyDescent="0.3">
      <c r="D1260" s="123"/>
      <c r="E1260" s="123"/>
      <c r="F1260" s="123"/>
      <c r="G1260" s="114"/>
      <c r="H1260" s="115"/>
    </row>
    <row r="1261" spans="4:8" ht="15.6" x14ac:dyDescent="0.3">
      <c r="D1261" s="123"/>
      <c r="E1261" s="123"/>
      <c r="F1261" s="123"/>
      <c r="G1261" s="114"/>
      <c r="H1261" s="115"/>
    </row>
    <row r="1262" spans="4:8" ht="15.6" x14ac:dyDescent="0.3">
      <c r="D1262" s="123"/>
      <c r="E1262" s="123"/>
      <c r="F1262" s="123"/>
      <c r="G1262" s="114"/>
      <c r="H1262" s="115"/>
    </row>
    <row r="1263" spans="4:8" ht="15.6" x14ac:dyDescent="0.3">
      <c r="D1263" s="123"/>
      <c r="E1263" s="123"/>
      <c r="F1263" s="123"/>
      <c r="G1263" s="114"/>
      <c r="H1263" s="115"/>
    </row>
    <row r="1264" spans="4:8" ht="15.6" x14ac:dyDescent="0.3">
      <c r="D1264" s="123"/>
      <c r="E1264" s="123"/>
      <c r="F1264" s="123"/>
      <c r="G1264" s="114"/>
      <c r="H1264" s="115"/>
    </row>
    <row r="1265" spans="4:8" ht="15.6" x14ac:dyDescent="0.3">
      <c r="D1265" s="123"/>
      <c r="E1265" s="123"/>
      <c r="F1265" s="123"/>
      <c r="G1265" s="114"/>
      <c r="H1265" s="115"/>
    </row>
    <row r="1266" spans="4:8" ht="15.6" x14ac:dyDescent="0.3">
      <c r="D1266" s="123"/>
      <c r="E1266" s="123"/>
      <c r="F1266" s="123"/>
      <c r="G1266" s="114"/>
      <c r="H1266" s="115"/>
    </row>
    <row r="1267" spans="4:8" ht="15.6" x14ac:dyDescent="0.3">
      <c r="D1267" s="123"/>
      <c r="E1267" s="123"/>
      <c r="F1267" s="123"/>
      <c r="G1267" s="114"/>
      <c r="H1267" s="115"/>
    </row>
    <row r="1268" spans="4:8" ht="15.6" x14ac:dyDescent="0.3">
      <c r="D1268" s="123"/>
      <c r="E1268" s="123"/>
      <c r="F1268" s="123"/>
      <c r="G1268" s="114"/>
      <c r="H1268" s="115"/>
    </row>
    <row r="1269" spans="4:8" ht="15.6" x14ac:dyDescent="0.3">
      <c r="D1269" s="123"/>
      <c r="E1269" s="123"/>
      <c r="F1269" s="123"/>
      <c r="G1269" s="114"/>
      <c r="H1269" s="115"/>
    </row>
    <row r="1270" spans="4:8" ht="15.6" x14ac:dyDescent="0.3">
      <c r="D1270" s="123"/>
      <c r="E1270" s="123"/>
      <c r="F1270" s="123"/>
      <c r="G1270" s="114"/>
      <c r="H1270" s="115"/>
    </row>
    <row r="1271" spans="4:8" ht="15.6" x14ac:dyDescent="0.3">
      <c r="D1271" s="123"/>
      <c r="E1271" s="123"/>
      <c r="F1271" s="123"/>
      <c r="G1271" s="114"/>
      <c r="H1271" s="115"/>
    </row>
    <row r="1272" spans="4:8" ht="15.6" x14ac:dyDescent="0.3">
      <c r="D1272" s="123"/>
      <c r="E1272" s="123"/>
      <c r="F1272" s="123"/>
      <c r="G1272" s="114"/>
      <c r="H1272" s="115"/>
    </row>
    <row r="1273" spans="4:8" ht="15.6" x14ac:dyDescent="0.3">
      <c r="D1273" s="123"/>
      <c r="E1273" s="123"/>
      <c r="F1273" s="123"/>
      <c r="G1273" s="114"/>
      <c r="H1273" s="115"/>
    </row>
    <row r="1274" spans="4:8" ht="15.6" x14ac:dyDescent="0.3">
      <c r="D1274" s="123"/>
      <c r="E1274" s="123"/>
      <c r="F1274" s="123"/>
      <c r="G1274" s="114"/>
      <c r="H1274" s="115"/>
    </row>
    <row r="1275" spans="4:8" ht="15.6" x14ac:dyDescent="0.3">
      <c r="D1275" s="123"/>
      <c r="E1275" s="123"/>
      <c r="F1275" s="123"/>
      <c r="G1275" s="114"/>
      <c r="H1275" s="115"/>
    </row>
    <row r="1276" spans="4:8" ht="15.6" x14ac:dyDescent="0.3">
      <c r="D1276" s="123"/>
      <c r="E1276" s="123"/>
      <c r="F1276" s="123"/>
      <c r="G1276" s="114"/>
      <c r="H1276" s="115"/>
    </row>
    <row r="1277" spans="4:8" ht="15.6" x14ac:dyDescent="0.3">
      <c r="D1277" s="123"/>
      <c r="E1277" s="123"/>
      <c r="F1277" s="123"/>
      <c r="G1277" s="114"/>
      <c r="H1277" s="115"/>
    </row>
    <row r="1278" spans="4:8" ht="15.6" x14ac:dyDescent="0.3">
      <c r="D1278" s="123"/>
      <c r="E1278" s="123"/>
      <c r="F1278" s="123"/>
      <c r="G1278" s="114"/>
      <c r="H1278" s="115"/>
    </row>
    <row r="1279" spans="4:8" ht="15.6" x14ac:dyDescent="0.3">
      <c r="D1279" s="123"/>
      <c r="E1279" s="123"/>
      <c r="F1279" s="123"/>
      <c r="G1279" s="114"/>
      <c r="H1279" s="115"/>
    </row>
    <row r="1280" spans="4:8" ht="15.6" x14ac:dyDescent="0.3">
      <c r="D1280" s="123"/>
      <c r="E1280" s="123"/>
      <c r="F1280" s="123"/>
      <c r="G1280" s="114"/>
      <c r="H1280" s="115"/>
    </row>
    <row r="1281" spans="4:8" ht="15.6" x14ac:dyDescent="0.3">
      <c r="D1281" s="123"/>
      <c r="E1281" s="123"/>
      <c r="F1281" s="123"/>
      <c r="G1281" s="114"/>
      <c r="H1281" s="115"/>
    </row>
    <row r="1282" spans="4:8" ht="15.6" x14ac:dyDescent="0.3">
      <c r="D1282" s="123"/>
      <c r="E1282" s="123"/>
      <c r="F1282" s="123"/>
      <c r="G1282" s="114"/>
      <c r="H1282" s="115"/>
    </row>
    <row r="1283" spans="4:8" ht="15.6" x14ac:dyDescent="0.3">
      <c r="D1283" s="123"/>
      <c r="E1283" s="123"/>
      <c r="F1283" s="123"/>
      <c r="G1283" s="114"/>
      <c r="H1283" s="115"/>
    </row>
    <row r="1284" spans="4:8" ht="15.6" x14ac:dyDescent="0.3">
      <c r="D1284" s="123"/>
      <c r="E1284" s="123"/>
      <c r="F1284" s="123"/>
      <c r="G1284" s="114"/>
      <c r="H1284" s="115"/>
    </row>
    <row r="1285" spans="4:8" ht="15.6" x14ac:dyDescent="0.3">
      <c r="D1285" s="123"/>
      <c r="E1285" s="123"/>
      <c r="F1285" s="123"/>
      <c r="G1285" s="114"/>
      <c r="H1285" s="115"/>
    </row>
    <row r="1286" spans="4:8" ht="15.6" x14ac:dyDescent="0.3">
      <c r="D1286" s="123"/>
      <c r="E1286" s="123"/>
      <c r="F1286" s="123"/>
      <c r="G1286" s="114"/>
      <c r="H1286" s="115"/>
    </row>
    <row r="1287" spans="4:8" ht="15.6" x14ac:dyDescent="0.3">
      <c r="D1287" s="123"/>
      <c r="E1287" s="123"/>
      <c r="F1287" s="123"/>
      <c r="G1287" s="114"/>
      <c r="H1287" s="115"/>
    </row>
    <row r="1288" spans="4:8" ht="15.6" x14ac:dyDescent="0.3">
      <c r="D1288" s="123"/>
      <c r="E1288" s="123"/>
      <c r="F1288" s="123"/>
      <c r="G1288" s="114"/>
      <c r="H1288" s="115"/>
    </row>
    <row r="1289" spans="4:8" ht="15.6" x14ac:dyDescent="0.3">
      <c r="D1289" s="123"/>
      <c r="E1289" s="123"/>
      <c r="F1289" s="123"/>
      <c r="G1289" s="114"/>
      <c r="H1289" s="115"/>
    </row>
    <row r="1290" spans="4:8" ht="15.6" x14ac:dyDescent="0.3">
      <c r="D1290" s="123"/>
      <c r="E1290" s="123"/>
      <c r="F1290" s="123"/>
      <c r="G1290" s="114"/>
      <c r="H1290" s="115"/>
    </row>
    <row r="1291" spans="4:8" ht="15.6" x14ac:dyDescent="0.3">
      <c r="D1291" s="123"/>
      <c r="E1291" s="123"/>
      <c r="F1291" s="123"/>
      <c r="G1291" s="114"/>
      <c r="H1291" s="115"/>
    </row>
    <row r="1292" spans="4:8" ht="15.6" x14ac:dyDescent="0.3">
      <c r="D1292" s="123"/>
      <c r="E1292" s="123"/>
      <c r="F1292" s="123"/>
      <c r="G1292" s="114"/>
      <c r="H1292" s="115"/>
    </row>
    <row r="1293" spans="4:8" ht="15.6" x14ac:dyDescent="0.3">
      <c r="D1293" s="123"/>
      <c r="E1293" s="123"/>
      <c r="F1293" s="123"/>
      <c r="G1293" s="114"/>
      <c r="H1293" s="115"/>
    </row>
    <row r="1294" spans="4:8" ht="15.6" x14ac:dyDescent="0.3">
      <c r="D1294" s="123"/>
      <c r="E1294" s="123"/>
      <c r="F1294" s="123"/>
      <c r="G1294" s="114"/>
      <c r="H1294" s="115"/>
    </row>
    <row r="1295" spans="4:8" ht="15.6" x14ac:dyDescent="0.3">
      <c r="D1295" s="123"/>
      <c r="E1295" s="123"/>
      <c r="F1295" s="123"/>
      <c r="G1295" s="114"/>
      <c r="H1295" s="115"/>
    </row>
    <row r="1296" spans="4:8" ht="15.6" x14ac:dyDescent="0.3">
      <c r="D1296" s="123"/>
      <c r="E1296" s="123"/>
      <c r="F1296" s="123"/>
      <c r="G1296" s="114"/>
      <c r="H1296" s="115"/>
    </row>
    <row r="1297" spans="4:8" ht="15.6" x14ac:dyDescent="0.3">
      <c r="D1297" s="123"/>
      <c r="E1297" s="123"/>
      <c r="F1297" s="123"/>
      <c r="G1297" s="114"/>
      <c r="H1297" s="115"/>
    </row>
    <row r="1298" spans="4:8" ht="15.6" x14ac:dyDescent="0.3">
      <c r="D1298" s="123"/>
      <c r="E1298" s="123"/>
      <c r="F1298" s="123"/>
      <c r="G1298" s="114"/>
      <c r="H1298" s="115"/>
    </row>
    <row r="1299" spans="4:8" ht="15.6" x14ac:dyDescent="0.3">
      <c r="D1299" s="123"/>
      <c r="E1299" s="123"/>
      <c r="F1299" s="123"/>
      <c r="G1299" s="114"/>
      <c r="H1299" s="115"/>
    </row>
    <row r="1300" spans="4:8" ht="15.6" x14ac:dyDescent="0.3">
      <c r="D1300" s="123"/>
      <c r="E1300" s="123"/>
      <c r="F1300" s="123"/>
      <c r="G1300" s="114"/>
      <c r="H1300" s="115"/>
    </row>
    <row r="1301" spans="4:8" ht="15.6" x14ac:dyDescent="0.3">
      <c r="D1301" s="123"/>
      <c r="E1301" s="123"/>
      <c r="F1301" s="123"/>
      <c r="G1301" s="114"/>
      <c r="H1301" s="115"/>
    </row>
    <row r="1302" spans="4:8" ht="15.6" x14ac:dyDescent="0.3">
      <c r="D1302" s="123"/>
      <c r="E1302" s="123"/>
      <c r="F1302" s="123"/>
      <c r="G1302" s="114"/>
      <c r="H1302" s="115"/>
    </row>
    <row r="1303" spans="4:8" ht="15.6" x14ac:dyDescent="0.3">
      <c r="D1303" s="123"/>
      <c r="E1303" s="123"/>
      <c r="F1303" s="123"/>
      <c r="G1303" s="114"/>
      <c r="H1303" s="115"/>
    </row>
    <row r="1304" spans="4:8" ht="15.6" x14ac:dyDescent="0.3">
      <c r="D1304" s="123"/>
      <c r="E1304" s="123"/>
      <c r="F1304" s="123"/>
      <c r="G1304" s="114"/>
      <c r="H1304" s="115"/>
    </row>
    <row r="1305" spans="4:8" ht="15.6" x14ac:dyDescent="0.3">
      <c r="D1305" s="123"/>
      <c r="E1305" s="123"/>
      <c r="F1305" s="123"/>
      <c r="G1305" s="114"/>
      <c r="H1305" s="115"/>
    </row>
    <row r="1306" spans="4:8" ht="15.6" x14ac:dyDescent="0.3">
      <c r="D1306" s="123"/>
      <c r="E1306" s="123"/>
      <c r="F1306" s="123"/>
      <c r="G1306" s="114"/>
      <c r="H1306" s="115"/>
    </row>
    <row r="1307" spans="4:8" ht="15.6" x14ac:dyDescent="0.3">
      <c r="D1307" s="123"/>
      <c r="E1307" s="123"/>
      <c r="F1307" s="123"/>
      <c r="G1307" s="114"/>
      <c r="H1307" s="115"/>
    </row>
    <row r="1308" spans="4:8" ht="15.6" x14ac:dyDescent="0.3">
      <c r="D1308" s="123"/>
      <c r="E1308" s="123"/>
      <c r="F1308" s="123"/>
      <c r="G1308" s="114"/>
      <c r="H1308" s="115"/>
    </row>
    <row r="1309" spans="4:8" ht="15.6" x14ac:dyDescent="0.3">
      <c r="D1309" s="123"/>
      <c r="E1309" s="123"/>
      <c r="F1309" s="123"/>
      <c r="G1309" s="114"/>
      <c r="H1309" s="115"/>
    </row>
    <row r="1310" spans="4:8" ht="15.6" x14ac:dyDescent="0.3">
      <c r="D1310" s="123"/>
      <c r="E1310" s="123"/>
      <c r="F1310" s="123"/>
      <c r="G1310" s="114"/>
      <c r="H1310" s="115"/>
    </row>
    <row r="1311" spans="4:8" ht="15.6" x14ac:dyDescent="0.3">
      <c r="D1311" s="123"/>
      <c r="E1311" s="123"/>
      <c r="F1311" s="123"/>
      <c r="G1311" s="114"/>
      <c r="H1311" s="115"/>
    </row>
    <row r="1312" spans="4:8" ht="15.6" x14ac:dyDescent="0.3">
      <c r="D1312" s="123"/>
      <c r="E1312" s="123"/>
      <c r="F1312" s="123"/>
      <c r="G1312" s="114"/>
      <c r="H1312" s="115"/>
    </row>
    <row r="1313" spans="4:8" ht="15.6" x14ac:dyDescent="0.3">
      <c r="D1313" s="123"/>
      <c r="E1313" s="123"/>
      <c r="F1313" s="123"/>
      <c r="G1313" s="114"/>
      <c r="H1313" s="115"/>
    </row>
    <row r="1314" spans="4:8" ht="15.6" x14ac:dyDescent="0.3">
      <c r="D1314" s="123"/>
      <c r="E1314" s="123"/>
      <c r="F1314" s="123"/>
      <c r="G1314" s="114"/>
      <c r="H1314" s="115"/>
    </row>
    <row r="1315" spans="4:8" ht="15.6" x14ac:dyDescent="0.3">
      <c r="D1315" s="123"/>
      <c r="E1315" s="123"/>
      <c r="F1315" s="123"/>
      <c r="G1315" s="114"/>
      <c r="H1315" s="115"/>
    </row>
    <row r="1316" spans="4:8" ht="15.6" x14ac:dyDescent="0.3">
      <c r="D1316" s="123"/>
      <c r="E1316" s="123"/>
      <c r="F1316" s="123"/>
      <c r="G1316" s="114"/>
      <c r="H1316" s="115"/>
    </row>
    <row r="1317" spans="4:8" ht="15.6" x14ac:dyDescent="0.3">
      <c r="D1317" s="123"/>
      <c r="E1317" s="123"/>
      <c r="F1317" s="123"/>
      <c r="G1317" s="114"/>
      <c r="H1317" s="115"/>
    </row>
    <row r="1318" spans="4:8" ht="15.6" x14ac:dyDescent="0.3">
      <c r="D1318" s="123"/>
      <c r="E1318" s="123"/>
      <c r="F1318" s="123"/>
      <c r="G1318" s="114"/>
      <c r="H1318" s="115"/>
    </row>
    <row r="1319" spans="4:8" ht="15.6" x14ac:dyDescent="0.3">
      <c r="D1319" s="123"/>
      <c r="E1319" s="123"/>
      <c r="F1319" s="123"/>
      <c r="G1319" s="114"/>
      <c r="H1319" s="115"/>
    </row>
    <row r="1320" spans="4:8" ht="15.6" x14ac:dyDescent="0.3">
      <c r="D1320" s="123"/>
      <c r="E1320" s="123"/>
      <c r="F1320" s="123"/>
      <c r="G1320" s="114"/>
      <c r="H1320" s="115"/>
    </row>
    <row r="1321" spans="4:8" ht="15.6" x14ac:dyDescent="0.3">
      <c r="D1321" s="123"/>
      <c r="E1321" s="123"/>
      <c r="F1321" s="123"/>
      <c r="G1321" s="114"/>
      <c r="H1321" s="115"/>
    </row>
    <row r="1322" spans="4:8" ht="15.6" x14ac:dyDescent="0.3">
      <c r="D1322" s="123"/>
      <c r="E1322" s="123"/>
      <c r="F1322" s="123"/>
      <c r="G1322" s="114"/>
      <c r="H1322" s="115"/>
    </row>
    <row r="1323" spans="4:8" ht="15.6" x14ac:dyDescent="0.3">
      <c r="D1323" s="123"/>
      <c r="E1323" s="123"/>
      <c r="F1323" s="123"/>
      <c r="G1323" s="114"/>
      <c r="H1323" s="115"/>
    </row>
    <row r="1324" spans="4:8" ht="15.6" x14ac:dyDescent="0.3">
      <c r="D1324" s="123"/>
      <c r="E1324" s="123"/>
      <c r="F1324" s="123"/>
      <c r="G1324" s="114"/>
      <c r="H1324" s="115"/>
    </row>
    <row r="1325" spans="4:8" ht="15.6" x14ac:dyDescent="0.3">
      <c r="D1325" s="123"/>
      <c r="E1325" s="123"/>
      <c r="F1325" s="123"/>
      <c r="G1325" s="114"/>
      <c r="H1325" s="115"/>
    </row>
    <row r="1326" spans="4:8" ht="15.6" x14ac:dyDescent="0.3">
      <c r="D1326" s="123"/>
      <c r="E1326" s="123"/>
      <c r="F1326" s="123"/>
      <c r="G1326" s="114"/>
      <c r="H1326" s="115"/>
    </row>
    <row r="1327" spans="4:8" ht="15.6" x14ac:dyDescent="0.3">
      <c r="D1327" s="123"/>
      <c r="E1327" s="123"/>
      <c r="F1327" s="123"/>
      <c r="G1327" s="114"/>
      <c r="H1327" s="115"/>
    </row>
    <row r="1328" spans="4:8" ht="15.6" x14ac:dyDescent="0.3">
      <c r="D1328" s="123"/>
      <c r="E1328" s="123"/>
      <c r="F1328" s="123"/>
      <c r="G1328" s="114"/>
      <c r="H1328" s="115"/>
    </row>
    <row r="1329" spans="4:8" ht="15.6" x14ac:dyDescent="0.3">
      <c r="D1329" s="123"/>
      <c r="E1329" s="123"/>
      <c r="F1329" s="123"/>
      <c r="G1329" s="114"/>
      <c r="H1329" s="115"/>
    </row>
    <row r="1330" spans="4:8" ht="15.6" x14ac:dyDescent="0.3">
      <c r="D1330" s="123"/>
      <c r="E1330" s="123"/>
      <c r="F1330" s="123"/>
      <c r="G1330" s="114"/>
      <c r="H1330" s="115"/>
    </row>
    <row r="1331" spans="4:8" ht="15.6" x14ac:dyDescent="0.3">
      <c r="D1331" s="123"/>
      <c r="E1331" s="123"/>
      <c r="F1331" s="123"/>
      <c r="G1331" s="114"/>
      <c r="H1331" s="115"/>
    </row>
    <row r="1332" spans="4:8" ht="15.6" x14ac:dyDescent="0.3">
      <c r="D1332" s="123"/>
      <c r="E1332" s="123"/>
      <c r="F1332" s="123"/>
      <c r="G1332" s="114"/>
      <c r="H1332" s="115"/>
    </row>
    <row r="1333" spans="4:8" ht="15.6" x14ac:dyDescent="0.3">
      <c r="D1333" s="123"/>
      <c r="E1333" s="123"/>
      <c r="F1333" s="123"/>
      <c r="G1333" s="114"/>
      <c r="H1333" s="115"/>
    </row>
    <row r="1334" spans="4:8" ht="15.6" x14ac:dyDescent="0.3">
      <c r="D1334" s="123"/>
      <c r="E1334" s="123"/>
      <c r="F1334" s="123"/>
      <c r="G1334" s="114"/>
      <c r="H1334" s="115"/>
    </row>
    <row r="1335" spans="4:8" ht="15.6" x14ac:dyDescent="0.3">
      <c r="D1335" s="123"/>
      <c r="E1335" s="123"/>
      <c r="F1335" s="123"/>
      <c r="G1335" s="114"/>
      <c r="H1335" s="115"/>
    </row>
    <row r="1336" spans="4:8" ht="15.6" x14ac:dyDescent="0.3">
      <c r="D1336" s="123"/>
      <c r="E1336" s="123"/>
      <c r="F1336" s="123"/>
      <c r="G1336" s="114"/>
      <c r="H1336" s="115"/>
    </row>
    <row r="1337" spans="4:8" ht="15.6" x14ac:dyDescent="0.3">
      <c r="D1337" s="123"/>
      <c r="E1337" s="123"/>
      <c r="F1337" s="123"/>
      <c r="G1337" s="114"/>
      <c r="H1337" s="115"/>
    </row>
    <row r="1338" spans="4:8" ht="15.6" x14ac:dyDescent="0.3">
      <c r="D1338" s="123"/>
      <c r="E1338" s="123"/>
      <c r="F1338" s="123"/>
      <c r="G1338" s="114"/>
      <c r="H1338" s="115"/>
    </row>
    <row r="1339" spans="4:8" ht="15.6" x14ac:dyDescent="0.3">
      <c r="D1339" s="123"/>
      <c r="E1339" s="123"/>
      <c r="F1339" s="123"/>
      <c r="G1339" s="114"/>
      <c r="H1339" s="115"/>
    </row>
    <row r="1340" spans="4:8" ht="15.6" x14ac:dyDescent="0.3">
      <c r="D1340" s="123"/>
      <c r="E1340" s="123"/>
      <c r="F1340" s="123"/>
      <c r="G1340" s="114"/>
      <c r="H1340" s="115"/>
    </row>
    <row r="1341" spans="4:8" ht="15.6" x14ac:dyDescent="0.3">
      <c r="D1341" s="123"/>
      <c r="E1341" s="123"/>
      <c r="F1341" s="123"/>
      <c r="G1341" s="114"/>
      <c r="H1341" s="115"/>
    </row>
    <row r="1342" spans="4:8" ht="15.6" x14ac:dyDescent="0.3">
      <c r="D1342" s="123"/>
      <c r="E1342" s="123"/>
      <c r="F1342" s="123"/>
      <c r="G1342" s="114"/>
      <c r="H1342" s="115"/>
    </row>
    <row r="1343" spans="4:8" ht="15.6" x14ac:dyDescent="0.3">
      <c r="D1343" s="123"/>
      <c r="E1343" s="123"/>
      <c r="F1343" s="123"/>
      <c r="G1343" s="114"/>
      <c r="H1343" s="115"/>
    </row>
    <row r="1344" spans="4:8" ht="15.6" x14ac:dyDescent="0.3">
      <c r="D1344" s="123"/>
      <c r="E1344" s="123"/>
      <c r="F1344" s="123"/>
      <c r="G1344" s="114"/>
      <c r="H1344" s="115"/>
    </row>
    <row r="1345" spans="4:8" ht="15.6" x14ac:dyDescent="0.3">
      <c r="D1345" s="123"/>
      <c r="E1345" s="123"/>
      <c r="F1345" s="123"/>
      <c r="G1345" s="114"/>
      <c r="H1345" s="115"/>
    </row>
    <row r="1346" spans="4:8" ht="15.6" x14ac:dyDescent="0.3">
      <c r="D1346" s="123"/>
      <c r="E1346" s="123"/>
      <c r="F1346" s="123"/>
      <c r="G1346" s="114"/>
      <c r="H1346" s="115"/>
    </row>
    <row r="1347" spans="4:8" ht="15.6" x14ac:dyDescent="0.3">
      <c r="D1347" s="123"/>
      <c r="E1347" s="123"/>
      <c r="F1347" s="123"/>
      <c r="G1347" s="114"/>
      <c r="H1347" s="115"/>
    </row>
    <row r="1348" spans="4:8" ht="15.6" x14ac:dyDescent="0.3">
      <c r="D1348" s="123"/>
      <c r="E1348" s="123"/>
      <c r="F1348" s="123"/>
      <c r="G1348" s="114"/>
      <c r="H1348" s="115"/>
    </row>
    <row r="1349" spans="4:8" ht="15.6" x14ac:dyDescent="0.3">
      <c r="D1349" s="123"/>
      <c r="E1349" s="123"/>
      <c r="F1349" s="123"/>
      <c r="G1349" s="114"/>
      <c r="H1349" s="115"/>
    </row>
    <row r="1350" spans="4:8" ht="15.6" x14ac:dyDescent="0.3">
      <c r="D1350" s="123"/>
      <c r="E1350" s="123"/>
      <c r="F1350" s="123"/>
      <c r="G1350" s="114"/>
      <c r="H1350" s="115"/>
    </row>
    <row r="1351" spans="4:8" ht="15.6" x14ac:dyDescent="0.3">
      <c r="D1351" s="123"/>
      <c r="E1351" s="123"/>
      <c r="F1351" s="123"/>
      <c r="G1351" s="114"/>
      <c r="H1351" s="115"/>
    </row>
    <row r="1352" spans="4:8" ht="15.6" x14ac:dyDescent="0.3">
      <c r="D1352" s="123"/>
      <c r="E1352" s="123"/>
      <c r="F1352" s="123"/>
      <c r="G1352" s="114"/>
      <c r="H1352" s="115"/>
    </row>
    <row r="1353" spans="4:8" ht="15.6" x14ac:dyDescent="0.3">
      <c r="D1353" s="123"/>
      <c r="E1353" s="123"/>
      <c r="F1353" s="123"/>
      <c r="G1353" s="114"/>
      <c r="H1353" s="115"/>
    </row>
    <row r="1354" spans="4:8" ht="15.6" x14ac:dyDescent="0.3">
      <c r="D1354" s="123"/>
      <c r="E1354" s="123"/>
      <c r="F1354" s="123"/>
      <c r="G1354" s="114"/>
      <c r="H1354" s="115"/>
    </row>
    <row r="1355" spans="4:8" ht="15.6" x14ac:dyDescent="0.3">
      <c r="D1355" s="123"/>
      <c r="E1355" s="123"/>
      <c r="F1355" s="123"/>
      <c r="G1355" s="114"/>
      <c r="H1355" s="115"/>
    </row>
    <row r="1356" spans="4:8" ht="15.6" x14ac:dyDescent="0.3">
      <c r="D1356" s="123"/>
      <c r="E1356" s="123"/>
      <c r="F1356" s="123"/>
      <c r="G1356" s="114"/>
      <c r="H1356" s="115"/>
    </row>
    <row r="1357" spans="4:8" ht="15.6" x14ac:dyDescent="0.3">
      <c r="D1357" s="123"/>
      <c r="E1357" s="123"/>
      <c r="F1357" s="123"/>
      <c r="G1357" s="114"/>
      <c r="H1357" s="115"/>
    </row>
    <row r="1358" spans="4:8" ht="15.6" x14ac:dyDescent="0.3">
      <c r="D1358" s="123"/>
      <c r="E1358" s="123"/>
      <c r="F1358" s="123"/>
      <c r="G1358" s="114"/>
      <c r="H1358" s="115"/>
    </row>
    <row r="1359" spans="4:8" ht="15.6" x14ac:dyDescent="0.3">
      <c r="D1359" s="123"/>
      <c r="E1359" s="123"/>
      <c r="F1359" s="123"/>
      <c r="G1359" s="114"/>
      <c r="H1359" s="115"/>
    </row>
    <row r="1360" spans="4:8" ht="15.6" x14ac:dyDescent="0.3">
      <c r="D1360" s="123"/>
      <c r="E1360" s="123"/>
      <c r="F1360" s="123"/>
      <c r="G1360" s="114"/>
      <c r="H1360" s="115"/>
    </row>
    <row r="1361" spans="4:8" ht="15.6" x14ac:dyDescent="0.3">
      <c r="D1361" s="123"/>
      <c r="E1361" s="123"/>
      <c r="F1361" s="123"/>
      <c r="G1361" s="114"/>
      <c r="H1361" s="115"/>
    </row>
    <row r="1362" spans="4:8" ht="15.6" x14ac:dyDescent="0.3">
      <c r="D1362" s="123"/>
      <c r="E1362" s="123"/>
      <c r="F1362" s="123"/>
      <c r="G1362" s="114"/>
      <c r="H1362" s="115"/>
    </row>
    <row r="1363" spans="4:8" ht="15.6" x14ac:dyDescent="0.3">
      <c r="D1363" s="123"/>
      <c r="E1363" s="123"/>
      <c r="F1363" s="123"/>
      <c r="G1363" s="114"/>
      <c r="H1363" s="115"/>
    </row>
    <row r="1364" spans="4:8" ht="15.6" x14ac:dyDescent="0.3">
      <c r="D1364" s="123"/>
      <c r="E1364" s="123"/>
      <c r="F1364" s="123"/>
      <c r="G1364" s="114"/>
      <c r="H1364" s="115"/>
    </row>
    <row r="1365" spans="4:8" ht="15.6" x14ac:dyDescent="0.3">
      <c r="D1365" s="123"/>
      <c r="E1365" s="123"/>
      <c r="F1365" s="123"/>
      <c r="G1365" s="114"/>
      <c r="H1365" s="115"/>
    </row>
    <row r="1366" spans="4:8" ht="15.6" x14ac:dyDescent="0.3">
      <c r="D1366" s="123"/>
      <c r="E1366" s="123"/>
      <c r="F1366" s="123"/>
      <c r="G1366" s="114"/>
      <c r="H1366" s="115"/>
    </row>
    <row r="1367" spans="4:8" ht="15.6" x14ac:dyDescent="0.3">
      <c r="D1367" s="123"/>
      <c r="E1367" s="123"/>
      <c r="F1367" s="123"/>
      <c r="G1367" s="114"/>
      <c r="H1367" s="115"/>
    </row>
    <row r="1368" spans="4:8" ht="15.6" x14ac:dyDescent="0.3">
      <c r="D1368" s="123"/>
      <c r="E1368" s="123"/>
      <c r="F1368" s="123"/>
      <c r="G1368" s="114"/>
      <c r="H1368" s="115"/>
    </row>
    <row r="1369" spans="4:8" ht="15.6" x14ac:dyDescent="0.3">
      <c r="D1369" s="123"/>
      <c r="E1369" s="123"/>
      <c r="F1369" s="123"/>
      <c r="G1369" s="114"/>
      <c r="H1369" s="115"/>
    </row>
    <row r="1370" spans="4:8" ht="15.6" x14ac:dyDescent="0.3">
      <c r="D1370" s="123"/>
      <c r="E1370" s="123"/>
      <c r="F1370" s="123"/>
      <c r="G1370" s="114"/>
      <c r="H1370" s="115"/>
    </row>
    <row r="1371" spans="4:8" ht="15.6" x14ac:dyDescent="0.3">
      <c r="D1371" s="123"/>
      <c r="E1371" s="123"/>
      <c r="F1371" s="123"/>
      <c r="G1371" s="114"/>
      <c r="H1371" s="115"/>
    </row>
    <row r="1372" spans="4:8" ht="15.6" x14ac:dyDescent="0.3">
      <c r="D1372" s="123"/>
      <c r="E1372" s="123"/>
      <c r="F1372" s="123"/>
      <c r="G1372" s="114"/>
      <c r="H1372" s="115"/>
    </row>
    <row r="1373" spans="4:8" ht="15.6" x14ac:dyDescent="0.3">
      <c r="D1373" s="123"/>
      <c r="E1373" s="123"/>
      <c r="F1373" s="123"/>
      <c r="G1373" s="114"/>
      <c r="H1373" s="115"/>
    </row>
    <row r="1374" spans="4:8" ht="15.6" x14ac:dyDescent="0.3">
      <c r="D1374" s="123"/>
      <c r="E1374" s="123"/>
      <c r="F1374" s="123"/>
      <c r="G1374" s="114"/>
      <c r="H1374" s="115"/>
    </row>
    <row r="1375" spans="4:8" ht="15.6" x14ac:dyDescent="0.3">
      <c r="D1375" s="123"/>
      <c r="E1375" s="123"/>
      <c r="F1375" s="123"/>
      <c r="G1375" s="114"/>
      <c r="H1375" s="115"/>
    </row>
    <row r="1376" spans="4:8" ht="15.6" x14ac:dyDescent="0.3">
      <c r="D1376" s="123"/>
      <c r="E1376" s="123"/>
      <c r="F1376" s="123"/>
      <c r="G1376" s="114"/>
      <c r="H1376" s="115"/>
    </row>
    <row r="1377" spans="4:8" ht="15.6" x14ac:dyDescent="0.3">
      <c r="D1377" s="123"/>
      <c r="E1377" s="123"/>
      <c r="F1377" s="123"/>
      <c r="G1377" s="114"/>
      <c r="H1377" s="115"/>
    </row>
    <row r="1378" spans="4:8" ht="15.6" x14ac:dyDescent="0.3">
      <c r="D1378" s="123"/>
      <c r="E1378" s="123"/>
      <c r="F1378" s="123"/>
      <c r="G1378" s="114"/>
      <c r="H1378" s="115"/>
    </row>
    <row r="1379" spans="4:8" ht="15.6" x14ac:dyDescent="0.3">
      <c r="D1379" s="123"/>
      <c r="E1379" s="123"/>
      <c r="F1379" s="123"/>
      <c r="G1379" s="114"/>
      <c r="H1379" s="115"/>
    </row>
    <row r="1380" spans="4:8" ht="15.6" x14ac:dyDescent="0.3">
      <c r="D1380" s="123"/>
      <c r="E1380" s="123"/>
      <c r="F1380" s="123"/>
      <c r="G1380" s="114"/>
      <c r="H1380" s="115"/>
    </row>
    <row r="1381" spans="4:8" ht="15.6" x14ac:dyDescent="0.3">
      <c r="D1381" s="123"/>
      <c r="E1381" s="123"/>
      <c r="F1381" s="123"/>
      <c r="G1381" s="114"/>
      <c r="H1381" s="115"/>
    </row>
    <row r="1382" spans="4:8" ht="15.6" x14ac:dyDescent="0.3">
      <c r="D1382" s="123"/>
      <c r="E1382" s="123"/>
      <c r="F1382" s="123"/>
      <c r="G1382" s="114"/>
      <c r="H1382" s="115"/>
    </row>
    <row r="1383" spans="4:8" ht="15.6" x14ac:dyDescent="0.3">
      <c r="D1383" s="123"/>
      <c r="E1383" s="123"/>
      <c r="F1383" s="123"/>
      <c r="G1383" s="114"/>
      <c r="H1383" s="115"/>
    </row>
    <row r="1384" spans="4:8" ht="15.6" x14ac:dyDescent="0.3">
      <c r="D1384" s="123"/>
      <c r="E1384" s="123"/>
      <c r="F1384" s="123"/>
      <c r="G1384" s="114"/>
      <c r="H1384" s="115"/>
    </row>
    <row r="1385" spans="4:8" ht="15.6" x14ac:dyDescent="0.3">
      <c r="D1385" s="123"/>
      <c r="E1385" s="123"/>
      <c r="F1385" s="123"/>
      <c r="G1385" s="114"/>
      <c r="H1385" s="115"/>
    </row>
    <row r="1386" spans="4:8" ht="15.6" x14ac:dyDescent="0.3">
      <c r="D1386" s="123"/>
      <c r="E1386" s="123"/>
      <c r="F1386" s="123"/>
      <c r="G1386" s="114"/>
      <c r="H1386" s="115"/>
    </row>
    <row r="1387" spans="4:8" ht="15.6" x14ac:dyDescent="0.3">
      <c r="D1387" s="123"/>
      <c r="E1387" s="123"/>
      <c r="F1387" s="123"/>
      <c r="G1387" s="114"/>
      <c r="H1387" s="115"/>
    </row>
    <row r="1388" spans="4:8" ht="15.6" x14ac:dyDescent="0.3">
      <c r="D1388" s="123"/>
      <c r="E1388" s="123"/>
      <c r="F1388" s="123"/>
      <c r="G1388" s="114"/>
      <c r="H1388" s="115"/>
    </row>
    <row r="1389" spans="4:8" ht="15.6" x14ac:dyDescent="0.3">
      <c r="D1389" s="123"/>
      <c r="E1389" s="123"/>
      <c r="F1389" s="123"/>
      <c r="G1389" s="114"/>
      <c r="H1389" s="115"/>
    </row>
    <row r="1390" spans="4:8" ht="15.6" x14ac:dyDescent="0.3">
      <c r="D1390" s="123"/>
      <c r="E1390" s="123"/>
      <c r="F1390" s="123"/>
      <c r="G1390" s="114"/>
      <c r="H1390" s="115"/>
    </row>
    <row r="1391" spans="4:8" ht="15.6" x14ac:dyDescent="0.3">
      <c r="D1391" s="123"/>
      <c r="E1391" s="123"/>
      <c r="F1391" s="123"/>
      <c r="G1391" s="114"/>
      <c r="H1391" s="115"/>
    </row>
    <row r="1392" spans="4:8" ht="15.6" x14ac:dyDescent="0.3">
      <c r="D1392" s="123"/>
      <c r="E1392" s="123"/>
      <c r="F1392" s="123"/>
      <c r="G1392" s="114"/>
      <c r="H1392" s="115"/>
    </row>
    <row r="1393" spans="4:8" ht="15.6" x14ac:dyDescent="0.3">
      <c r="D1393" s="123"/>
      <c r="E1393" s="123"/>
      <c r="F1393" s="123"/>
      <c r="G1393" s="114"/>
      <c r="H1393" s="115"/>
    </row>
    <row r="1394" spans="4:8" ht="15.6" x14ac:dyDescent="0.3">
      <c r="D1394" s="123"/>
      <c r="E1394" s="123"/>
      <c r="F1394" s="123"/>
      <c r="G1394" s="114"/>
      <c r="H1394" s="115"/>
    </row>
    <row r="1395" spans="4:8" ht="15.6" x14ac:dyDescent="0.3">
      <c r="D1395" s="123"/>
      <c r="E1395" s="123"/>
      <c r="F1395" s="123"/>
      <c r="G1395" s="114"/>
      <c r="H1395" s="115"/>
    </row>
    <row r="1396" spans="4:8" ht="15.6" x14ac:dyDescent="0.3">
      <c r="D1396" s="123"/>
      <c r="E1396" s="123"/>
      <c r="F1396" s="123"/>
      <c r="G1396" s="114"/>
      <c r="H1396" s="115"/>
    </row>
    <row r="1397" spans="4:8" ht="15.6" x14ac:dyDescent="0.3">
      <c r="D1397" s="123"/>
      <c r="E1397" s="123"/>
      <c r="F1397" s="123"/>
      <c r="G1397" s="114"/>
      <c r="H1397" s="115"/>
    </row>
    <row r="1398" spans="4:8" ht="15.6" x14ac:dyDescent="0.3">
      <c r="D1398" s="123"/>
      <c r="E1398" s="123"/>
      <c r="F1398" s="123"/>
      <c r="G1398" s="114"/>
      <c r="H1398" s="115"/>
    </row>
    <row r="1399" spans="4:8" ht="15.6" x14ac:dyDescent="0.3">
      <c r="D1399" s="123"/>
      <c r="E1399" s="123"/>
      <c r="F1399" s="123"/>
      <c r="G1399" s="114"/>
      <c r="H1399" s="115"/>
    </row>
    <row r="1400" spans="4:8" ht="15.6" x14ac:dyDescent="0.3">
      <c r="D1400" s="123"/>
      <c r="E1400" s="123"/>
      <c r="F1400" s="123"/>
      <c r="G1400" s="114"/>
      <c r="H1400" s="115"/>
    </row>
    <row r="1401" spans="4:8" ht="15.6" x14ac:dyDescent="0.3">
      <c r="D1401" s="123"/>
      <c r="E1401" s="123"/>
      <c r="F1401" s="123"/>
      <c r="G1401" s="114"/>
      <c r="H1401" s="115"/>
    </row>
    <row r="1402" spans="4:8" ht="15.6" x14ac:dyDescent="0.3">
      <c r="D1402" s="123"/>
      <c r="E1402" s="123"/>
      <c r="F1402" s="123"/>
      <c r="G1402" s="114"/>
      <c r="H1402" s="115"/>
    </row>
    <row r="1403" spans="4:8" ht="15.6" x14ac:dyDescent="0.3">
      <c r="D1403" s="123"/>
      <c r="E1403" s="123"/>
      <c r="F1403" s="123"/>
      <c r="G1403" s="114"/>
      <c r="H1403" s="115"/>
    </row>
    <row r="1404" spans="4:8" ht="15.6" x14ac:dyDescent="0.3">
      <c r="D1404" s="123"/>
      <c r="E1404" s="123"/>
      <c r="F1404" s="123"/>
      <c r="G1404" s="114"/>
      <c r="H1404" s="115"/>
    </row>
    <row r="1405" spans="4:8" ht="15.6" x14ac:dyDescent="0.3">
      <c r="D1405" s="123"/>
      <c r="E1405" s="123"/>
      <c r="F1405" s="123"/>
      <c r="G1405" s="114"/>
      <c r="H1405" s="115"/>
    </row>
    <row r="1406" spans="4:8" ht="15.6" x14ac:dyDescent="0.3">
      <c r="D1406" s="123"/>
      <c r="E1406" s="123"/>
      <c r="F1406" s="123"/>
      <c r="G1406" s="114"/>
      <c r="H1406" s="115"/>
    </row>
    <row r="1407" spans="4:8" ht="15.6" x14ac:dyDescent="0.3">
      <c r="D1407" s="123"/>
      <c r="E1407" s="123"/>
      <c r="F1407" s="123"/>
      <c r="G1407" s="114"/>
      <c r="H1407" s="115"/>
    </row>
    <row r="1408" spans="4:8" ht="15.6" x14ac:dyDescent="0.3">
      <c r="D1408" s="123"/>
      <c r="E1408" s="123"/>
      <c r="F1408" s="123"/>
      <c r="G1408" s="114"/>
      <c r="H1408" s="115"/>
    </row>
    <row r="1409" spans="4:8" ht="15.6" x14ac:dyDescent="0.3">
      <c r="D1409" s="123"/>
      <c r="E1409" s="123"/>
      <c r="F1409" s="123"/>
      <c r="G1409" s="114"/>
      <c r="H1409" s="115"/>
    </row>
    <row r="1410" spans="4:8" ht="15.6" x14ac:dyDescent="0.3">
      <c r="D1410" s="123"/>
      <c r="E1410" s="123"/>
      <c r="F1410" s="123"/>
      <c r="G1410" s="114"/>
      <c r="H1410" s="115"/>
    </row>
    <row r="1411" spans="4:8" ht="15.6" x14ac:dyDescent="0.3">
      <c r="D1411" s="123"/>
      <c r="E1411" s="123"/>
      <c r="F1411" s="123"/>
      <c r="G1411" s="114"/>
      <c r="H1411" s="115"/>
    </row>
    <row r="1412" spans="4:8" ht="15.6" x14ac:dyDescent="0.3">
      <c r="D1412" s="123"/>
      <c r="E1412" s="123"/>
      <c r="F1412" s="123"/>
      <c r="G1412" s="114"/>
      <c r="H1412" s="115"/>
    </row>
    <row r="1413" spans="4:8" ht="15.6" x14ac:dyDescent="0.3">
      <c r="D1413" s="123"/>
      <c r="E1413" s="123"/>
      <c r="F1413" s="123"/>
      <c r="G1413" s="114"/>
      <c r="H1413" s="115"/>
    </row>
    <row r="1414" spans="4:8" ht="15.6" x14ac:dyDescent="0.3">
      <c r="D1414" s="123"/>
      <c r="E1414" s="123"/>
      <c r="F1414" s="123"/>
      <c r="G1414" s="114"/>
      <c r="H1414" s="115"/>
    </row>
    <row r="1415" spans="4:8" ht="15.6" x14ac:dyDescent="0.3">
      <c r="D1415" s="123"/>
      <c r="E1415" s="123"/>
      <c r="F1415" s="123"/>
      <c r="G1415" s="114"/>
      <c r="H1415" s="115"/>
    </row>
    <row r="1416" spans="4:8" ht="15.6" x14ac:dyDescent="0.3">
      <c r="D1416" s="123"/>
      <c r="E1416" s="123"/>
      <c r="F1416" s="123"/>
      <c r="G1416" s="114"/>
      <c r="H1416" s="115"/>
    </row>
    <row r="1417" spans="4:8" ht="15.6" x14ac:dyDescent="0.3">
      <c r="D1417" s="123"/>
      <c r="E1417" s="123"/>
      <c r="F1417" s="123"/>
      <c r="G1417" s="114"/>
      <c r="H1417" s="115"/>
    </row>
    <row r="1418" spans="4:8" ht="15.6" x14ac:dyDescent="0.3">
      <c r="D1418" s="123"/>
      <c r="E1418" s="123"/>
      <c r="F1418" s="123"/>
      <c r="G1418" s="114"/>
      <c r="H1418" s="115"/>
    </row>
    <row r="1419" spans="4:8" ht="15.6" x14ac:dyDescent="0.3">
      <c r="D1419" s="123"/>
      <c r="E1419" s="123"/>
      <c r="F1419" s="123"/>
      <c r="G1419" s="114"/>
      <c r="H1419" s="115"/>
    </row>
    <row r="1420" spans="4:8" ht="15.6" x14ac:dyDescent="0.3">
      <c r="D1420" s="123"/>
      <c r="E1420" s="123"/>
      <c r="F1420" s="123"/>
      <c r="G1420" s="114"/>
      <c r="H1420" s="115"/>
    </row>
    <row r="1421" spans="4:8" ht="15.6" x14ac:dyDescent="0.3">
      <c r="D1421" s="123"/>
      <c r="E1421" s="123"/>
      <c r="F1421" s="123"/>
      <c r="G1421" s="114"/>
      <c r="H1421" s="115"/>
    </row>
    <row r="1422" spans="4:8" ht="15.6" x14ac:dyDescent="0.3">
      <c r="D1422" s="123"/>
      <c r="E1422" s="123"/>
      <c r="F1422" s="123"/>
      <c r="G1422" s="114"/>
      <c r="H1422" s="115"/>
    </row>
    <row r="1423" spans="4:8" ht="15.6" x14ac:dyDescent="0.3">
      <c r="D1423" s="123"/>
      <c r="E1423" s="123"/>
      <c r="F1423" s="123"/>
      <c r="G1423" s="114"/>
      <c r="H1423" s="115"/>
    </row>
    <row r="1424" spans="4:8" ht="15.6" x14ac:dyDescent="0.3">
      <c r="D1424" s="123"/>
      <c r="E1424" s="123"/>
      <c r="F1424" s="123"/>
      <c r="G1424" s="114"/>
      <c r="H1424" s="115"/>
    </row>
    <row r="1425" spans="4:8" ht="15.6" x14ac:dyDescent="0.3">
      <c r="D1425" s="123"/>
      <c r="E1425" s="123"/>
      <c r="F1425" s="123"/>
      <c r="G1425" s="114"/>
      <c r="H1425" s="115"/>
    </row>
    <row r="1426" spans="4:8" ht="15.6" x14ac:dyDescent="0.3">
      <c r="D1426" s="123"/>
      <c r="E1426" s="123"/>
      <c r="F1426" s="123"/>
      <c r="G1426" s="114"/>
      <c r="H1426" s="115"/>
    </row>
    <row r="1427" spans="4:8" ht="15.6" x14ac:dyDescent="0.3">
      <c r="D1427" s="123"/>
      <c r="E1427" s="123"/>
      <c r="F1427" s="123"/>
      <c r="G1427" s="114"/>
      <c r="H1427" s="115"/>
    </row>
    <row r="1428" spans="4:8" ht="15.6" x14ac:dyDescent="0.3">
      <c r="D1428" s="123"/>
      <c r="E1428" s="123"/>
      <c r="F1428" s="123"/>
      <c r="G1428" s="114"/>
      <c r="H1428" s="115"/>
    </row>
    <row r="1429" spans="4:8" ht="15.6" x14ac:dyDescent="0.3">
      <c r="D1429" s="123"/>
      <c r="E1429" s="123"/>
      <c r="F1429" s="123"/>
      <c r="G1429" s="114"/>
      <c r="H1429" s="115"/>
    </row>
    <row r="1430" spans="4:8" ht="15.6" x14ac:dyDescent="0.3">
      <c r="D1430" s="123"/>
      <c r="E1430" s="123"/>
      <c r="F1430" s="123"/>
      <c r="G1430" s="114"/>
      <c r="H1430" s="115"/>
    </row>
    <row r="1431" spans="4:8" ht="15.6" x14ac:dyDescent="0.3">
      <c r="D1431" s="123"/>
      <c r="E1431" s="123"/>
      <c r="F1431" s="123"/>
      <c r="G1431" s="114"/>
      <c r="H1431" s="115"/>
    </row>
    <row r="1432" spans="4:8" ht="15.6" x14ac:dyDescent="0.3">
      <c r="D1432" s="123"/>
      <c r="E1432" s="123"/>
      <c r="F1432" s="123"/>
      <c r="G1432" s="114"/>
      <c r="H1432" s="115"/>
    </row>
    <row r="1433" spans="4:8" ht="15.6" x14ac:dyDescent="0.3">
      <c r="D1433" s="123"/>
      <c r="E1433" s="123"/>
      <c r="F1433" s="123"/>
      <c r="G1433" s="114"/>
      <c r="H1433" s="115"/>
    </row>
    <row r="1434" spans="4:8" ht="15.6" x14ac:dyDescent="0.3">
      <c r="D1434" s="123"/>
      <c r="E1434" s="123"/>
      <c r="F1434" s="123"/>
      <c r="G1434" s="114"/>
      <c r="H1434" s="115"/>
    </row>
    <row r="1435" spans="4:8" ht="15.6" x14ac:dyDescent="0.3">
      <c r="D1435" s="123"/>
      <c r="E1435" s="123"/>
      <c r="F1435" s="123"/>
      <c r="G1435" s="114"/>
      <c r="H1435" s="115"/>
    </row>
    <row r="1436" spans="4:8" ht="15.6" x14ac:dyDescent="0.3">
      <c r="D1436" s="123"/>
      <c r="E1436" s="123"/>
      <c r="F1436" s="123"/>
      <c r="G1436" s="114"/>
      <c r="H1436" s="115"/>
    </row>
    <row r="1437" spans="4:8" ht="15.6" x14ac:dyDescent="0.3">
      <c r="D1437" s="123"/>
      <c r="E1437" s="123"/>
      <c r="F1437" s="123"/>
      <c r="G1437" s="114"/>
      <c r="H1437" s="115"/>
    </row>
    <row r="1438" spans="4:8" ht="15.6" x14ac:dyDescent="0.3">
      <c r="D1438" s="123"/>
      <c r="E1438" s="123"/>
      <c r="F1438" s="123"/>
      <c r="G1438" s="114"/>
      <c r="H1438" s="115"/>
    </row>
    <row r="1439" spans="4:8" ht="15.6" x14ac:dyDescent="0.3">
      <c r="D1439" s="123"/>
      <c r="E1439" s="123"/>
      <c r="F1439" s="123"/>
      <c r="G1439" s="114"/>
      <c r="H1439" s="115"/>
    </row>
    <row r="1440" spans="4:8" ht="15.6" x14ac:dyDescent="0.3">
      <c r="D1440" s="123"/>
      <c r="E1440" s="123"/>
      <c r="F1440" s="123"/>
      <c r="G1440" s="114"/>
      <c r="H1440" s="115"/>
    </row>
    <row r="1441" spans="4:8" ht="15.6" x14ac:dyDescent="0.3">
      <c r="D1441" s="123"/>
      <c r="E1441" s="123"/>
      <c r="F1441" s="123"/>
      <c r="G1441" s="114"/>
      <c r="H1441" s="115"/>
    </row>
    <row r="1442" spans="4:8" ht="15.6" x14ac:dyDescent="0.3">
      <c r="D1442" s="123"/>
      <c r="E1442" s="123"/>
      <c r="F1442" s="123"/>
      <c r="G1442" s="114"/>
      <c r="H1442" s="115"/>
    </row>
    <row r="1443" spans="4:8" ht="15.6" x14ac:dyDescent="0.3">
      <c r="D1443" s="123"/>
      <c r="E1443" s="123"/>
      <c r="F1443" s="123"/>
      <c r="G1443" s="114"/>
      <c r="H1443" s="115"/>
    </row>
    <row r="1444" spans="4:8" ht="15.6" x14ac:dyDescent="0.3">
      <c r="D1444" s="123"/>
      <c r="E1444" s="123"/>
      <c r="F1444" s="123"/>
      <c r="G1444" s="114"/>
      <c r="H1444" s="115"/>
    </row>
    <row r="1445" spans="4:8" ht="15.6" x14ac:dyDescent="0.3">
      <c r="D1445" s="123"/>
      <c r="E1445" s="123"/>
      <c r="F1445" s="123"/>
      <c r="G1445" s="114"/>
      <c r="H1445" s="115"/>
    </row>
    <row r="1446" spans="4:8" ht="15.6" x14ac:dyDescent="0.3">
      <c r="D1446" s="123"/>
      <c r="E1446" s="123"/>
      <c r="F1446" s="123"/>
      <c r="G1446" s="114"/>
      <c r="H1446" s="115"/>
    </row>
    <row r="1447" spans="4:8" ht="15.6" x14ac:dyDescent="0.3">
      <c r="D1447" s="123"/>
      <c r="E1447" s="123"/>
      <c r="F1447" s="123"/>
      <c r="G1447" s="114"/>
      <c r="H1447" s="115"/>
    </row>
    <row r="1448" spans="4:8" ht="15.6" x14ac:dyDescent="0.3">
      <c r="D1448" s="123"/>
      <c r="E1448" s="123"/>
      <c r="F1448" s="123"/>
      <c r="G1448" s="114"/>
      <c r="H1448" s="115"/>
    </row>
    <row r="1449" spans="4:8" ht="15.6" x14ac:dyDescent="0.3">
      <c r="D1449" s="123"/>
      <c r="E1449" s="123"/>
      <c r="F1449" s="123"/>
      <c r="G1449" s="114"/>
      <c r="H1449" s="115"/>
    </row>
    <row r="1450" spans="4:8" ht="15.6" x14ac:dyDescent="0.3">
      <c r="D1450" s="123"/>
      <c r="E1450" s="123"/>
      <c r="F1450" s="123"/>
      <c r="G1450" s="114"/>
      <c r="H1450" s="115"/>
    </row>
    <row r="1451" spans="4:8" ht="15.6" x14ac:dyDescent="0.3">
      <c r="D1451" s="123"/>
      <c r="E1451" s="123"/>
      <c r="F1451" s="123"/>
      <c r="G1451" s="114"/>
      <c r="H1451" s="115"/>
    </row>
    <row r="1452" spans="4:8" ht="15.6" x14ac:dyDescent="0.3">
      <c r="D1452" s="123"/>
      <c r="E1452" s="123"/>
      <c r="F1452" s="123"/>
      <c r="G1452" s="114"/>
      <c r="H1452" s="115"/>
    </row>
    <row r="1453" spans="4:8" ht="15.6" x14ac:dyDescent="0.3">
      <c r="D1453" s="123"/>
      <c r="E1453" s="123"/>
      <c r="F1453" s="123"/>
      <c r="G1453" s="114"/>
      <c r="H1453" s="115"/>
    </row>
    <row r="1454" spans="4:8" ht="15.6" x14ac:dyDescent="0.3">
      <c r="D1454" s="123"/>
      <c r="E1454" s="123"/>
      <c r="F1454" s="123"/>
      <c r="G1454" s="114"/>
      <c r="H1454" s="115"/>
    </row>
    <row r="1455" spans="4:8" ht="15.6" x14ac:dyDescent="0.3">
      <c r="D1455" s="123"/>
      <c r="E1455" s="123"/>
      <c r="F1455" s="123"/>
      <c r="G1455" s="114"/>
      <c r="H1455" s="115"/>
    </row>
    <row r="1456" spans="4:8" ht="15.6" x14ac:dyDescent="0.3">
      <c r="D1456" s="123"/>
      <c r="E1456" s="123"/>
      <c r="F1456" s="123"/>
      <c r="G1456" s="114"/>
      <c r="H1456" s="115"/>
    </row>
    <row r="1457" spans="4:8" ht="15.6" x14ac:dyDescent="0.3">
      <c r="D1457" s="123"/>
      <c r="E1457" s="123"/>
      <c r="F1457" s="123"/>
      <c r="G1457" s="114"/>
      <c r="H1457" s="115"/>
    </row>
    <row r="1458" spans="4:8" ht="15.6" x14ac:dyDescent="0.3">
      <c r="D1458" s="123"/>
      <c r="E1458" s="123"/>
      <c r="F1458" s="123"/>
      <c r="G1458" s="114"/>
      <c r="H1458" s="115"/>
    </row>
    <row r="1459" spans="4:8" ht="15.6" x14ac:dyDescent="0.3">
      <c r="D1459" s="123"/>
      <c r="E1459" s="123"/>
      <c r="F1459" s="123"/>
      <c r="G1459" s="114"/>
      <c r="H1459" s="115"/>
    </row>
    <row r="1460" spans="4:8" ht="15.6" x14ac:dyDescent="0.3">
      <c r="D1460" s="123"/>
      <c r="E1460" s="123"/>
      <c r="F1460" s="123"/>
      <c r="G1460" s="114"/>
      <c r="H1460" s="115"/>
    </row>
    <row r="1461" spans="4:8" ht="15.6" x14ac:dyDescent="0.3">
      <c r="D1461" s="123"/>
      <c r="E1461" s="123"/>
      <c r="F1461" s="123"/>
      <c r="G1461" s="114"/>
      <c r="H1461" s="115"/>
    </row>
    <row r="1462" spans="4:8" ht="15.6" x14ac:dyDescent="0.3">
      <c r="D1462" s="123"/>
      <c r="E1462" s="123"/>
      <c r="F1462" s="123"/>
      <c r="G1462" s="114"/>
      <c r="H1462" s="115"/>
    </row>
    <row r="1463" spans="4:8" ht="15.6" x14ac:dyDescent="0.3">
      <c r="D1463" s="123"/>
      <c r="E1463" s="123"/>
      <c r="F1463" s="123"/>
      <c r="G1463" s="114"/>
      <c r="H1463" s="115"/>
    </row>
    <row r="1464" spans="4:8" ht="15.6" x14ac:dyDescent="0.3">
      <c r="D1464" s="123"/>
      <c r="E1464" s="123"/>
      <c r="F1464" s="123"/>
      <c r="G1464" s="114"/>
      <c r="H1464" s="115"/>
    </row>
    <row r="1465" spans="4:8" ht="15.6" x14ac:dyDescent="0.3">
      <c r="D1465" s="123"/>
      <c r="E1465" s="123"/>
      <c r="F1465" s="123"/>
      <c r="G1465" s="114"/>
      <c r="H1465" s="115"/>
    </row>
    <row r="1466" spans="4:8" ht="15.6" x14ac:dyDescent="0.3">
      <c r="D1466" s="123"/>
      <c r="E1466" s="123"/>
      <c r="F1466" s="123"/>
      <c r="G1466" s="114"/>
      <c r="H1466" s="115"/>
    </row>
    <row r="1467" spans="4:8" ht="15.6" x14ac:dyDescent="0.3">
      <c r="D1467" s="123"/>
      <c r="E1467" s="123"/>
      <c r="F1467" s="123"/>
      <c r="G1467" s="114"/>
      <c r="H1467" s="115"/>
    </row>
    <row r="1468" spans="4:8" ht="15.6" x14ac:dyDescent="0.3">
      <c r="D1468" s="123"/>
      <c r="E1468" s="123"/>
      <c r="F1468" s="123"/>
      <c r="G1468" s="114"/>
      <c r="H1468" s="115"/>
    </row>
    <row r="1469" spans="4:8" ht="15.6" x14ac:dyDescent="0.3">
      <c r="D1469" s="123"/>
      <c r="E1469" s="123"/>
      <c r="F1469" s="123"/>
      <c r="G1469" s="114"/>
      <c r="H1469" s="115"/>
    </row>
    <row r="1470" spans="4:8" ht="15.6" x14ac:dyDescent="0.3">
      <c r="D1470" s="123"/>
      <c r="E1470" s="123"/>
      <c r="F1470" s="123"/>
      <c r="G1470" s="114"/>
      <c r="H1470" s="115"/>
    </row>
    <row r="1471" spans="4:8" ht="15.6" x14ac:dyDescent="0.3">
      <c r="D1471" s="123"/>
      <c r="E1471" s="123"/>
      <c r="F1471" s="123"/>
      <c r="G1471" s="114"/>
      <c r="H1471" s="115"/>
    </row>
    <row r="1472" spans="4:8" ht="15.6" x14ac:dyDescent="0.3">
      <c r="D1472" s="123"/>
      <c r="E1472" s="123"/>
      <c r="F1472" s="123"/>
      <c r="G1472" s="114"/>
      <c r="H1472" s="115"/>
    </row>
    <row r="1473" spans="4:8" ht="15.6" x14ac:dyDescent="0.3">
      <c r="D1473" s="123"/>
      <c r="E1473" s="123"/>
      <c r="F1473" s="123"/>
      <c r="G1473" s="114"/>
      <c r="H1473" s="115"/>
    </row>
    <row r="1474" spans="4:8" ht="15.6" x14ac:dyDescent="0.3">
      <c r="D1474" s="123"/>
      <c r="E1474" s="123"/>
      <c r="F1474" s="123"/>
      <c r="G1474" s="114"/>
      <c r="H1474" s="115"/>
    </row>
    <row r="1475" spans="4:8" ht="15.6" x14ac:dyDescent="0.3">
      <c r="D1475" s="123"/>
      <c r="E1475" s="123"/>
      <c r="F1475" s="123"/>
      <c r="G1475" s="114"/>
      <c r="H1475" s="115"/>
    </row>
    <row r="1476" spans="4:8" ht="15.6" x14ac:dyDescent="0.3">
      <c r="D1476" s="123"/>
      <c r="E1476" s="123"/>
      <c r="F1476" s="123"/>
      <c r="G1476" s="114"/>
      <c r="H1476" s="115"/>
    </row>
    <row r="1477" spans="4:8" ht="15.6" x14ac:dyDescent="0.3">
      <c r="D1477" s="123"/>
      <c r="E1477" s="123"/>
      <c r="F1477" s="123"/>
      <c r="G1477" s="114"/>
      <c r="H1477" s="115"/>
    </row>
    <row r="1478" spans="4:8" ht="15.6" x14ac:dyDescent="0.3">
      <c r="D1478" s="123"/>
      <c r="E1478" s="123"/>
      <c r="F1478" s="123"/>
      <c r="G1478" s="114"/>
      <c r="H1478" s="115"/>
    </row>
    <row r="1479" spans="4:8" ht="15.6" x14ac:dyDescent="0.3">
      <c r="D1479" s="123"/>
      <c r="E1479" s="123"/>
      <c r="F1479" s="123"/>
      <c r="G1479" s="114"/>
      <c r="H1479" s="115"/>
    </row>
    <row r="1480" spans="4:8" ht="15.6" x14ac:dyDescent="0.3">
      <c r="D1480" s="123"/>
      <c r="E1480" s="123"/>
      <c r="F1480" s="123"/>
      <c r="G1480" s="114"/>
      <c r="H1480" s="115"/>
    </row>
    <row r="1481" spans="4:8" ht="15.6" x14ac:dyDescent="0.3">
      <c r="D1481" s="123"/>
      <c r="E1481" s="123"/>
      <c r="F1481" s="123"/>
      <c r="G1481" s="114"/>
      <c r="H1481" s="115"/>
    </row>
    <row r="1482" spans="4:8" ht="15.6" x14ac:dyDescent="0.3">
      <c r="D1482" s="123"/>
      <c r="E1482" s="123"/>
      <c r="F1482" s="123"/>
      <c r="G1482" s="114"/>
      <c r="H1482" s="115"/>
    </row>
    <row r="1483" spans="4:8" ht="15.6" x14ac:dyDescent="0.3">
      <c r="D1483" s="123"/>
      <c r="E1483" s="123"/>
      <c r="F1483" s="123"/>
      <c r="G1483" s="114"/>
      <c r="H1483" s="115"/>
    </row>
    <row r="1484" spans="4:8" ht="15.6" x14ac:dyDescent="0.3">
      <c r="D1484" s="123"/>
      <c r="E1484" s="123"/>
      <c r="F1484" s="123"/>
      <c r="G1484" s="114"/>
      <c r="H1484" s="115"/>
    </row>
    <row r="1485" spans="4:8" ht="15.6" x14ac:dyDescent="0.3">
      <c r="D1485" s="123"/>
      <c r="E1485" s="123"/>
      <c r="F1485" s="123"/>
      <c r="G1485" s="114"/>
      <c r="H1485" s="115"/>
    </row>
    <row r="1486" spans="4:8" ht="15.6" x14ac:dyDescent="0.3">
      <c r="D1486" s="123"/>
      <c r="E1486" s="123"/>
      <c r="F1486" s="123"/>
      <c r="G1486" s="114"/>
      <c r="H1486" s="115"/>
    </row>
    <row r="1487" spans="4:8" ht="15.6" x14ac:dyDescent="0.3">
      <c r="D1487" s="123"/>
      <c r="E1487" s="123"/>
      <c r="F1487" s="123"/>
      <c r="G1487" s="114"/>
      <c r="H1487" s="115"/>
    </row>
    <row r="1488" spans="4:8" ht="15.6" x14ac:dyDescent="0.3">
      <c r="D1488" s="123"/>
      <c r="E1488" s="123"/>
      <c r="F1488" s="123"/>
      <c r="G1488" s="114"/>
      <c r="H1488" s="115"/>
    </row>
    <row r="1489" spans="4:8" ht="15.6" x14ac:dyDescent="0.3">
      <c r="D1489" s="123"/>
      <c r="E1489" s="123"/>
      <c r="F1489" s="123"/>
      <c r="G1489" s="114"/>
      <c r="H1489" s="115"/>
    </row>
    <row r="1490" spans="4:8" ht="15.6" x14ac:dyDescent="0.3">
      <c r="D1490" s="123"/>
      <c r="E1490" s="123"/>
      <c r="F1490" s="123"/>
      <c r="G1490" s="114"/>
      <c r="H1490" s="115"/>
    </row>
    <row r="1491" spans="4:8" ht="15.6" x14ac:dyDescent="0.3">
      <c r="D1491" s="123"/>
      <c r="E1491" s="123"/>
      <c r="F1491" s="123"/>
      <c r="G1491" s="114"/>
      <c r="H1491" s="115"/>
    </row>
    <row r="1492" spans="4:8" ht="15.6" x14ac:dyDescent="0.3">
      <c r="D1492" s="123"/>
      <c r="E1492" s="123"/>
      <c r="F1492" s="123"/>
      <c r="G1492" s="114"/>
      <c r="H1492" s="115"/>
    </row>
    <row r="1493" spans="4:8" ht="15.6" x14ac:dyDescent="0.3">
      <c r="D1493" s="123"/>
      <c r="E1493" s="123"/>
      <c r="F1493" s="123"/>
      <c r="G1493" s="114"/>
      <c r="H1493" s="115"/>
    </row>
    <row r="1494" spans="4:8" ht="15.6" x14ac:dyDescent="0.3">
      <c r="D1494" s="123"/>
      <c r="E1494" s="123"/>
      <c r="F1494" s="123"/>
      <c r="G1494" s="114"/>
      <c r="H1494" s="115"/>
    </row>
    <row r="1495" spans="4:8" ht="15.6" x14ac:dyDescent="0.3">
      <c r="D1495" s="123"/>
      <c r="E1495" s="123"/>
      <c r="F1495" s="123"/>
      <c r="G1495" s="114"/>
      <c r="H1495" s="115"/>
    </row>
    <row r="1496" spans="4:8" ht="15.6" x14ac:dyDescent="0.3">
      <c r="D1496" s="123"/>
      <c r="E1496" s="123"/>
      <c r="F1496" s="123"/>
      <c r="G1496" s="114"/>
      <c r="H1496" s="115"/>
    </row>
    <row r="1497" spans="4:8" ht="15.6" x14ac:dyDescent="0.3">
      <c r="D1497" s="123"/>
      <c r="E1497" s="123"/>
      <c r="F1497" s="123"/>
      <c r="G1497" s="114"/>
      <c r="H1497" s="115"/>
    </row>
    <row r="1498" spans="4:8" ht="15.6" x14ac:dyDescent="0.3">
      <c r="D1498" s="123"/>
      <c r="E1498" s="123"/>
      <c r="F1498" s="123"/>
      <c r="G1498" s="114"/>
      <c r="H1498" s="115"/>
    </row>
    <row r="1499" spans="4:8" ht="15.6" x14ac:dyDescent="0.3">
      <c r="D1499" s="123"/>
      <c r="E1499" s="123"/>
      <c r="F1499" s="123"/>
      <c r="G1499" s="114"/>
      <c r="H1499" s="115"/>
    </row>
    <row r="1500" spans="4:8" ht="15.6" x14ac:dyDescent="0.3">
      <c r="D1500" s="123"/>
      <c r="E1500" s="123"/>
      <c r="F1500" s="123"/>
      <c r="G1500" s="114"/>
      <c r="H1500" s="115"/>
    </row>
    <row r="1501" spans="4:8" ht="15.6" x14ac:dyDescent="0.3">
      <c r="D1501" s="123"/>
      <c r="E1501" s="123"/>
      <c r="F1501" s="123"/>
      <c r="G1501" s="114"/>
      <c r="H1501" s="115"/>
    </row>
    <row r="1502" spans="4:8" ht="15.6" x14ac:dyDescent="0.3">
      <c r="D1502" s="123"/>
      <c r="E1502" s="123"/>
      <c r="F1502" s="123"/>
      <c r="G1502" s="114"/>
      <c r="H1502" s="115"/>
    </row>
    <row r="1503" spans="4:8" ht="15.6" x14ac:dyDescent="0.3">
      <c r="D1503" s="123"/>
      <c r="E1503" s="123"/>
      <c r="F1503" s="123"/>
      <c r="G1503" s="114"/>
      <c r="H1503" s="115"/>
    </row>
    <row r="1504" spans="4:8" ht="15.6" x14ac:dyDescent="0.3">
      <c r="D1504" s="123"/>
      <c r="E1504" s="123"/>
      <c r="F1504" s="123"/>
      <c r="G1504" s="114"/>
      <c r="H1504" s="115"/>
    </row>
    <row r="1505" spans="4:8" ht="15.6" x14ac:dyDescent="0.3">
      <c r="D1505" s="123"/>
      <c r="E1505" s="123"/>
      <c r="F1505" s="123"/>
      <c r="G1505" s="114"/>
      <c r="H1505" s="115"/>
    </row>
    <row r="1506" spans="4:8" ht="15.6" x14ac:dyDescent="0.3">
      <c r="D1506" s="123"/>
      <c r="E1506" s="123"/>
      <c r="F1506" s="123"/>
      <c r="G1506" s="114"/>
      <c r="H1506" s="115"/>
    </row>
    <row r="1507" spans="4:8" ht="15.6" x14ac:dyDescent="0.3">
      <c r="D1507" s="123"/>
      <c r="E1507" s="123"/>
      <c r="F1507" s="123"/>
      <c r="G1507" s="114"/>
      <c r="H1507" s="115"/>
    </row>
    <row r="1508" spans="4:8" ht="15.6" x14ac:dyDescent="0.3">
      <c r="D1508" s="123"/>
      <c r="E1508" s="123"/>
      <c r="F1508" s="123"/>
      <c r="G1508" s="114"/>
      <c r="H1508" s="115"/>
    </row>
    <row r="1509" spans="4:8" ht="15.6" x14ac:dyDescent="0.3">
      <c r="D1509" s="123"/>
      <c r="E1509" s="123"/>
      <c r="F1509" s="123"/>
      <c r="G1509" s="114"/>
      <c r="H1509" s="115"/>
    </row>
    <row r="1510" spans="4:8" ht="15.6" x14ac:dyDescent="0.3">
      <c r="D1510" s="123"/>
      <c r="E1510" s="123"/>
      <c r="F1510" s="123"/>
      <c r="G1510" s="114"/>
      <c r="H1510" s="115"/>
    </row>
    <row r="1511" spans="4:8" ht="15.6" x14ac:dyDescent="0.3">
      <c r="D1511" s="123"/>
      <c r="E1511" s="123"/>
      <c r="F1511" s="123"/>
      <c r="G1511" s="114"/>
      <c r="H1511" s="115"/>
    </row>
    <row r="1512" spans="4:8" ht="15.6" x14ac:dyDescent="0.3">
      <c r="D1512" s="123"/>
      <c r="E1512" s="123"/>
      <c r="F1512" s="123"/>
      <c r="G1512" s="114"/>
      <c r="H1512" s="115"/>
    </row>
    <row r="1513" spans="4:8" ht="15.6" x14ac:dyDescent="0.3">
      <c r="D1513" s="123"/>
      <c r="E1513" s="123"/>
      <c r="F1513" s="123"/>
      <c r="G1513" s="114"/>
      <c r="H1513" s="115"/>
    </row>
    <row r="1514" spans="4:8" ht="15.6" x14ac:dyDescent="0.3">
      <c r="D1514" s="123"/>
      <c r="E1514" s="123"/>
      <c r="F1514" s="123"/>
      <c r="G1514" s="114"/>
      <c r="H1514" s="115"/>
    </row>
    <row r="1515" spans="4:8" ht="15.6" x14ac:dyDescent="0.3">
      <c r="D1515" s="123"/>
      <c r="E1515" s="123"/>
      <c r="F1515" s="123"/>
      <c r="G1515" s="114"/>
      <c r="H1515" s="115"/>
    </row>
    <row r="1516" spans="4:8" ht="15.6" x14ac:dyDescent="0.3">
      <c r="D1516" s="123"/>
      <c r="E1516" s="123"/>
      <c r="F1516" s="123"/>
      <c r="G1516" s="114"/>
      <c r="H1516" s="115"/>
    </row>
    <row r="1517" spans="4:8" ht="15.6" x14ac:dyDescent="0.3">
      <c r="D1517" s="123"/>
      <c r="E1517" s="123"/>
      <c r="F1517" s="123"/>
      <c r="G1517" s="114"/>
      <c r="H1517" s="115"/>
    </row>
    <row r="1518" spans="4:8" ht="15.6" x14ac:dyDescent="0.3">
      <c r="D1518" s="123"/>
      <c r="E1518" s="123"/>
      <c r="F1518" s="123"/>
      <c r="G1518" s="114"/>
      <c r="H1518" s="115"/>
    </row>
    <row r="1519" spans="4:8" ht="15.6" x14ac:dyDescent="0.3">
      <c r="D1519" s="123"/>
      <c r="E1519" s="123"/>
      <c r="F1519" s="123"/>
      <c r="G1519" s="114"/>
      <c r="H1519" s="115"/>
    </row>
    <row r="1520" spans="4:8" ht="15.6" x14ac:dyDescent="0.3">
      <c r="D1520" s="123"/>
      <c r="E1520" s="123"/>
      <c r="F1520" s="123"/>
      <c r="G1520" s="114"/>
      <c r="H1520" s="115"/>
    </row>
    <row r="1521" spans="4:8" ht="15.6" x14ac:dyDescent="0.3">
      <c r="D1521" s="123"/>
      <c r="E1521" s="123"/>
      <c r="F1521" s="123"/>
      <c r="G1521" s="114"/>
      <c r="H1521" s="115"/>
    </row>
    <row r="1522" spans="4:8" ht="15.6" x14ac:dyDescent="0.3">
      <c r="D1522" s="123"/>
      <c r="E1522" s="123"/>
      <c r="F1522" s="123"/>
      <c r="G1522" s="114"/>
      <c r="H1522" s="115"/>
    </row>
    <row r="1523" spans="4:8" ht="15.6" x14ac:dyDescent="0.3">
      <c r="D1523" s="123"/>
      <c r="E1523" s="123"/>
      <c r="F1523" s="123"/>
      <c r="G1523" s="114"/>
      <c r="H1523" s="115"/>
    </row>
    <row r="1524" spans="4:8" ht="15.6" x14ac:dyDescent="0.3">
      <c r="D1524" s="123"/>
      <c r="E1524" s="123"/>
      <c r="F1524" s="123"/>
      <c r="G1524" s="114"/>
      <c r="H1524" s="115"/>
    </row>
    <row r="1525" spans="4:8" ht="15.6" x14ac:dyDescent="0.3">
      <c r="D1525" s="123"/>
      <c r="E1525" s="123"/>
      <c r="F1525" s="123"/>
      <c r="G1525" s="114"/>
      <c r="H1525" s="115"/>
    </row>
    <row r="1526" spans="4:8" ht="15.6" x14ac:dyDescent="0.3">
      <c r="D1526" s="123"/>
      <c r="E1526" s="123"/>
      <c r="F1526" s="123"/>
      <c r="G1526" s="114"/>
      <c r="H1526" s="115"/>
    </row>
    <row r="1527" spans="4:8" ht="15.6" x14ac:dyDescent="0.3">
      <c r="D1527" s="123"/>
      <c r="E1527" s="123"/>
      <c r="F1527" s="123"/>
      <c r="G1527" s="114"/>
      <c r="H1527" s="115"/>
    </row>
    <row r="1528" spans="4:8" ht="15.6" x14ac:dyDescent="0.3">
      <c r="D1528" s="123"/>
      <c r="E1528" s="123"/>
      <c r="F1528" s="123"/>
      <c r="G1528" s="114"/>
      <c r="H1528" s="115"/>
    </row>
    <row r="1529" spans="4:8" ht="15.6" x14ac:dyDescent="0.3">
      <c r="D1529" s="123"/>
      <c r="E1529" s="123"/>
      <c r="F1529" s="123"/>
      <c r="G1529" s="114"/>
      <c r="H1529" s="115"/>
    </row>
    <row r="1530" spans="4:8" ht="15.6" x14ac:dyDescent="0.3">
      <c r="D1530" s="123"/>
      <c r="E1530" s="123"/>
      <c r="F1530" s="123"/>
      <c r="G1530" s="114"/>
      <c r="H1530" s="115"/>
    </row>
    <row r="1531" spans="4:8" ht="15.6" x14ac:dyDescent="0.3">
      <c r="D1531" s="123"/>
      <c r="E1531" s="123"/>
      <c r="F1531" s="123"/>
      <c r="G1531" s="114"/>
      <c r="H1531" s="115"/>
    </row>
    <row r="1532" spans="4:8" ht="15.6" x14ac:dyDescent="0.3">
      <c r="D1532" s="123"/>
      <c r="E1532" s="123"/>
      <c r="F1532" s="123"/>
      <c r="G1532" s="114"/>
      <c r="H1532" s="115"/>
    </row>
    <row r="1533" spans="4:8" ht="15.6" x14ac:dyDescent="0.3">
      <c r="D1533" s="123"/>
      <c r="E1533" s="123"/>
      <c r="F1533" s="123"/>
      <c r="G1533" s="114"/>
      <c r="H1533" s="115"/>
    </row>
    <row r="1534" spans="4:8" ht="15.6" x14ac:dyDescent="0.3">
      <c r="D1534" s="123"/>
      <c r="E1534" s="123"/>
      <c r="F1534" s="123"/>
      <c r="G1534" s="114"/>
      <c r="H1534" s="115"/>
    </row>
    <row r="1535" spans="4:8" ht="15.6" x14ac:dyDescent="0.3">
      <c r="D1535" s="123"/>
      <c r="E1535" s="123"/>
      <c r="F1535" s="123"/>
      <c r="G1535" s="114"/>
      <c r="H1535" s="115"/>
    </row>
    <row r="1536" spans="4:8" ht="15.6" x14ac:dyDescent="0.3">
      <c r="D1536" s="123"/>
      <c r="E1536" s="123"/>
      <c r="F1536" s="123"/>
      <c r="G1536" s="114"/>
      <c r="H1536" s="115"/>
    </row>
    <row r="1537" spans="4:8" ht="15.6" x14ac:dyDescent="0.3">
      <c r="D1537" s="123"/>
      <c r="E1537" s="123"/>
      <c r="F1537" s="123"/>
      <c r="G1537" s="114"/>
      <c r="H1537" s="115"/>
    </row>
    <row r="1538" spans="4:8" ht="15.6" x14ac:dyDescent="0.3">
      <c r="D1538" s="123"/>
      <c r="E1538" s="123"/>
      <c r="F1538" s="123"/>
      <c r="G1538" s="114"/>
      <c r="H1538" s="115"/>
    </row>
    <row r="1539" spans="4:8" ht="15.6" x14ac:dyDescent="0.3">
      <c r="D1539" s="123"/>
      <c r="E1539" s="123"/>
      <c r="F1539" s="123"/>
      <c r="G1539" s="114"/>
      <c r="H1539" s="115"/>
    </row>
    <row r="1540" spans="4:8" ht="15.6" x14ac:dyDescent="0.3">
      <c r="D1540" s="123"/>
      <c r="E1540" s="123"/>
      <c r="F1540" s="123"/>
      <c r="G1540" s="114"/>
      <c r="H1540" s="115"/>
    </row>
    <row r="1541" spans="4:8" ht="15.6" x14ac:dyDescent="0.3">
      <c r="D1541" s="123"/>
      <c r="E1541" s="123"/>
      <c r="F1541" s="123"/>
      <c r="G1541" s="114"/>
      <c r="H1541" s="115"/>
    </row>
    <row r="1542" spans="4:8" ht="15.6" x14ac:dyDescent="0.3">
      <c r="D1542" s="123"/>
      <c r="E1542" s="123"/>
      <c r="F1542" s="123"/>
      <c r="G1542" s="114"/>
      <c r="H1542" s="115"/>
    </row>
    <row r="1543" spans="4:8" ht="15.6" x14ac:dyDescent="0.3">
      <c r="D1543" s="123"/>
      <c r="E1543" s="123"/>
      <c r="F1543" s="123"/>
      <c r="G1543" s="114"/>
      <c r="H1543" s="115"/>
    </row>
    <row r="1544" spans="4:8" ht="15.6" x14ac:dyDescent="0.3">
      <c r="D1544" s="123"/>
      <c r="E1544" s="123"/>
      <c r="F1544" s="123"/>
      <c r="G1544" s="114"/>
      <c r="H1544" s="115"/>
    </row>
    <row r="1545" spans="4:8" ht="15.6" x14ac:dyDescent="0.3">
      <c r="D1545" s="123"/>
      <c r="E1545" s="123"/>
      <c r="F1545" s="123"/>
      <c r="G1545" s="114"/>
      <c r="H1545" s="115"/>
    </row>
    <row r="1546" spans="4:8" ht="15.6" x14ac:dyDescent="0.3">
      <c r="D1546" s="123"/>
      <c r="E1546" s="123"/>
      <c r="F1546" s="123"/>
      <c r="G1546" s="114"/>
      <c r="H1546" s="115"/>
    </row>
    <row r="1547" spans="4:8" ht="15.6" x14ac:dyDescent="0.3">
      <c r="D1547" s="123"/>
      <c r="E1547" s="123"/>
      <c r="F1547" s="123"/>
      <c r="G1547" s="114"/>
      <c r="H1547" s="115"/>
    </row>
    <row r="1548" spans="4:8" ht="15.6" x14ac:dyDescent="0.3">
      <c r="D1548" s="123"/>
      <c r="E1548" s="123"/>
      <c r="F1548" s="123"/>
      <c r="G1548" s="114"/>
      <c r="H1548" s="115"/>
    </row>
    <row r="1549" spans="4:8" ht="15.6" x14ac:dyDescent="0.3">
      <c r="D1549" s="123"/>
      <c r="E1549" s="123"/>
      <c r="F1549" s="123"/>
      <c r="G1549" s="114"/>
      <c r="H1549" s="115"/>
    </row>
    <row r="1550" spans="4:8" ht="15.6" x14ac:dyDescent="0.3">
      <c r="D1550" s="123"/>
      <c r="E1550" s="123"/>
      <c r="F1550" s="123"/>
      <c r="G1550" s="114"/>
      <c r="H1550" s="115"/>
    </row>
    <row r="1551" spans="4:8" ht="15.6" x14ac:dyDescent="0.3">
      <c r="D1551" s="123"/>
      <c r="E1551" s="123"/>
      <c r="F1551" s="123"/>
      <c r="G1551" s="114"/>
      <c r="H1551" s="115"/>
    </row>
    <row r="1552" spans="4:8" ht="15.6" x14ac:dyDescent="0.3">
      <c r="D1552" s="123"/>
      <c r="E1552" s="123"/>
      <c r="F1552" s="123"/>
      <c r="G1552" s="114"/>
      <c r="H1552" s="115"/>
    </row>
    <row r="1553" spans="4:8" ht="15.6" x14ac:dyDescent="0.3">
      <c r="D1553" s="123"/>
      <c r="E1553" s="123"/>
      <c r="F1553" s="123"/>
      <c r="G1553" s="114"/>
      <c r="H1553" s="115"/>
    </row>
    <row r="1554" spans="4:8" ht="15.6" x14ac:dyDescent="0.3">
      <c r="D1554" s="123"/>
      <c r="E1554" s="123"/>
      <c r="F1554" s="123"/>
      <c r="G1554" s="114"/>
      <c r="H1554" s="115"/>
    </row>
    <row r="1555" spans="4:8" ht="15.6" x14ac:dyDescent="0.3">
      <c r="D1555" s="123"/>
      <c r="E1555" s="123"/>
      <c r="F1555" s="123"/>
      <c r="G1555" s="114"/>
      <c r="H1555" s="115"/>
    </row>
    <row r="1556" spans="4:8" ht="15.6" x14ac:dyDescent="0.3">
      <c r="D1556" s="123"/>
      <c r="E1556" s="123"/>
      <c r="F1556" s="123"/>
      <c r="G1556" s="114"/>
      <c r="H1556" s="115"/>
    </row>
    <row r="1557" spans="4:8" ht="15.6" x14ac:dyDescent="0.3">
      <c r="D1557" s="123"/>
      <c r="E1557" s="123"/>
      <c r="F1557" s="123"/>
      <c r="G1557" s="114"/>
      <c r="H1557" s="115"/>
    </row>
    <row r="1558" spans="4:8" ht="15.6" x14ac:dyDescent="0.3">
      <c r="D1558" s="123"/>
      <c r="E1558" s="123"/>
      <c r="F1558" s="123"/>
      <c r="G1558" s="114"/>
      <c r="H1558" s="115"/>
    </row>
    <row r="1559" spans="4:8" ht="15.6" x14ac:dyDescent="0.3">
      <c r="D1559" s="123"/>
      <c r="E1559" s="123"/>
      <c r="F1559" s="123"/>
      <c r="G1559" s="114"/>
      <c r="H1559" s="115"/>
    </row>
    <row r="1560" spans="4:8" ht="15.6" x14ac:dyDescent="0.3">
      <c r="D1560" s="123"/>
      <c r="E1560" s="123"/>
      <c r="F1560" s="123"/>
      <c r="G1560" s="114"/>
      <c r="H1560" s="115"/>
    </row>
    <row r="1561" spans="4:8" ht="15.6" x14ac:dyDescent="0.3">
      <c r="D1561" s="123"/>
      <c r="E1561" s="123"/>
      <c r="F1561" s="123"/>
      <c r="G1561" s="114"/>
      <c r="H1561" s="115"/>
    </row>
    <row r="1562" spans="4:8" ht="15.6" x14ac:dyDescent="0.3">
      <c r="D1562" s="123"/>
      <c r="E1562" s="123"/>
      <c r="F1562" s="123"/>
      <c r="G1562" s="114"/>
      <c r="H1562" s="115"/>
    </row>
    <row r="1563" spans="4:8" ht="15.6" x14ac:dyDescent="0.3">
      <c r="D1563" s="123"/>
      <c r="E1563" s="123"/>
      <c r="F1563" s="123"/>
      <c r="G1563" s="114"/>
      <c r="H1563" s="115"/>
    </row>
    <row r="1564" spans="4:8" ht="15.6" x14ac:dyDescent="0.3">
      <c r="D1564" s="123"/>
      <c r="E1564" s="123"/>
      <c r="F1564" s="123"/>
      <c r="G1564" s="114"/>
      <c r="H1564" s="115"/>
    </row>
    <row r="1565" spans="4:8" ht="15.6" x14ac:dyDescent="0.3">
      <c r="D1565" s="123"/>
      <c r="E1565" s="123"/>
      <c r="F1565" s="123"/>
      <c r="G1565" s="114"/>
      <c r="H1565" s="115"/>
    </row>
    <row r="1566" spans="4:8" ht="15.6" x14ac:dyDescent="0.3">
      <c r="D1566" s="123"/>
      <c r="E1566" s="123"/>
      <c r="F1566" s="123"/>
      <c r="G1566" s="114"/>
      <c r="H1566" s="115"/>
    </row>
    <row r="1567" spans="4:8" ht="15.6" x14ac:dyDescent="0.3">
      <c r="D1567" s="123"/>
      <c r="E1567" s="123"/>
      <c r="F1567" s="123"/>
      <c r="G1567" s="114"/>
      <c r="H1567" s="115"/>
    </row>
    <row r="1568" spans="4:8" ht="15.6" x14ac:dyDescent="0.3">
      <c r="D1568" s="123"/>
      <c r="E1568" s="123"/>
      <c r="F1568" s="123"/>
      <c r="G1568" s="114"/>
      <c r="H1568" s="115"/>
    </row>
    <row r="1569" spans="4:8" ht="15.6" x14ac:dyDescent="0.3">
      <c r="D1569" s="123"/>
      <c r="E1569" s="123"/>
      <c r="F1569" s="123"/>
      <c r="G1569" s="114"/>
      <c r="H1569" s="115"/>
    </row>
    <row r="1570" spans="4:8" ht="15.6" x14ac:dyDescent="0.3">
      <c r="D1570" s="123"/>
      <c r="E1570" s="123"/>
      <c r="F1570" s="123"/>
      <c r="G1570" s="114"/>
      <c r="H1570" s="115"/>
    </row>
    <row r="1571" spans="4:8" ht="15.6" x14ac:dyDescent="0.3">
      <c r="D1571" s="123"/>
      <c r="E1571" s="123"/>
      <c r="F1571" s="123"/>
      <c r="G1571" s="114"/>
      <c r="H1571" s="115"/>
    </row>
    <row r="1572" spans="4:8" ht="15.6" x14ac:dyDescent="0.3">
      <c r="D1572" s="123"/>
      <c r="E1572" s="123"/>
      <c r="F1572" s="123"/>
      <c r="G1572" s="114"/>
      <c r="H1572" s="115"/>
    </row>
    <row r="1573" spans="4:8" ht="15.6" x14ac:dyDescent="0.3">
      <c r="D1573" s="123"/>
      <c r="E1573" s="123"/>
      <c r="F1573" s="123"/>
      <c r="G1573" s="114"/>
      <c r="H1573" s="115"/>
    </row>
    <row r="1574" spans="4:8" ht="15.6" x14ac:dyDescent="0.3">
      <c r="D1574" s="123"/>
      <c r="E1574" s="123"/>
      <c r="F1574" s="123"/>
      <c r="G1574" s="114"/>
      <c r="H1574" s="115"/>
    </row>
    <row r="1575" spans="4:8" ht="15.6" x14ac:dyDescent="0.3">
      <c r="D1575" s="123"/>
      <c r="E1575" s="123"/>
      <c r="F1575" s="123"/>
      <c r="G1575" s="114"/>
      <c r="H1575" s="115"/>
    </row>
    <row r="1576" spans="4:8" ht="15.6" x14ac:dyDescent="0.3">
      <c r="D1576" s="123"/>
      <c r="E1576" s="123"/>
      <c r="F1576" s="123"/>
      <c r="G1576" s="114"/>
      <c r="H1576" s="115"/>
    </row>
    <row r="1577" spans="4:8" ht="15.6" x14ac:dyDescent="0.3">
      <c r="D1577" s="123"/>
      <c r="E1577" s="123"/>
      <c r="F1577" s="123"/>
      <c r="G1577" s="114"/>
      <c r="H1577" s="115"/>
    </row>
    <row r="1578" spans="4:8" ht="15.6" x14ac:dyDescent="0.3">
      <c r="D1578" s="123"/>
      <c r="E1578" s="123"/>
      <c r="F1578" s="123"/>
      <c r="G1578" s="114"/>
      <c r="H1578" s="115"/>
    </row>
    <row r="1579" spans="4:8" ht="15.6" x14ac:dyDescent="0.3">
      <c r="D1579" s="123"/>
      <c r="E1579" s="123"/>
      <c r="F1579" s="123"/>
      <c r="G1579" s="114"/>
      <c r="H1579" s="115"/>
    </row>
    <row r="1580" spans="4:8" ht="15.6" x14ac:dyDescent="0.3">
      <c r="D1580" s="123"/>
      <c r="E1580" s="123"/>
      <c r="F1580" s="123"/>
      <c r="G1580" s="114"/>
      <c r="H1580" s="115"/>
    </row>
    <row r="1581" spans="4:8" ht="15.6" x14ac:dyDescent="0.3">
      <c r="D1581" s="123"/>
      <c r="E1581" s="123"/>
      <c r="F1581" s="123"/>
      <c r="G1581" s="114"/>
      <c r="H1581" s="115"/>
    </row>
    <row r="1582" spans="4:8" ht="15.6" x14ac:dyDescent="0.3">
      <c r="D1582" s="123"/>
      <c r="E1582" s="123"/>
      <c r="F1582" s="123"/>
      <c r="G1582" s="114"/>
      <c r="H1582" s="115"/>
    </row>
    <row r="1583" spans="4:8" ht="15.6" x14ac:dyDescent="0.3">
      <c r="D1583" s="123"/>
      <c r="E1583" s="123"/>
      <c r="F1583" s="123"/>
      <c r="G1583" s="114"/>
      <c r="H1583" s="115"/>
    </row>
    <row r="1584" spans="4:8" ht="15.6" x14ac:dyDescent="0.3">
      <c r="D1584" s="123"/>
      <c r="E1584" s="123"/>
      <c r="F1584" s="123"/>
      <c r="G1584" s="114"/>
      <c r="H1584" s="115"/>
    </row>
    <row r="1585" spans="4:8" ht="15.6" x14ac:dyDescent="0.3">
      <c r="D1585" s="123"/>
      <c r="E1585" s="123"/>
      <c r="F1585" s="123"/>
      <c r="G1585" s="114"/>
      <c r="H1585" s="115"/>
    </row>
    <row r="1586" spans="4:8" ht="15.6" x14ac:dyDescent="0.3">
      <c r="D1586" s="123"/>
      <c r="E1586" s="123"/>
      <c r="F1586" s="123"/>
      <c r="G1586" s="114"/>
      <c r="H1586" s="115"/>
    </row>
    <row r="1587" spans="4:8" ht="15.6" x14ac:dyDescent="0.3">
      <c r="D1587" s="123"/>
      <c r="E1587" s="123"/>
      <c r="F1587" s="123"/>
      <c r="G1587" s="114"/>
      <c r="H1587" s="115"/>
    </row>
    <row r="1588" spans="4:8" ht="15.6" x14ac:dyDescent="0.3">
      <c r="D1588" s="123"/>
      <c r="E1588" s="123"/>
      <c r="F1588" s="123"/>
      <c r="G1588" s="114"/>
      <c r="H1588" s="115"/>
    </row>
    <row r="1589" spans="4:8" ht="15.6" x14ac:dyDescent="0.3">
      <c r="D1589" s="123"/>
      <c r="E1589" s="123"/>
      <c r="F1589" s="123"/>
      <c r="G1589" s="114"/>
      <c r="H1589" s="115"/>
    </row>
    <row r="1590" spans="4:8" ht="15.6" x14ac:dyDescent="0.3">
      <c r="D1590" s="123"/>
      <c r="E1590" s="123"/>
      <c r="F1590" s="123"/>
      <c r="G1590" s="114"/>
      <c r="H1590" s="115"/>
    </row>
    <row r="1591" spans="4:8" ht="15.6" x14ac:dyDescent="0.3">
      <c r="D1591" s="123"/>
      <c r="E1591" s="123"/>
      <c r="F1591" s="123"/>
      <c r="G1591" s="114"/>
      <c r="H1591" s="115"/>
    </row>
    <row r="1592" spans="4:8" ht="15.6" x14ac:dyDescent="0.3">
      <c r="D1592" s="123"/>
      <c r="E1592" s="123"/>
      <c r="F1592" s="123"/>
      <c r="G1592" s="114"/>
      <c r="H1592" s="115"/>
    </row>
    <row r="1593" spans="4:8" ht="15.6" x14ac:dyDescent="0.3">
      <c r="D1593" s="123"/>
      <c r="E1593" s="123"/>
      <c r="F1593" s="123"/>
      <c r="G1593" s="114"/>
      <c r="H1593" s="115"/>
    </row>
    <row r="1594" spans="4:8" ht="15.6" x14ac:dyDescent="0.3">
      <c r="D1594" s="123"/>
      <c r="E1594" s="123"/>
      <c r="F1594" s="123"/>
      <c r="G1594" s="114"/>
      <c r="H1594" s="115"/>
    </row>
    <row r="1595" spans="4:8" ht="15.6" x14ac:dyDescent="0.3">
      <c r="D1595" s="123"/>
      <c r="E1595" s="123"/>
      <c r="F1595" s="123"/>
      <c r="G1595" s="114"/>
      <c r="H1595" s="115"/>
    </row>
    <row r="1596" spans="4:8" ht="15.6" x14ac:dyDescent="0.3">
      <c r="D1596" s="123"/>
      <c r="E1596" s="123"/>
      <c r="F1596" s="123"/>
      <c r="G1596" s="114"/>
      <c r="H1596" s="115"/>
    </row>
    <row r="1597" spans="4:8" ht="15.6" x14ac:dyDescent="0.3">
      <c r="D1597" s="123"/>
      <c r="E1597" s="123"/>
      <c r="F1597" s="123"/>
      <c r="G1597" s="114"/>
      <c r="H1597" s="115"/>
    </row>
    <row r="1598" spans="4:8" ht="15.6" x14ac:dyDescent="0.3">
      <c r="D1598" s="123"/>
      <c r="E1598" s="123"/>
      <c r="F1598" s="123"/>
      <c r="G1598" s="114"/>
      <c r="H1598" s="115"/>
    </row>
    <row r="1599" spans="4:8" ht="15.6" x14ac:dyDescent="0.3">
      <c r="D1599" s="123"/>
      <c r="E1599" s="123"/>
      <c r="F1599" s="123"/>
      <c r="G1599" s="114"/>
      <c r="H1599" s="115"/>
    </row>
    <row r="1600" spans="4:8" ht="15.6" x14ac:dyDescent="0.3">
      <c r="D1600" s="123"/>
      <c r="E1600" s="123"/>
      <c r="F1600" s="123"/>
      <c r="G1600" s="114"/>
      <c r="H1600" s="115"/>
    </row>
    <row r="1601" spans="4:8" ht="15.6" x14ac:dyDescent="0.3">
      <c r="D1601" s="123"/>
      <c r="E1601" s="123"/>
      <c r="F1601" s="123"/>
      <c r="G1601" s="114"/>
      <c r="H1601" s="115"/>
    </row>
    <row r="1602" spans="4:8" ht="15.6" x14ac:dyDescent="0.3">
      <c r="D1602" s="123"/>
      <c r="E1602" s="123"/>
      <c r="F1602" s="123"/>
      <c r="G1602" s="114"/>
      <c r="H1602" s="115"/>
    </row>
    <row r="1603" spans="4:8" ht="15.6" x14ac:dyDescent="0.3">
      <c r="D1603" s="123"/>
      <c r="E1603" s="123"/>
      <c r="F1603" s="123"/>
      <c r="G1603" s="114"/>
      <c r="H1603" s="115"/>
    </row>
    <row r="1604" spans="4:8" ht="15.6" x14ac:dyDescent="0.3">
      <c r="D1604" s="123"/>
      <c r="E1604" s="123"/>
      <c r="F1604" s="123"/>
      <c r="G1604" s="114"/>
      <c r="H1604" s="115"/>
    </row>
    <row r="1605" spans="4:8" ht="15.6" x14ac:dyDescent="0.3">
      <c r="D1605" s="123"/>
      <c r="E1605" s="123"/>
      <c r="F1605" s="123"/>
      <c r="G1605" s="114"/>
      <c r="H1605" s="115"/>
    </row>
    <row r="1606" spans="4:8" ht="15.6" x14ac:dyDescent="0.3">
      <c r="D1606" s="123"/>
      <c r="E1606" s="123"/>
      <c r="F1606" s="123"/>
      <c r="G1606" s="114"/>
      <c r="H1606" s="115"/>
    </row>
    <row r="1607" spans="4:8" ht="15.6" x14ac:dyDescent="0.3">
      <c r="D1607" s="123"/>
      <c r="E1607" s="123"/>
      <c r="F1607" s="123"/>
      <c r="G1607" s="114"/>
      <c r="H1607" s="115"/>
    </row>
    <row r="1608" spans="4:8" ht="15.6" x14ac:dyDescent="0.3">
      <c r="D1608" s="123"/>
      <c r="E1608" s="123"/>
      <c r="F1608" s="123"/>
      <c r="G1608" s="114"/>
      <c r="H1608" s="115"/>
    </row>
    <row r="1609" spans="4:8" ht="15.6" x14ac:dyDescent="0.3">
      <c r="D1609" s="123"/>
      <c r="E1609" s="123"/>
      <c r="F1609" s="123"/>
      <c r="G1609" s="114"/>
      <c r="H1609" s="115"/>
    </row>
    <row r="1610" spans="4:8" ht="15.6" x14ac:dyDescent="0.3">
      <c r="D1610" s="123"/>
      <c r="E1610" s="123"/>
      <c r="F1610" s="123"/>
      <c r="G1610" s="114"/>
      <c r="H1610" s="115"/>
    </row>
    <row r="1611" spans="4:8" ht="15.6" x14ac:dyDescent="0.3">
      <c r="D1611" s="123"/>
      <c r="E1611" s="123"/>
      <c r="F1611" s="123"/>
      <c r="G1611" s="114"/>
      <c r="H1611" s="115"/>
    </row>
    <row r="1612" spans="4:8" ht="15.6" x14ac:dyDescent="0.3">
      <c r="D1612" s="123"/>
      <c r="E1612" s="123"/>
      <c r="F1612" s="123"/>
      <c r="G1612" s="114"/>
      <c r="H1612" s="115"/>
    </row>
    <row r="1613" spans="4:8" ht="15.6" x14ac:dyDescent="0.3">
      <c r="D1613" s="123"/>
      <c r="E1613" s="123"/>
      <c r="F1613" s="123"/>
      <c r="G1613" s="114"/>
      <c r="H1613" s="115"/>
    </row>
    <row r="1614" spans="4:8" ht="15.6" x14ac:dyDescent="0.3">
      <c r="D1614" s="123"/>
      <c r="E1614" s="123"/>
      <c r="F1614" s="123"/>
      <c r="G1614" s="114"/>
      <c r="H1614" s="115"/>
    </row>
    <row r="1615" spans="4:8" ht="15.6" x14ac:dyDescent="0.3">
      <c r="D1615" s="123"/>
      <c r="E1615" s="123"/>
      <c r="F1615" s="123"/>
      <c r="G1615" s="114"/>
      <c r="H1615" s="115"/>
    </row>
    <row r="1616" spans="4:8" ht="15.6" x14ac:dyDescent="0.3">
      <c r="D1616" s="123"/>
      <c r="E1616" s="123"/>
      <c r="F1616" s="123"/>
      <c r="G1616" s="114"/>
      <c r="H1616" s="115"/>
    </row>
    <row r="1617" spans="4:8" ht="15.6" x14ac:dyDescent="0.3">
      <c r="D1617" s="123"/>
      <c r="E1617" s="123"/>
      <c r="F1617" s="123"/>
      <c r="G1617" s="114"/>
      <c r="H1617" s="115"/>
    </row>
    <row r="1618" spans="4:8" ht="15.6" x14ac:dyDescent="0.3">
      <c r="D1618" s="123"/>
      <c r="E1618" s="123"/>
      <c r="F1618" s="123"/>
      <c r="G1618" s="114"/>
      <c r="H1618" s="115"/>
    </row>
    <row r="1619" spans="4:8" ht="15.6" x14ac:dyDescent="0.3">
      <c r="D1619" s="123"/>
      <c r="E1619" s="123"/>
      <c r="F1619" s="123"/>
      <c r="G1619" s="114"/>
      <c r="H1619" s="115"/>
    </row>
    <row r="1620" spans="4:8" ht="15.6" x14ac:dyDescent="0.3">
      <c r="D1620" s="123"/>
      <c r="E1620" s="123"/>
      <c r="F1620" s="123"/>
      <c r="G1620" s="114"/>
      <c r="H1620" s="115"/>
    </row>
    <row r="1621" spans="4:8" ht="15.6" x14ac:dyDescent="0.3">
      <c r="D1621" s="123"/>
      <c r="E1621" s="123"/>
      <c r="F1621" s="123"/>
      <c r="G1621" s="114"/>
      <c r="H1621" s="115"/>
    </row>
    <row r="1622" spans="4:8" ht="15.6" x14ac:dyDescent="0.3">
      <c r="D1622" s="123"/>
      <c r="E1622" s="123"/>
      <c r="F1622" s="123"/>
      <c r="G1622" s="114"/>
      <c r="H1622" s="115"/>
    </row>
    <row r="1623" spans="4:8" ht="15.6" x14ac:dyDescent="0.3">
      <c r="D1623" s="123"/>
      <c r="E1623" s="123"/>
      <c r="F1623" s="123"/>
      <c r="G1623" s="114"/>
      <c r="H1623" s="115"/>
    </row>
    <row r="1624" spans="4:8" ht="15.6" x14ac:dyDescent="0.3">
      <c r="D1624" s="123"/>
      <c r="E1624" s="123"/>
      <c r="F1624" s="123"/>
      <c r="G1624" s="114"/>
      <c r="H1624" s="115"/>
    </row>
    <row r="1625" spans="4:8" ht="15.6" x14ac:dyDescent="0.3">
      <c r="D1625" s="123"/>
      <c r="E1625" s="123"/>
      <c r="F1625" s="123"/>
      <c r="G1625" s="114"/>
      <c r="H1625" s="115"/>
    </row>
    <row r="1626" spans="4:8" ht="15.6" x14ac:dyDescent="0.3">
      <c r="D1626" s="123"/>
      <c r="E1626" s="123"/>
      <c r="F1626" s="123"/>
      <c r="G1626" s="114"/>
      <c r="H1626" s="115"/>
    </row>
    <row r="1627" spans="4:8" ht="15.6" x14ac:dyDescent="0.3">
      <c r="D1627" s="123"/>
      <c r="E1627" s="123"/>
      <c r="F1627" s="123"/>
      <c r="G1627" s="114"/>
      <c r="H1627" s="115"/>
    </row>
    <row r="1628" spans="4:8" ht="15.6" x14ac:dyDescent="0.3">
      <c r="D1628" s="123"/>
      <c r="E1628" s="123"/>
      <c r="F1628" s="123"/>
      <c r="G1628" s="114"/>
      <c r="H1628" s="115"/>
    </row>
    <row r="1629" spans="4:8" ht="15.6" x14ac:dyDescent="0.3">
      <c r="D1629" s="123"/>
      <c r="E1629" s="123"/>
      <c r="F1629" s="123"/>
      <c r="G1629" s="114"/>
      <c r="H1629" s="115"/>
    </row>
    <row r="1630" spans="4:8" ht="15.6" x14ac:dyDescent="0.3">
      <c r="D1630" s="123"/>
      <c r="E1630" s="123"/>
      <c r="F1630" s="123"/>
      <c r="G1630" s="114"/>
      <c r="H1630" s="115"/>
    </row>
    <row r="1631" spans="4:8" ht="15.6" x14ac:dyDescent="0.3">
      <c r="D1631" s="123"/>
      <c r="E1631" s="123"/>
      <c r="F1631" s="123"/>
      <c r="G1631" s="114"/>
      <c r="H1631" s="115"/>
    </row>
    <row r="1632" spans="4:8" ht="15.6" x14ac:dyDescent="0.3">
      <c r="D1632" s="123"/>
      <c r="E1632" s="123"/>
      <c r="F1632" s="123"/>
      <c r="G1632" s="114"/>
      <c r="H1632" s="115"/>
    </row>
    <row r="1633" spans="4:8" ht="15.6" x14ac:dyDescent="0.3">
      <c r="D1633" s="123"/>
      <c r="E1633" s="123"/>
      <c r="F1633" s="123"/>
      <c r="G1633" s="114"/>
      <c r="H1633" s="115"/>
    </row>
    <row r="1634" spans="4:8" ht="15.6" x14ac:dyDescent="0.3">
      <c r="D1634" s="123"/>
      <c r="E1634" s="123"/>
      <c r="F1634" s="123"/>
      <c r="G1634" s="114"/>
      <c r="H1634" s="115"/>
    </row>
    <row r="1635" spans="4:8" ht="15.6" x14ac:dyDescent="0.3">
      <c r="D1635" s="123"/>
      <c r="E1635" s="123"/>
      <c r="F1635" s="123"/>
      <c r="G1635" s="114"/>
      <c r="H1635" s="115"/>
    </row>
    <row r="1636" spans="4:8" ht="15.6" x14ac:dyDescent="0.3">
      <c r="D1636" s="123"/>
      <c r="E1636" s="123"/>
      <c r="F1636" s="123"/>
      <c r="G1636" s="114"/>
      <c r="H1636" s="115"/>
    </row>
    <row r="1637" spans="4:8" ht="15.6" x14ac:dyDescent="0.3">
      <c r="D1637" s="123"/>
      <c r="E1637" s="123"/>
      <c r="F1637" s="123"/>
      <c r="G1637" s="114"/>
      <c r="H1637" s="115"/>
    </row>
    <row r="1638" spans="4:8" ht="15.6" x14ac:dyDescent="0.3">
      <c r="D1638" s="123"/>
      <c r="E1638" s="123"/>
      <c r="F1638" s="123"/>
      <c r="G1638" s="114"/>
      <c r="H1638" s="115"/>
    </row>
    <row r="1639" spans="4:8" ht="15.6" x14ac:dyDescent="0.3">
      <c r="D1639" s="123"/>
      <c r="E1639" s="123"/>
      <c r="F1639" s="123"/>
      <c r="G1639" s="114"/>
      <c r="H1639" s="115"/>
    </row>
    <row r="1640" spans="4:8" ht="15.6" x14ac:dyDescent="0.3">
      <c r="D1640" s="123"/>
      <c r="E1640" s="123"/>
      <c r="F1640" s="123"/>
      <c r="G1640" s="114"/>
      <c r="H1640" s="115"/>
    </row>
    <row r="1641" spans="4:8" ht="15.6" x14ac:dyDescent="0.3">
      <c r="D1641" s="123"/>
      <c r="E1641" s="123"/>
      <c r="F1641" s="123"/>
      <c r="G1641" s="114"/>
      <c r="H1641" s="115"/>
    </row>
    <row r="1642" spans="4:8" ht="15.6" x14ac:dyDescent="0.3">
      <c r="D1642" s="123"/>
      <c r="E1642" s="123"/>
      <c r="F1642" s="123"/>
      <c r="G1642" s="114"/>
      <c r="H1642" s="115"/>
    </row>
    <row r="1643" spans="4:8" ht="15.6" x14ac:dyDescent="0.3">
      <c r="D1643" s="123"/>
      <c r="E1643" s="123"/>
      <c r="F1643" s="123"/>
      <c r="G1643" s="114"/>
      <c r="H1643" s="115"/>
    </row>
    <row r="1644" spans="4:8" ht="15.6" x14ac:dyDescent="0.3">
      <c r="D1644" s="123"/>
      <c r="E1644" s="123"/>
      <c r="F1644" s="123"/>
      <c r="G1644" s="114"/>
      <c r="H1644" s="115"/>
    </row>
    <row r="1645" spans="4:8" ht="15.6" x14ac:dyDescent="0.3">
      <c r="D1645" s="123"/>
      <c r="E1645" s="123"/>
      <c r="F1645" s="123"/>
      <c r="G1645" s="114"/>
      <c r="H1645" s="115"/>
    </row>
    <row r="1646" spans="4:8" ht="15.6" x14ac:dyDescent="0.3">
      <c r="D1646" s="123"/>
      <c r="E1646" s="123"/>
      <c r="F1646" s="123"/>
      <c r="G1646" s="114"/>
      <c r="H1646" s="115"/>
    </row>
    <row r="1647" spans="4:8" ht="15.6" x14ac:dyDescent="0.3">
      <c r="D1647" s="123"/>
      <c r="E1647" s="123"/>
      <c r="F1647" s="123"/>
      <c r="G1647" s="114"/>
      <c r="H1647" s="115"/>
    </row>
    <row r="1648" spans="4:8" ht="15.6" x14ac:dyDescent="0.3">
      <c r="D1648" s="123"/>
      <c r="E1648" s="123"/>
      <c r="F1648" s="123"/>
      <c r="G1648" s="114"/>
      <c r="H1648" s="115"/>
    </row>
    <row r="1649" spans="4:8" ht="15.6" x14ac:dyDescent="0.3">
      <c r="D1649" s="123"/>
      <c r="E1649" s="123"/>
      <c r="F1649" s="123"/>
      <c r="G1649" s="114"/>
      <c r="H1649" s="115"/>
    </row>
    <row r="1650" spans="4:8" ht="15.6" x14ac:dyDescent="0.3">
      <c r="D1650" s="123"/>
      <c r="E1650" s="123"/>
      <c r="F1650" s="123"/>
      <c r="G1650" s="114"/>
      <c r="H1650" s="115"/>
    </row>
    <row r="1651" spans="4:8" ht="15.6" x14ac:dyDescent="0.3">
      <c r="D1651" s="123"/>
      <c r="E1651" s="123"/>
      <c r="F1651" s="123"/>
      <c r="G1651" s="114"/>
      <c r="H1651" s="115"/>
    </row>
    <row r="1652" spans="4:8" ht="15.6" x14ac:dyDescent="0.3">
      <c r="D1652" s="123"/>
      <c r="E1652" s="123"/>
      <c r="F1652" s="123"/>
      <c r="G1652" s="114"/>
      <c r="H1652" s="115"/>
    </row>
    <row r="1653" spans="4:8" ht="15.6" x14ac:dyDescent="0.3">
      <c r="D1653" s="123"/>
      <c r="E1653" s="123"/>
      <c r="F1653" s="123"/>
      <c r="G1653" s="114"/>
      <c r="H1653" s="115"/>
    </row>
    <row r="1654" spans="4:8" ht="15.6" x14ac:dyDescent="0.3">
      <c r="D1654" s="123"/>
      <c r="E1654" s="123"/>
      <c r="F1654" s="123"/>
      <c r="G1654" s="114"/>
      <c r="H1654" s="115"/>
    </row>
    <row r="1655" spans="4:8" ht="15.6" x14ac:dyDescent="0.3">
      <c r="D1655" s="123"/>
      <c r="E1655" s="123"/>
      <c r="F1655" s="123"/>
      <c r="G1655" s="114"/>
      <c r="H1655" s="115"/>
    </row>
    <row r="1656" spans="4:8" ht="15.6" x14ac:dyDescent="0.3">
      <c r="D1656" s="123"/>
      <c r="E1656" s="123"/>
      <c r="F1656" s="123"/>
      <c r="G1656" s="114"/>
      <c r="H1656" s="115"/>
    </row>
    <row r="1657" spans="4:8" ht="15.6" x14ac:dyDescent="0.3">
      <c r="D1657" s="123"/>
      <c r="E1657" s="123"/>
      <c r="F1657" s="123"/>
      <c r="G1657" s="114"/>
      <c r="H1657" s="115"/>
    </row>
    <row r="1658" spans="4:8" ht="15.6" x14ac:dyDescent="0.3">
      <c r="D1658" s="123"/>
      <c r="E1658" s="123"/>
      <c r="F1658" s="123"/>
      <c r="G1658" s="114"/>
      <c r="H1658" s="115"/>
    </row>
    <row r="1659" spans="4:8" ht="15.6" x14ac:dyDescent="0.3">
      <c r="D1659" s="123"/>
      <c r="E1659" s="123"/>
      <c r="F1659" s="123"/>
      <c r="G1659" s="114"/>
      <c r="H1659" s="115"/>
    </row>
    <row r="1660" spans="4:8" ht="15.6" x14ac:dyDescent="0.3">
      <c r="D1660" s="123"/>
      <c r="E1660" s="123"/>
      <c r="F1660" s="123"/>
      <c r="G1660" s="114"/>
      <c r="H1660" s="115"/>
    </row>
    <row r="1661" spans="4:8" ht="15.6" x14ac:dyDescent="0.3">
      <c r="D1661" s="123"/>
      <c r="E1661" s="123"/>
      <c r="F1661" s="123"/>
      <c r="G1661" s="114"/>
      <c r="H1661" s="115"/>
    </row>
    <row r="1662" spans="4:8" ht="15.6" x14ac:dyDescent="0.3">
      <c r="D1662" s="123"/>
      <c r="E1662" s="123"/>
      <c r="F1662" s="123"/>
      <c r="G1662" s="114"/>
      <c r="H1662" s="115"/>
    </row>
    <row r="1663" spans="4:8" ht="15.6" x14ac:dyDescent="0.3">
      <c r="D1663" s="123"/>
      <c r="E1663" s="123"/>
      <c r="F1663" s="123"/>
      <c r="G1663" s="114"/>
      <c r="H1663" s="115"/>
    </row>
    <row r="1664" spans="4:8" ht="15.6" x14ac:dyDescent="0.3">
      <c r="D1664" s="123"/>
      <c r="E1664" s="123"/>
      <c r="F1664" s="123"/>
      <c r="G1664" s="114"/>
      <c r="H1664" s="115"/>
    </row>
    <row r="1665" spans="4:8" ht="15.6" x14ac:dyDescent="0.3">
      <c r="D1665" s="123"/>
      <c r="E1665" s="123"/>
      <c r="F1665" s="123"/>
      <c r="G1665" s="114"/>
      <c r="H1665" s="115"/>
    </row>
    <row r="1666" spans="4:8" ht="15.6" x14ac:dyDescent="0.3">
      <c r="D1666" s="123"/>
      <c r="E1666" s="123"/>
      <c r="F1666" s="123"/>
      <c r="G1666" s="114"/>
      <c r="H1666" s="115"/>
    </row>
    <row r="1667" spans="4:8" ht="15.6" x14ac:dyDescent="0.3">
      <c r="D1667" s="123"/>
      <c r="E1667" s="123"/>
      <c r="F1667" s="123"/>
      <c r="G1667" s="114"/>
      <c r="H1667" s="115"/>
    </row>
    <row r="1668" spans="4:8" ht="15.6" x14ac:dyDescent="0.3">
      <c r="D1668" s="123"/>
      <c r="E1668" s="123"/>
      <c r="F1668" s="123"/>
      <c r="G1668" s="114"/>
      <c r="H1668" s="115"/>
    </row>
    <row r="1669" spans="4:8" ht="15.6" x14ac:dyDescent="0.3">
      <c r="D1669" s="123"/>
      <c r="E1669" s="123"/>
      <c r="F1669" s="123"/>
      <c r="G1669" s="114"/>
      <c r="H1669" s="115"/>
    </row>
    <row r="1670" spans="4:8" ht="15.6" x14ac:dyDescent="0.3">
      <c r="D1670" s="123"/>
      <c r="E1670" s="123"/>
      <c r="F1670" s="123"/>
      <c r="G1670" s="114"/>
      <c r="H1670" s="115"/>
    </row>
    <row r="1671" spans="4:8" ht="15.6" x14ac:dyDescent="0.3">
      <c r="D1671" s="123"/>
      <c r="E1671" s="123"/>
      <c r="F1671" s="123"/>
      <c r="G1671" s="114"/>
      <c r="H1671" s="115"/>
    </row>
    <row r="1672" spans="4:8" ht="15.6" x14ac:dyDescent="0.3">
      <c r="D1672" s="123"/>
      <c r="E1672" s="123"/>
      <c r="F1672" s="123"/>
      <c r="G1672" s="114"/>
      <c r="H1672" s="115"/>
    </row>
    <row r="1673" spans="4:8" ht="15.6" x14ac:dyDescent="0.3">
      <c r="D1673" s="123"/>
      <c r="E1673" s="123"/>
      <c r="F1673" s="123"/>
      <c r="G1673" s="114"/>
      <c r="H1673" s="115"/>
    </row>
    <row r="1674" spans="4:8" ht="15.6" x14ac:dyDescent="0.3">
      <c r="D1674" s="123"/>
      <c r="E1674" s="123"/>
      <c r="F1674" s="123"/>
      <c r="G1674" s="114"/>
      <c r="H1674" s="115"/>
    </row>
    <row r="1675" spans="4:8" ht="15.6" x14ac:dyDescent="0.3">
      <c r="D1675" s="123"/>
      <c r="E1675" s="123"/>
      <c r="F1675" s="123"/>
      <c r="G1675" s="114"/>
      <c r="H1675" s="115"/>
    </row>
    <row r="1676" spans="4:8" ht="15.6" x14ac:dyDescent="0.3">
      <c r="D1676" s="123"/>
      <c r="E1676" s="123"/>
      <c r="F1676" s="123"/>
      <c r="G1676" s="114"/>
      <c r="H1676" s="115"/>
    </row>
    <row r="1677" spans="4:8" ht="15.6" x14ac:dyDescent="0.3">
      <c r="D1677" s="123"/>
      <c r="E1677" s="123"/>
      <c r="F1677" s="123"/>
      <c r="G1677" s="114"/>
      <c r="H1677" s="115"/>
    </row>
    <row r="1678" spans="4:8" ht="15.6" x14ac:dyDescent="0.3">
      <c r="D1678" s="123"/>
      <c r="E1678" s="123"/>
      <c r="F1678" s="123"/>
      <c r="G1678" s="114"/>
      <c r="H1678" s="115"/>
    </row>
    <row r="1679" spans="4:8" ht="15.6" x14ac:dyDescent="0.3">
      <c r="D1679" s="123"/>
      <c r="E1679" s="123"/>
      <c r="F1679" s="123"/>
      <c r="G1679" s="114"/>
      <c r="H1679" s="115"/>
    </row>
    <row r="1680" spans="4:8" ht="15.6" x14ac:dyDescent="0.3">
      <c r="D1680" s="123"/>
      <c r="E1680" s="123"/>
      <c r="F1680" s="123"/>
      <c r="G1680" s="114"/>
      <c r="H1680" s="115"/>
    </row>
    <row r="1681" spans="4:8" ht="15.6" x14ac:dyDescent="0.3">
      <c r="D1681" s="123"/>
      <c r="E1681" s="123"/>
      <c r="F1681" s="123"/>
      <c r="G1681" s="114"/>
      <c r="H1681" s="115"/>
    </row>
    <row r="1682" spans="4:8" ht="15.6" x14ac:dyDescent="0.3">
      <c r="D1682" s="123"/>
      <c r="E1682" s="123"/>
      <c r="F1682" s="123"/>
      <c r="G1682" s="114"/>
      <c r="H1682" s="115"/>
    </row>
    <row r="1683" spans="4:8" ht="15.6" x14ac:dyDescent="0.3">
      <c r="D1683" s="123"/>
      <c r="E1683" s="123"/>
      <c r="F1683" s="123"/>
      <c r="G1683" s="114"/>
      <c r="H1683" s="115"/>
    </row>
    <row r="1684" spans="4:8" ht="15.6" x14ac:dyDescent="0.3">
      <c r="D1684" s="123"/>
      <c r="E1684" s="123"/>
      <c r="F1684" s="123"/>
      <c r="G1684" s="114"/>
      <c r="H1684" s="115"/>
    </row>
    <row r="1685" spans="4:8" ht="15.6" x14ac:dyDescent="0.3">
      <c r="D1685" s="123"/>
      <c r="E1685" s="123"/>
      <c r="F1685" s="123"/>
      <c r="G1685" s="114"/>
      <c r="H1685" s="115"/>
    </row>
    <row r="1686" spans="4:8" ht="15.6" x14ac:dyDescent="0.3">
      <c r="D1686" s="123"/>
      <c r="E1686" s="123"/>
      <c r="F1686" s="123"/>
      <c r="G1686" s="114"/>
      <c r="H1686" s="115"/>
    </row>
    <row r="1687" spans="4:8" ht="15.6" x14ac:dyDescent="0.3">
      <c r="D1687" s="123"/>
      <c r="E1687" s="123"/>
      <c r="F1687" s="123"/>
      <c r="G1687" s="114"/>
      <c r="H1687" s="115"/>
    </row>
    <row r="1688" spans="4:8" ht="15.6" x14ac:dyDescent="0.3">
      <c r="D1688" s="123"/>
      <c r="E1688" s="123"/>
      <c r="F1688" s="123"/>
      <c r="G1688" s="114"/>
      <c r="H1688" s="115"/>
    </row>
    <row r="1689" spans="4:8" ht="15.6" x14ac:dyDescent="0.3">
      <c r="D1689" s="123"/>
      <c r="E1689" s="123"/>
      <c r="F1689" s="123"/>
      <c r="G1689" s="114"/>
      <c r="H1689" s="115"/>
    </row>
    <row r="1690" spans="4:8" ht="15.6" x14ac:dyDescent="0.3">
      <c r="D1690" s="123"/>
      <c r="E1690" s="123"/>
      <c r="F1690" s="123"/>
      <c r="G1690" s="114"/>
      <c r="H1690" s="115"/>
    </row>
    <row r="1691" spans="4:8" ht="15.6" x14ac:dyDescent="0.3">
      <c r="D1691" s="123"/>
      <c r="E1691" s="123"/>
      <c r="F1691" s="123"/>
      <c r="G1691" s="114"/>
      <c r="H1691" s="115"/>
    </row>
    <row r="1692" spans="4:8" ht="15.6" x14ac:dyDescent="0.3">
      <c r="D1692" s="123"/>
      <c r="E1692" s="123"/>
      <c r="F1692" s="123"/>
      <c r="G1692" s="114"/>
      <c r="H1692" s="115"/>
    </row>
    <row r="1693" spans="4:8" ht="15.6" x14ac:dyDescent="0.3">
      <c r="D1693" s="123"/>
      <c r="E1693" s="123"/>
      <c r="F1693" s="123"/>
      <c r="G1693" s="114"/>
      <c r="H1693" s="115"/>
    </row>
    <row r="1694" spans="4:8" ht="15.6" x14ac:dyDescent="0.3">
      <c r="D1694" s="123"/>
      <c r="E1694" s="123"/>
      <c r="F1694" s="123"/>
      <c r="G1694" s="114"/>
      <c r="H1694" s="115"/>
    </row>
    <row r="1695" spans="4:8" ht="15.6" x14ac:dyDescent="0.3">
      <c r="D1695" s="123"/>
      <c r="E1695" s="123"/>
      <c r="F1695" s="123"/>
      <c r="G1695" s="114"/>
      <c r="H1695" s="115"/>
    </row>
    <row r="1696" spans="4:8" ht="15.6" x14ac:dyDescent="0.3">
      <c r="D1696" s="123"/>
      <c r="E1696" s="123"/>
      <c r="F1696" s="123"/>
      <c r="G1696" s="114"/>
      <c r="H1696" s="115"/>
    </row>
    <row r="1697" spans="4:8" ht="15.6" x14ac:dyDescent="0.3">
      <c r="D1697" s="123"/>
      <c r="E1697" s="123"/>
      <c r="F1697" s="123"/>
      <c r="G1697" s="114"/>
      <c r="H1697" s="115"/>
    </row>
    <row r="1698" spans="4:8" ht="15.6" x14ac:dyDescent="0.3">
      <c r="D1698" s="123"/>
      <c r="E1698" s="123"/>
      <c r="F1698" s="123"/>
      <c r="G1698" s="114"/>
      <c r="H1698" s="115"/>
    </row>
    <row r="1699" spans="4:8" ht="15.6" x14ac:dyDescent="0.3">
      <c r="D1699" s="123"/>
      <c r="E1699" s="123"/>
      <c r="F1699" s="123"/>
      <c r="G1699" s="114"/>
      <c r="H1699" s="115"/>
    </row>
    <row r="1700" spans="4:8" ht="15.6" x14ac:dyDescent="0.3">
      <c r="D1700" s="123"/>
      <c r="E1700" s="123"/>
      <c r="F1700" s="123"/>
      <c r="G1700" s="114"/>
      <c r="H1700" s="115"/>
    </row>
    <row r="1701" spans="4:8" ht="15.6" x14ac:dyDescent="0.3">
      <c r="D1701" s="123"/>
      <c r="E1701" s="123"/>
      <c r="F1701" s="123"/>
      <c r="G1701" s="114"/>
      <c r="H1701" s="115"/>
    </row>
    <row r="1702" spans="4:8" ht="15.6" x14ac:dyDescent="0.3">
      <c r="D1702" s="123"/>
      <c r="E1702" s="123"/>
      <c r="F1702" s="123"/>
      <c r="G1702" s="114"/>
      <c r="H1702" s="115"/>
    </row>
    <row r="1703" spans="4:8" ht="15.6" x14ac:dyDescent="0.3">
      <c r="D1703" s="123"/>
      <c r="E1703" s="123"/>
      <c r="F1703" s="123"/>
      <c r="G1703" s="114"/>
      <c r="H1703" s="115"/>
    </row>
    <row r="1704" spans="4:8" ht="15.6" x14ac:dyDescent="0.3">
      <c r="D1704" s="123"/>
      <c r="E1704" s="123"/>
      <c r="F1704" s="123"/>
      <c r="G1704" s="114"/>
      <c r="H1704" s="115"/>
    </row>
    <row r="1705" spans="4:8" ht="15.6" x14ac:dyDescent="0.3">
      <c r="D1705" s="123"/>
      <c r="E1705" s="123"/>
      <c r="F1705" s="123"/>
      <c r="G1705" s="114"/>
      <c r="H1705" s="115"/>
    </row>
    <row r="1706" spans="4:8" ht="15.6" x14ac:dyDescent="0.3">
      <c r="D1706" s="123"/>
      <c r="E1706" s="123"/>
      <c r="F1706" s="123"/>
      <c r="G1706" s="114"/>
      <c r="H1706" s="115"/>
    </row>
    <row r="1707" spans="4:8" ht="15.6" x14ac:dyDescent="0.3">
      <c r="D1707" s="123"/>
      <c r="E1707" s="123"/>
      <c r="F1707" s="123"/>
      <c r="G1707" s="114"/>
      <c r="H1707" s="115"/>
    </row>
    <row r="1708" spans="4:8" ht="15.6" x14ac:dyDescent="0.3">
      <c r="D1708" s="123"/>
      <c r="E1708" s="123"/>
      <c r="F1708" s="123"/>
      <c r="G1708" s="114"/>
      <c r="H1708" s="115"/>
    </row>
    <row r="1709" spans="4:8" ht="15.6" x14ac:dyDescent="0.3">
      <c r="D1709" s="123"/>
      <c r="E1709" s="123"/>
      <c r="F1709" s="123"/>
      <c r="G1709" s="114"/>
      <c r="H1709" s="115"/>
    </row>
    <row r="1710" spans="4:8" ht="15.6" x14ac:dyDescent="0.3">
      <c r="D1710" s="123"/>
      <c r="E1710" s="123"/>
      <c r="F1710" s="123"/>
      <c r="G1710" s="114"/>
      <c r="H1710" s="115"/>
    </row>
    <row r="1711" spans="4:8" ht="15.6" x14ac:dyDescent="0.3">
      <c r="D1711" s="123"/>
      <c r="E1711" s="123"/>
      <c r="F1711" s="123"/>
      <c r="G1711" s="114"/>
      <c r="H1711" s="115"/>
    </row>
    <row r="1712" spans="4:8" ht="15.6" x14ac:dyDescent="0.3">
      <c r="D1712" s="123"/>
      <c r="E1712" s="123"/>
      <c r="F1712" s="123"/>
      <c r="G1712" s="114"/>
      <c r="H1712" s="115"/>
    </row>
    <row r="1713" spans="4:8" ht="15.6" x14ac:dyDescent="0.3">
      <c r="D1713" s="123"/>
      <c r="E1713" s="123"/>
      <c r="F1713" s="123"/>
      <c r="G1713" s="114"/>
      <c r="H1713" s="115"/>
    </row>
    <row r="1714" spans="4:8" ht="15.6" x14ac:dyDescent="0.3">
      <c r="D1714" s="123"/>
      <c r="E1714" s="123"/>
      <c r="F1714" s="123"/>
      <c r="G1714" s="114"/>
      <c r="H1714" s="115"/>
    </row>
    <row r="1715" spans="4:8" ht="15.6" x14ac:dyDescent="0.3">
      <c r="D1715" s="123"/>
      <c r="E1715" s="123"/>
      <c r="F1715" s="123"/>
      <c r="G1715" s="114"/>
      <c r="H1715" s="115"/>
    </row>
    <row r="1716" spans="4:8" ht="15.6" x14ac:dyDescent="0.3">
      <c r="D1716" s="123"/>
      <c r="E1716" s="123"/>
      <c r="F1716" s="123"/>
      <c r="G1716" s="114"/>
      <c r="H1716" s="115"/>
    </row>
    <row r="1717" spans="4:8" ht="15.6" x14ac:dyDescent="0.3">
      <c r="D1717" s="123"/>
      <c r="E1717" s="123"/>
      <c r="F1717" s="123"/>
      <c r="G1717" s="114"/>
      <c r="H1717" s="115"/>
    </row>
    <row r="1718" spans="4:8" ht="15.6" x14ac:dyDescent="0.3">
      <c r="D1718" s="123"/>
      <c r="E1718" s="123"/>
      <c r="F1718" s="123"/>
      <c r="G1718" s="114"/>
      <c r="H1718" s="115"/>
    </row>
    <row r="1719" spans="4:8" ht="15.6" x14ac:dyDescent="0.3">
      <c r="D1719" s="123"/>
      <c r="E1719" s="123"/>
      <c r="F1719" s="123"/>
      <c r="G1719" s="114"/>
      <c r="H1719" s="115"/>
    </row>
    <row r="1720" spans="4:8" ht="15.6" x14ac:dyDescent="0.3">
      <c r="D1720" s="123"/>
      <c r="E1720" s="123"/>
      <c r="F1720" s="123"/>
      <c r="G1720" s="114"/>
      <c r="H1720" s="115"/>
    </row>
    <row r="1721" spans="4:8" ht="15.6" x14ac:dyDescent="0.3">
      <c r="D1721" s="123"/>
      <c r="E1721" s="123"/>
      <c r="F1721" s="123"/>
      <c r="G1721" s="114"/>
      <c r="H1721" s="115"/>
    </row>
    <row r="1722" spans="4:8" ht="15.6" x14ac:dyDescent="0.3">
      <c r="D1722" s="123"/>
      <c r="E1722" s="123"/>
      <c r="F1722" s="123"/>
      <c r="G1722" s="114"/>
      <c r="H1722" s="115"/>
    </row>
    <row r="1723" spans="4:8" ht="15.6" x14ac:dyDescent="0.3">
      <c r="D1723" s="123"/>
      <c r="E1723" s="123"/>
      <c r="F1723" s="123"/>
      <c r="G1723" s="114"/>
      <c r="H1723" s="115"/>
    </row>
    <row r="1724" spans="4:8" ht="15.6" x14ac:dyDescent="0.3">
      <c r="D1724" s="123"/>
      <c r="E1724" s="123"/>
      <c r="F1724" s="123"/>
      <c r="G1724" s="114"/>
      <c r="H1724" s="115"/>
    </row>
    <row r="1725" spans="4:8" ht="15.6" x14ac:dyDescent="0.3">
      <c r="D1725" s="123"/>
      <c r="E1725" s="123"/>
      <c r="F1725" s="123"/>
      <c r="G1725" s="114"/>
      <c r="H1725" s="115"/>
    </row>
    <row r="1726" spans="4:8" ht="15.6" x14ac:dyDescent="0.3">
      <c r="D1726" s="123"/>
      <c r="E1726" s="123"/>
      <c r="F1726" s="123"/>
      <c r="G1726" s="114"/>
      <c r="H1726" s="115"/>
    </row>
    <row r="1727" spans="4:8" ht="15.6" x14ac:dyDescent="0.3">
      <c r="D1727" s="123"/>
      <c r="E1727" s="123"/>
      <c r="F1727" s="123"/>
      <c r="G1727" s="114"/>
      <c r="H1727" s="115"/>
    </row>
    <row r="1728" spans="4:8" ht="15.6" x14ac:dyDescent="0.3">
      <c r="D1728" s="123"/>
      <c r="E1728" s="123"/>
      <c r="F1728" s="123"/>
      <c r="G1728" s="114"/>
      <c r="H1728" s="115"/>
    </row>
    <row r="1729" spans="4:8" ht="15.6" x14ac:dyDescent="0.3">
      <c r="D1729" s="123"/>
      <c r="E1729" s="123"/>
      <c r="F1729" s="123"/>
      <c r="G1729" s="114"/>
      <c r="H1729" s="115"/>
    </row>
    <row r="1730" spans="4:8" ht="15.6" x14ac:dyDescent="0.3">
      <c r="D1730" s="123"/>
      <c r="E1730" s="123"/>
      <c r="F1730" s="123"/>
      <c r="G1730" s="114"/>
      <c r="H1730" s="115"/>
    </row>
    <row r="1731" spans="4:8" ht="15.6" x14ac:dyDescent="0.3">
      <c r="D1731" s="123"/>
      <c r="E1731" s="123"/>
      <c r="F1731" s="123"/>
      <c r="G1731" s="114"/>
      <c r="H1731" s="115"/>
    </row>
    <row r="1732" spans="4:8" ht="15.6" x14ac:dyDescent="0.3">
      <c r="D1732" s="123"/>
      <c r="E1732" s="123"/>
      <c r="F1732" s="123"/>
      <c r="G1732" s="114"/>
      <c r="H1732" s="115"/>
    </row>
    <row r="1733" spans="4:8" ht="15.6" x14ac:dyDescent="0.3">
      <c r="D1733" s="123"/>
      <c r="E1733" s="123"/>
      <c r="F1733" s="123"/>
      <c r="G1733" s="114"/>
      <c r="H1733" s="115"/>
    </row>
    <row r="1734" spans="4:8" ht="15.6" x14ac:dyDescent="0.3">
      <c r="D1734" s="123"/>
      <c r="E1734" s="123"/>
      <c r="F1734" s="123"/>
      <c r="G1734" s="114"/>
      <c r="H1734" s="115"/>
    </row>
    <row r="1735" spans="4:8" ht="15.6" x14ac:dyDescent="0.3">
      <c r="D1735" s="123"/>
      <c r="E1735" s="123"/>
      <c r="F1735" s="123"/>
      <c r="G1735" s="114"/>
      <c r="H1735" s="115"/>
    </row>
    <row r="1736" spans="4:8" ht="15.6" x14ac:dyDescent="0.3">
      <c r="D1736" s="123"/>
      <c r="E1736" s="123"/>
      <c r="F1736" s="123"/>
      <c r="G1736" s="114"/>
      <c r="H1736" s="115"/>
    </row>
    <row r="1737" spans="4:8" ht="15.6" x14ac:dyDescent="0.3">
      <c r="D1737" s="123"/>
      <c r="E1737" s="123"/>
      <c r="F1737" s="123"/>
      <c r="G1737" s="114"/>
      <c r="H1737" s="115"/>
    </row>
    <row r="1738" spans="4:8" ht="15.6" x14ac:dyDescent="0.3">
      <c r="D1738" s="123"/>
      <c r="E1738" s="123"/>
      <c r="F1738" s="123"/>
      <c r="G1738" s="114"/>
      <c r="H1738" s="115"/>
    </row>
    <row r="1739" spans="4:8" ht="15.6" x14ac:dyDescent="0.3">
      <c r="D1739" s="123"/>
      <c r="E1739" s="123"/>
      <c r="F1739" s="123"/>
      <c r="G1739" s="114"/>
      <c r="H1739" s="115"/>
    </row>
    <row r="1740" spans="4:8" ht="15.6" x14ac:dyDescent="0.3">
      <c r="D1740" s="123"/>
      <c r="E1740" s="123"/>
      <c r="F1740" s="123"/>
      <c r="G1740" s="114"/>
      <c r="H1740" s="115"/>
    </row>
    <row r="1741" spans="4:8" ht="15.6" x14ac:dyDescent="0.3">
      <c r="D1741" s="123"/>
      <c r="E1741" s="123"/>
      <c r="F1741" s="123"/>
      <c r="G1741" s="114"/>
      <c r="H1741" s="115"/>
    </row>
    <row r="1742" spans="4:8" ht="15.6" x14ac:dyDescent="0.3">
      <c r="D1742" s="123"/>
      <c r="E1742" s="123"/>
      <c r="F1742" s="123"/>
      <c r="G1742" s="114"/>
      <c r="H1742" s="115"/>
    </row>
    <row r="1743" spans="4:8" ht="15.6" x14ac:dyDescent="0.3">
      <c r="D1743" s="123"/>
      <c r="E1743" s="123"/>
      <c r="F1743" s="123"/>
      <c r="G1743" s="114"/>
      <c r="H1743" s="115"/>
    </row>
    <row r="1744" spans="4:8" ht="15.6" x14ac:dyDescent="0.3">
      <c r="D1744" s="123"/>
      <c r="E1744" s="123"/>
      <c r="F1744" s="123"/>
      <c r="G1744" s="114"/>
      <c r="H1744" s="115"/>
    </row>
    <row r="1745" spans="4:8" ht="15.6" x14ac:dyDescent="0.3">
      <c r="D1745" s="123"/>
      <c r="E1745" s="123"/>
      <c r="F1745" s="123"/>
      <c r="G1745" s="114"/>
      <c r="H1745" s="115"/>
    </row>
    <row r="1746" spans="4:8" ht="15.6" x14ac:dyDescent="0.3">
      <c r="D1746" s="123"/>
      <c r="E1746" s="123"/>
      <c r="F1746" s="123"/>
      <c r="G1746" s="114"/>
      <c r="H1746" s="115"/>
    </row>
    <row r="1747" spans="4:8" ht="15.6" x14ac:dyDescent="0.3">
      <c r="D1747" s="123"/>
      <c r="E1747" s="123"/>
      <c r="F1747" s="123"/>
      <c r="G1747" s="114"/>
      <c r="H1747" s="115"/>
    </row>
    <row r="1748" spans="4:8" ht="15.6" x14ac:dyDescent="0.3">
      <c r="D1748" s="123"/>
      <c r="E1748" s="123"/>
      <c r="F1748" s="123"/>
      <c r="G1748" s="114"/>
      <c r="H1748" s="115"/>
    </row>
    <row r="1749" spans="4:8" ht="15.6" x14ac:dyDescent="0.3">
      <c r="D1749" s="123"/>
      <c r="E1749" s="123"/>
      <c r="F1749" s="123"/>
      <c r="G1749" s="114"/>
      <c r="H1749" s="115"/>
    </row>
    <row r="1750" spans="4:8" ht="15.6" x14ac:dyDescent="0.3">
      <c r="D1750" s="123"/>
      <c r="E1750" s="123"/>
      <c r="F1750" s="123"/>
      <c r="G1750" s="114"/>
      <c r="H1750" s="115"/>
    </row>
    <row r="1751" spans="4:8" ht="15.6" x14ac:dyDescent="0.3">
      <c r="D1751" s="123"/>
      <c r="E1751" s="123"/>
      <c r="F1751" s="123"/>
      <c r="G1751" s="114"/>
      <c r="H1751" s="115"/>
    </row>
    <row r="1752" spans="4:8" ht="15.6" x14ac:dyDescent="0.3">
      <c r="D1752" s="123"/>
      <c r="E1752" s="123"/>
      <c r="F1752" s="123"/>
      <c r="G1752" s="114"/>
      <c r="H1752" s="115"/>
    </row>
    <row r="1753" spans="4:8" ht="15.6" x14ac:dyDescent="0.3">
      <c r="D1753" s="123"/>
      <c r="E1753" s="123"/>
      <c r="F1753" s="123"/>
      <c r="G1753" s="114"/>
      <c r="H1753" s="115"/>
    </row>
    <row r="1754" spans="4:8" ht="15.6" x14ac:dyDescent="0.3">
      <c r="D1754" s="123"/>
      <c r="E1754" s="123"/>
      <c r="F1754" s="123"/>
      <c r="G1754" s="114"/>
      <c r="H1754" s="115"/>
    </row>
    <row r="1755" spans="4:8" ht="15.6" x14ac:dyDescent="0.3">
      <c r="D1755" s="123"/>
      <c r="E1755" s="123"/>
      <c r="F1755" s="123"/>
      <c r="G1755" s="114"/>
      <c r="H1755" s="115"/>
    </row>
    <row r="1756" spans="4:8" ht="15.6" x14ac:dyDescent="0.3">
      <c r="D1756" s="123"/>
      <c r="E1756" s="123"/>
      <c r="F1756" s="123"/>
      <c r="G1756" s="114"/>
      <c r="H1756" s="115"/>
    </row>
    <row r="1757" spans="4:8" ht="15.6" x14ac:dyDescent="0.3">
      <c r="D1757" s="123"/>
      <c r="E1757" s="123"/>
      <c r="F1757" s="123"/>
      <c r="G1757" s="114"/>
      <c r="H1757" s="115"/>
    </row>
    <row r="1758" spans="4:8" ht="15.6" x14ac:dyDescent="0.3">
      <c r="D1758" s="123"/>
      <c r="E1758" s="123"/>
      <c r="F1758" s="123"/>
      <c r="G1758" s="114"/>
      <c r="H1758" s="115"/>
    </row>
    <row r="1759" spans="4:8" ht="15.6" x14ac:dyDescent="0.3">
      <c r="D1759" s="123"/>
      <c r="E1759" s="123"/>
      <c r="F1759" s="123"/>
      <c r="G1759" s="114"/>
      <c r="H1759" s="115"/>
    </row>
    <row r="1760" spans="4:8" ht="15.6" x14ac:dyDescent="0.3">
      <c r="D1760" s="123"/>
      <c r="E1760" s="123"/>
      <c r="F1760" s="123"/>
      <c r="G1760" s="114"/>
      <c r="H1760" s="115"/>
    </row>
    <row r="1761" spans="4:8" ht="15.6" x14ac:dyDescent="0.3">
      <c r="D1761" s="123"/>
      <c r="E1761" s="123"/>
      <c r="F1761" s="123"/>
      <c r="G1761" s="114"/>
      <c r="H1761" s="115"/>
    </row>
    <row r="1762" spans="4:8" ht="15.6" x14ac:dyDescent="0.3">
      <c r="D1762" s="123"/>
      <c r="E1762" s="123"/>
      <c r="F1762" s="123"/>
      <c r="G1762" s="114"/>
      <c r="H1762" s="115"/>
    </row>
    <row r="1763" spans="4:8" ht="15.6" x14ac:dyDescent="0.3">
      <c r="D1763" s="123"/>
      <c r="E1763" s="123"/>
      <c r="F1763" s="123"/>
      <c r="G1763" s="114"/>
      <c r="H1763" s="115"/>
    </row>
    <row r="1764" spans="4:8" ht="15.6" x14ac:dyDescent="0.3">
      <c r="D1764" s="123"/>
      <c r="E1764" s="123"/>
      <c r="F1764" s="123"/>
      <c r="G1764" s="114"/>
      <c r="H1764" s="115"/>
    </row>
    <row r="1765" spans="4:8" ht="15.6" x14ac:dyDescent="0.3">
      <c r="D1765" s="123"/>
      <c r="E1765" s="123"/>
      <c r="F1765" s="123"/>
      <c r="G1765" s="114"/>
      <c r="H1765" s="115"/>
    </row>
    <row r="1766" spans="4:8" ht="15.6" x14ac:dyDescent="0.3">
      <c r="D1766" s="123"/>
      <c r="E1766" s="123"/>
      <c r="F1766" s="123"/>
      <c r="G1766" s="114"/>
      <c r="H1766" s="115"/>
    </row>
    <row r="1767" spans="4:8" ht="15.6" x14ac:dyDescent="0.3">
      <c r="D1767" s="123"/>
      <c r="E1767" s="123"/>
      <c r="F1767" s="123"/>
      <c r="G1767" s="114"/>
      <c r="H1767" s="115"/>
    </row>
    <row r="1768" spans="4:8" ht="15.6" x14ac:dyDescent="0.3">
      <c r="D1768" s="123"/>
      <c r="E1768" s="123"/>
      <c r="F1768" s="123"/>
      <c r="G1768" s="114"/>
      <c r="H1768" s="115"/>
    </row>
    <row r="1769" spans="4:8" ht="15.6" x14ac:dyDescent="0.3">
      <c r="D1769" s="123"/>
      <c r="E1769" s="123"/>
      <c r="F1769" s="123"/>
      <c r="G1769" s="114"/>
      <c r="H1769" s="115"/>
    </row>
    <row r="1770" spans="4:8" ht="15.6" x14ac:dyDescent="0.3">
      <c r="D1770" s="123"/>
      <c r="E1770" s="123"/>
      <c r="F1770" s="123"/>
      <c r="G1770" s="114"/>
      <c r="H1770" s="115"/>
    </row>
    <row r="1771" spans="4:8" ht="15.6" x14ac:dyDescent="0.3">
      <c r="D1771" s="123"/>
      <c r="E1771" s="123"/>
      <c r="F1771" s="123"/>
      <c r="G1771" s="114"/>
      <c r="H1771" s="115"/>
    </row>
    <row r="1772" spans="4:8" ht="15.6" x14ac:dyDescent="0.3">
      <c r="D1772" s="123"/>
      <c r="E1772" s="123"/>
      <c r="F1772" s="123"/>
      <c r="G1772" s="114"/>
      <c r="H1772" s="115"/>
    </row>
    <row r="1773" spans="4:8" ht="15.6" x14ac:dyDescent="0.3">
      <c r="D1773" s="123"/>
      <c r="E1773" s="123"/>
      <c r="F1773" s="123"/>
      <c r="G1773" s="114"/>
      <c r="H1773" s="115"/>
    </row>
    <row r="1774" spans="4:8" ht="15.6" x14ac:dyDescent="0.3">
      <c r="D1774" s="123"/>
      <c r="E1774" s="123"/>
      <c r="F1774" s="123"/>
      <c r="G1774" s="114"/>
      <c r="H1774" s="115"/>
    </row>
    <row r="1775" spans="4:8" ht="15.6" x14ac:dyDescent="0.3">
      <c r="D1775" s="123"/>
      <c r="E1775" s="123"/>
      <c r="F1775" s="123"/>
      <c r="G1775" s="114"/>
      <c r="H1775" s="115"/>
    </row>
    <row r="1776" spans="4:8" ht="15.6" x14ac:dyDescent="0.3">
      <c r="D1776" s="123"/>
      <c r="E1776" s="123"/>
      <c r="F1776" s="123"/>
      <c r="G1776" s="114"/>
      <c r="H1776" s="115"/>
    </row>
    <row r="1777" spans="4:8" ht="15.6" x14ac:dyDescent="0.3">
      <c r="D1777" s="123"/>
      <c r="E1777" s="123"/>
      <c r="F1777" s="123"/>
      <c r="G1777" s="114"/>
      <c r="H1777" s="115"/>
    </row>
    <row r="1778" spans="4:8" ht="15.6" x14ac:dyDescent="0.3">
      <c r="D1778" s="123"/>
      <c r="E1778" s="123"/>
      <c r="F1778" s="123"/>
      <c r="G1778" s="114"/>
      <c r="H1778" s="115"/>
    </row>
    <row r="1779" spans="4:8" ht="15.6" x14ac:dyDescent="0.3">
      <c r="D1779" s="123"/>
      <c r="E1779" s="123"/>
      <c r="F1779" s="123"/>
      <c r="G1779" s="114"/>
      <c r="H1779" s="115"/>
    </row>
    <row r="1780" spans="4:8" ht="15.6" x14ac:dyDescent="0.3">
      <c r="D1780" s="123"/>
      <c r="E1780" s="123"/>
      <c r="F1780" s="123"/>
      <c r="G1780" s="114"/>
      <c r="H1780" s="115"/>
    </row>
    <row r="1781" spans="4:8" ht="15.6" x14ac:dyDescent="0.3">
      <c r="D1781" s="123"/>
      <c r="E1781" s="123"/>
      <c r="F1781" s="123"/>
      <c r="G1781" s="114"/>
      <c r="H1781" s="115"/>
    </row>
    <row r="1782" spans="4:8" ht="15.6" x14ac:dyDescent="0.3">
      <c r="D1782" s="123"/>
      <c r="E1782" s="123"/>
      <c r="F1782" s="123"/>
      <c r="G1782" s="114"/>
      <c r="H1782" s="115"/>
    </row>
    <row r="1783" spans="4:8" ht="15.6" x14ac:dyDescent="0.3">
      <c r="D1783" s="123"/>
      <c r="E1783" s="123"/>
      <c r="F1783" s="123"/>
      <c r="G1783" s="114"/>
      <c r="H1783" s="115"/>
    </row>
    <row r="1784" spans="4:8" ht="15.6" x14ac:dyDescent="0.3">
      <c r="D1784" s="123"/>
      <c r="E1784" s="123"/>
      <c r="F1784" s="123"/>
      <c r="G1784" s="114"/>
      <c r="H1784" s="115"/>
    </row>
    <row r="1785" spans="4:8" ht="15.6" x14ac:dyDescent="0.3">
      <c r="D1785" s="123"/>
      <c r="E1785" s="123"/>
      <c r="F1785" s="123"/>
      <c r="G1785" s="114"/>
      <c r="H1785" s="115"/>
    </row>
    <row r="1786" spans="4:8" ht="15.6" x14ac:dyDescent="0.3">
      <c r="D1786" s="123"/>
      <c r="E1786" s="123"/>
      <c r="F1786" s="123"/>
      <c r="G1786" s="114"/>
      <c r="H1786" s="115"/>
    </row>
    <row r="1787" spans="4:8" ht="15.6" x14ac:dyDescent="0.3">
      <c r="D1787" s="123"/>
      <c r="E1787" s="123"/>
      <c r="F1787" s="123"/>
      <c r="G1787" s="114"/>
      <c r="H1787" s="115"/>
    </row>
    <row r="1788" spans="4:8" ht="15.6" x14ac:dyDescent="0.3">
      <c r="D1788" s="123"/>
      <c r="E1788" s="123"/>
      <c r="F1788" s="123"/>
      <c r="G1788" s="114"/>
      <c r="H1788" s="115"/>
    </row>
    <row r="1789" spans="4:8" ht="15.6" x14ac:dyDescent="0.3">
      <c r="D1789" s="123"/>
      <c r="E1789" s="123"/>
      <c r="F1789" s="123"/>
      <c r="G1789" s="114"/>
      <c r="H1789" s="115"/>
    </row>
    <row r="1790" spans="4:8" ht="15.6" x14ac:dyDescent="0.3">
      <c r="D1790" s="123"/>
      <c r="E1790" s="123"/>
      <c r="F1790" s="123"/>
      <c r="G1790" s="114"/>
      <c r="H1790" s="115"/>
    </row>
    <row r="1791" spans="4:8" ht="15.6" x14ac:dyDescent="0.3">
      <c r="D1791" s="123"/>
      <c r="E1791" s="123"/>
      <c r="F1791" s="123"/>
      <c r="G1791" s="114"/>
      <c r="H1791" s="115"/>
    </row>
    <row r="1792" spans="4:8" ht="15.6" x14ac:dyDescent="0.3">
      <c r="D1792" s="123"/>
      <c r="E1792" s="123"/>
      <c r="F1792" s="123"/>
      <c r="G1792" s="114"/>
      <c r="H1792" s="115"/>
    </row>
    <row r="1793" spans="4:8" ht="15.6" x14ac:dyDescent="0.3">
      <c r="D1793" s="123"/>
      <c r="E1793" s="123"/>
      <c r="F1793" s="123"/>
      <c r="G1793" s="114"/>
      <c r="H1793" s="115"/>
    </row>
    <row r="1794" spans="4:8" ht="15.6" x14ac:dyDescent="0.3">
      <c r="D1794" s="123"/>
      <c r="E1794" s="123"/>
      <c r="F1794" s="123"/>
      <c r="G1794" s="114"/>
      <c r="H1794" s="115"/>
    </row>
    <row r="1795" spans="4:8" ht="15.6" x14ac:dyDescent="0.3">
      <c r="D1795" s="123"/>
      <c r="E1795" s="123"/>
      <c r="F1795" s="123"/>
      <c r="G1795" s="114"/>
      <c r="H1795" s="115"/>
    </row>
    <row r="1796" spans="4:8" ht="15.6" x14ac:dyDescent="0.3">
      <c r="D1796" s="123"/>
      <c r="E1796" s="123"/>
      <c r="F1796" s="123"/>
      <c r="G1796" s="114"/>
      <c r="H1796" s="115"/>
    </row>
    <row r="1797" spans="4:8" ht="15.6" x14ac:dyDescent="0.3">
      <c r="D1797" s="123"/>
      <c r="E1797" s="123"/>
      <c r="F1797" s="123"/>
      <c r="G1797" s="114"/>
      <c r="H1797" s="115"/>
    </row>
    <row r="1798" spans="4:8" ht="15.6" x14ac:dyDescent="0.3">
      <c r="D1798" s="123"/>
      <c r="E1798" s="123"/>
      <c r="F1798" s="123"/>
      <c r="G1798" s="114"/>
      <c r="H1798" s="115"/>
    </row>
    <row r="1799" spans="4:8" ht="15.6" x14ac:dyDescent="0.3">
      <c r="D1799" s="123"/>
      <c r="E1799" s="123"/>
      <c r="F1799" s="123"/>
      <c r="G1799" s="114"/>
      <c r="H1799" s="115"/>
    </row>
    <row r="1800" spans="4:8" ht="15.6" x14ac:dyDescent="0.3">
      <c r="D1800" s="123"/>
      <c r="E1800" s="123"/>
      <c r="F1800" s="123"/>
      <c r="G1800" s="114"/>
      <c r="H1800" s="115"/>
    </row>
    <row r="1801" spans="4:8" ht="15.6" x14ac:dyDescent="0.3">
      <c r="D1801" s="123"/>
      <c r="E1801" s="123"/>
      <c r="F1801" s="123"/>
      <c r="G1801" s="114"/>
      <c r="H1801" s="115"/>
    </row>
    <row r="1802" spans="4:8" ht="15.6" x14ac:dyDescent="0.3">
      <c r="D1802" s="123"/>
      <c r="E1802" s="123"/>
      <c r="F1802" s="123"/>
      <c r="G1802" s="114"/>
      <c r="H1802" s="115"/>
    </row>
    <row r="1803" spans="4:8" ht="15.6" x14ac:dyDescent="0.3">
      <c r="D1803" s="123"/>
      <c r="E1803" s="123"/>
      <c r="F1803" s="123"/>
      <c r="G1803" s="114"/>
      <c r="H1803" s="115"/>
    </row>
    <row r="1804" spans="4:8" ht="15.6" x14ac:dyDescent="0.3">
      <c r="D1804" s="123"/>
      <c r="E1804" s="123"/>
      <c r="F1804" s="123"/>
      <c r="G1804" s="114"/>
      <c r="H1804" s="115"/>
    </row>
    <row r="1805" spans="4:8" ht="15.6" x14ac:dyDescent="0.3">
      <c r="D1805" s="123"/>
      <c r="E1805" s="123"/>
      <c r="F1805" s="123"/>
      <c r="G1805" s="114"/>
      <c r="H1805" s="115"/>
    </row>
    <row r="1806" spans="4:8" ht="15.6" x14ac:dyDescent="0.3">
      <c r="D1806" s="123"/>
      <c r="E1806" s="123"/>
      <c r="F1806" s="123"/>
      <c r="G1806" s="114"/>
      <c r="H1806" s="115"/>
    </row>
    <row r="1807" spans="4:8" ht="15.6" x14ac:dyDescent="0.3">
      <c r="D1807" s="123"/>
      <c r="E1807" s="123"/>
      <c r="F1807" s="123"/>
      <c r="G1807" s="114"/>
      <c r="H1807" s="115"/>
    </row>
    <row r="1808" spans="4:8" ht="15.6" x14ac:dyDescent="0.3">
      <c r="D1808" s="123"/>
      <c r="E1808" s="123"/>
      <c r="F1808" s="123"/>
      <c r="G1808" s="114"/>
      <c r="H1808" s="115"/>
    </row>
    <row r="1809" spans="4:8" ht="15.6" x14ac:dyDescent="0.3">
      <c r="D1809" s="123"/>
      <c r="E1809" s="123"/>
      <c r="F1809" s="123"/>
      <c r="G1809" s="114"/>
      <c r="H1809" s="115"/>
    </row>
    <row r="1810" spans="4:8" ht="15.6" x14ac:dyDescent="0.3">
      <c r="D1810" s="123"/>
      <c r="E1810" s="123"/>
      <c r="F1810" s="123"/>
      <c r="G1810" s="114"/>
      <c r="H1810" s="115"/>
    </row>
    <row r="1811" spans="4:8" ht="15.6" x14ac:dyDescent="0.3">
      <c r="D1811" s="123"/>
      <c r="E1811" s="123"/>
      <c r="F1811" s="123"/>
      <c r="G1811" s="114"/>
      <c r="H1811" s="115"/>
    </row>
    <row r="1812" spans="4:8" ht="15.6" x14ac:dyDescent="0.3">
      <c r="D1812" s="123"/>
      <c r="E1812" s="123"/>
      <c r="F1812" s="123"/>
      <c r="G1812" s="114"/>
      <c r="H1812" s="115"/>
    </row>
    <row r="1813" spans="4:8" ht="15.6" x14ac:dyDescent="0.3">
      <c r="D1813" s="123"/>
      <c r="E1813" s="123"/>
      <c r="F1813" s="123"/>
      <c r="G1813" s="114"/>
      <c r="H1813" s="115"/>
    </row>
    <row r="1814" spans="4:8" ht="15.6" x14ac:dyDescent="0.3">
      <c r="D1814" s="123"/>
      <c r="E1814" s="123"/>
      <c r="F1814" s="123"/>
      <c r="G1814" s="114"/>
      <c r="H1814" s="115"/>
    </row>
    <row r="1815" spans="4:8" ht="15.6" x14ac:dyDescent="0.3">
      <c r="D1815" s="123"/>
      <c r="E1815" s="123"/>
      <c r="F1815" s="123"/>
      <c r="G1815" s="114"/>
      <c r="H1815" s="115"/>
    </row>
    <row r="1816" spans="4:8" ht="15.6" x14ac:dyDescent="0.3">
      <c r="D1816" s="123"/>
      <c r="E1816" s="123"/>
      <c r="F1816" s="123"/>
      <c r="G1816" s="114"/>
      <c r="H1816" s="115"/>
    </row>
    <row r="1817" spans="4:8" ht="15.6" x14ac:dyDescent="0.3">
      <c r="D1817" s="123"/>
      <c r="E1817" s="123"/>
      <c r="F1817" s="123"/>
      <c r="G1817" s="114"/>
      <c r="H1817" s="115"/>
    </row>
    <row r="1818" spans="4:8" ht="15.6" x14ac:dyDescent="0.3">
      <c r="D1818" s="123"/>
      <c r="E1818" s="123"/>
      <c r="F1818" s="123"/>
      <c r="G1818" s="114"/>
      <c r="H1818" s="115"/>
    </row>
    <row r="1819" spans="4:8" ht="15.6" x14ac:dyDescent="0.3">
      <c r="D1819" s="123"/>
      <c r="E1819" s="123"/>
      <c r="F1819" s="123"/>
      <c r="G1819" s="114"/>
      <c r="H1819" s="115"/>
    </row>
    <row r="1820" spans="4:8" ht="15.6" x14ac:dyDescent="0.3">
      <c r="D1820" s="123"/>
      <c r="E1820" s="123"/>
      <c r="F1820" s="123"/>
      <c r="G1820" s="114"/>
      <c r="H1820" s="115"/>
    </row>
    <row r="1821" spans="4:8" ht="15.6" x14ac:dyDescent="0.3">
      <c r="D1821" s="123"/>
      <c r="E1821" s="123"/>
      <c r="F1821" s="123"/>
      <c r="G1821" s="114"/>
      <c r="H1821" s="115"/>
    </row>
    <row r="1822" spans="4:8" ht="15.6" x14ac:dyDescent="0.3">
      <c r="D1822" s="123"/>
      <c r="E1822" s="123"/>
      <c r="F1822" s="123"/>
      <c r="G1822" s="114"/>
      <c r="H1822" s="115"/>
    </row>
    <row r="1823" spans="4:8" ht="15.6" x14ac:dyDescent="0.3">
      <c r="D1823" s="123"/>
      <c r="E1823" s="123"/>
      <c r="F1823" s="123"/>
      <c r="G1823" s="114"/>
      <c r="H1823" s="115"/>
    </row>
    <row r="1824" spans="4:8" ht="15.6" x14ac:dyDescent="0.3">
      <c r="D1824" s="123"/>
      <c r="E1824" s="123"/>
      <c r="F1824" s="123"/>
      <c r="G1824" s="114"/>
      <c r="H1824" s="115"/>
    </row>
    <row r="1825" spans="4:8" ht="15.6" x14ac:dyDescent="0.3">
      <c r="D1825" s="123"/>
      <c r="E1825" s="123"/>
      <c r="F1825" s="123"/>
      <c r="G1825" s="114"/>
      <c r="H1825" s="115"/>
    </row>
    <row r="1826" spans="4:8" ht="15.6" x14ac:dyDescent="0.3">
      <c r="D1826" s="123"/>
      <c r="E1826" s="123"/>
      <c r="F1826" s="123"/>
      <c r="G1826" s="114"/>
      <c r="H1826" s="115"/>
    </row>
    <row r="1827" spans="4:8" ht="15.6" x14ac:dyDescent="0.3">
      <c r="D1827" s="123"/>
      <c r="E1827" s="123"/>
      <c r="F1827" s="123"/>
      <c r="G1827" s="114"/>
      <c r="H1827" s="115"/>
    </row>
    <row r="1828" spans="4:8" ht="15.6" x14ac:dyDescent="0.3">
      <c r="D1828" s="123"/>
      <c r="E1828" s="123"/>
      <c r="F1828" s="123"/>
      <c r="G1828" s="114"/>
      <c r="H1828" s="115"/>
    </row>
    <row r="1829" spans="4:8" ht="15.6" x14ac:dyDescent="0.3">
      <c r="D1829" s="123"/>
      <c r="E1829" s="123"/>
      <c r="F1829" s="123"/>
      <c r="G1829" s="114"/>
      <c r="H1829" s="115"/>
    </row>
    <row r="1830" spans="4:8" ht="15.6" x14ac:dyDescent="0.3">
      <c r="D1830" s="123"/>
      <c r="E1830" s="123"/>
      <c r="F1830" s="123"/>
      <c r="G1830" s="114"/>
      <c r="H1830" s="115"/>
    </row>
    <row r="1831" spans="4:8" ht="15.6" x14ac:dyDescent="0.3">
      <c r="D1831" s="123"/>
      <c r="E1831" s="123"/>
      <c r="F1831" s="123"/>
      <c r="G1831" s="114"/>
      <c r="H1831" s="115"/>
    </row>
    <row r="1832" spans="4:8" ht="15.6" x14ac:dyDescent="0.3">
      <c r="D1832" s="123"/>
      <c r="E1832" s="123"/>
      <c r="F1832" s="123"/>
      <c r="G1832" s="114"/>
      <c r="H1832" s="115"/>
    </row>
    <row r="1833" spans="4:8" ht="15.6" x14ac:dyDescent="0.3">
      <c r="D1833" s="123"/>
      <c r="E1833" s="123"/>
      <c r="F1833" s="123"/>
      <c r="G1833" s="114"/>
      <c r="H1833" s="115"/>
    </row>
    <row r="1834" spans="4:8" ht="15.6" x14ac:dyDescent="0.3">
      <c r="D1834" s="123"/>
      <c r="E1834" s="123"/>
      <c r="F1834" s="123"/>
      <c r="G1834" s="114"/>
      <c r="H1834" s="115"/>
    </row>
    <row r="1835" spans="4:8" ht="15.6" x14ac:dyDescent="0.3">
      <c r="D1835" s="123"/>
      <c r="E1835" s="123"/>
      <c r="F1835" s="123"/>
      <c r="G1835" s="114"/>
      <c r="H1835" s="115"/>
    </row>
    <row r="1836" spans="4:8" ht="15.6" x14ac:dyDescent="0.3">
      <c r="D1836" s="123"/>
      <c r="E1836" s="123"/>
      <c r="F1836" s="123"/>
      <c r="G1836" s="114"/>
      <c r="H1836" s="115"/>
    </row>
    <row r="1837" spans="4:8" ht="15.6" x14ac:dyDescent="0.3">
      <c r="D1837" s="123"/>
      <c r="E1837" s="123"/>
      <c r="F1837" s="123"/>
      <c r="G1837" s="114"/>
      <c r="H1837" s="115"/>
    </row>
    <row r="1838" spans="4:8" ht="15.6" x14ac:dyDescent="0.3">
      <c r="D1838" s="123"/>
      <c r="E1838" s="123"/>
      <c r="F1838" s="123"/>
      <c r="G1838" s="114"/>
      <c r="H1838" s="115"/>
    </row>
    <row r="1839" spans="4:8" ht="15.6" x14ac:dyDescent="0.3">
      <c r="D1839" s="123"/>
      <c r="E1839" s="123"/>
      <c r="F1839" s="123"/>
      <c r="G1839" s="114"/>
      <c r="H1839" s="115"/>
    </row>
    <row r="1840" spans="4:8" ht="15.6" x14ac:dyDescent="0.3">
      <c r="D1840" s="123"/>
      <c r="E1840" s="123"/>
      <c r="F1840" s="123"/>
      <c r="G1840" s="114"/>
      <c r="H1840" s="115"/>
    </row>
    <row r="1841" spans="4:8" ht="15.6" x14ac:dyDescent="0.3">
      <c r="D1841" s="123"/>
      <c r="E1841" s="123"/>
      <c r="F1841" s="123"/>
      <c r="G1841" s="114"/>
      <c r="H1841" s="115"/>
    </row>
    <row r="1842" spans="4:8" ht="15.6" x14ac:dyDescent="0.3">
      <c r="D1842" s="123"/>
      <c r="E1842" s="123"/>
      <c r="F1842" s="123"/>
      <c r="G1842" s="114"/>
      <c r="H1842" s="115"/>
    </row>
    <row r="1843" spans="4:8" ht="15.6" x14ac:dyDescent="0.3">
      <c r="D1843" s="123"/>
      <c r="E1843" s="123"/>
      <c r="F1843" s="123"/>
      <c r="G1843" s="114"/>
      <c r="H1843" s="115"/>
    </row>
    <row r="1844" spans="4:8" ht="15.6" x14ac:dyDescent="0.3">
      <c r="D1844" s="123"/>
      <c r="E1844" s="123"/>
      <c r="F1844" s="123"/>
      <c r="G1844" s="114"/>
      <c r="H1844" s="115"/>
    </row>
    <row r="1845" spans="4:8" ht="15.6" x14ac:dyDescent="0.3">
      <c r="D1845" s="123"/>
      <c r="E1845" s="123"/>
      <c r="F1845" s="123"/>
      <c r="G1845" s="114"/>
      <c r="H1845" s="115"/>
    </row>
    <row r="1846" spans="4:8" ht="15.6" x14ac:dyDescent="0.3">
      <c r="D1846" s="123"/>
      <c r="E1846" s="123"/>
      <c r="F1846" s="123"/>
      <c r="G1846" s="114"/>
      <c r="H1846" s="115"/>
    </row>
    <row r="1847" spans="4:8" ht="15.6" x14ac:dyDescent="0.3">
      <c r="D1847" s="123"/>
      <c r="E1847" s="123"/>
      <c r="F1847" s="123"/>
      <c r="G1847" s="114"/>
      <c r="H1847" s="115"/>
    </row>
    <row r="1848" spans="4:8" ht="15.6" x14ac:dyDescent="0.3">
      <c r="D1848" s="123"/>
      <c r="E1848" s="123"/>
      <c r="F1848" s="123"/>
      <c r="G1848" s="114"/>
      <c r="H1848" s="115"/>
    </row>
    <row r="1849" spans="4:8" ht="15.6" x14ac:dyDescent="0.3">
      <c r="D1849" s="123"/>
      <c r="E1849" s="123"/>
      <c r="F1849" s="123"/>
      <c r="G1849" s="114"/>
      <c r="H1849" s="115"/>
    </row>
    <row r="1850" spans="4:8" ht="15.6" x14ac:dyDescent="0.3">
      <c r="D1850" s="123"/>
      <c r="E1850" s="123"/>
      <c r="F1850" s="123"/>
      <c r="G1850" s="114"/>
      <c r="H1850" s="115"/>
    </row>
    <row r="1851" spans="4:8" ht="15.6" x14ac:dyDescent="0.3">
      <c r="D1851" s="123"/>
      <c r="E1851" s="123"/>
      <c r="F1851" s="123"/>
      <c r="G1851" s="114"/>
      <c r="H1851" s="115"/>
    </row>
    <row r="1852" spans="4:8" ht="15.6" x14ac:dyDescent="0.3">
      <c r="D1852" s="123"/>
      <c r="E1852" s="123"/>
      <c r="F1852" s="123"/>
      <c r="G1852" s="114"/>
      <c r="H1852" s="115"/>
    </row>
    <row r="1853" spans="4:8" ht="15.6" x14ac:dyDescent="0.3">
      <c r="D1853" s="123"/>
      <c r="E1853" s="123"/>
      <c r="F1853" s="123"/>
      <c r="G1853" s="114"/>
      <c r="H1853" s="115"/>
    </row>
    <row r="1854" spans="4:8" ht="15.6" x14ac:dyDescent="0.3">
      <c r="D1854" s="123"/>
      <c r="E1854" s="123"/>
      <c r="F1854" s="123"/>
      <c r="G1854" s="114"/>
      <c r="H1854" s="115"/>
    </row>
    <row r="1855" spans="4:8" ht="15.6" x14ac:dyDescent="0.3">
      <c r="D1855" s="123"/>
      <c r="E1855" s="123"/>
      <c r="F1855" s="123"/>
      <c r="G1855" s="114"/>
      <c r="H1855" s="115"/>
    </row>
    <row r="1856" spans="4:8" ht="15.6" x14ac:dyDescent="0.3">
      <c r="D1856" s="123"/>
      <c r="E1856" s="123"/>
      <c r="F1856" s="123"/>
      <c r="G1856" s="114"/>
      <c r="H1856" s="115"/>
    </row>
    <row r="1857" spans="4:8" ht="15.6" x14ac:dyDescent="0.3">
      <c r="D1857" s="123"/>
      <c r="E1857" s="123"/>
      <c r="F1857" s="123"/>
      <c r="G1857" s="114"/>
      <c r="H1857" s="115"/>
    </row>
    <row r="1858" spans="4:8" ht="15.6" x14ac:dyDescent="0.3">
      <c r="D1858" s="123"/>
      <c r="E1858" s="123"/>
      <c r="F1858" s="123"/>
      <c r="G1858" s="114"/>
      <c r="H1858" s="115"/>
    </row>
    <row r="1859" spans="4:8" ht="15.6" x14ac:dyDescent="0.3">
      <c r="D1859" s="123"/>
      <c r="E1859" s="123"/>
      <c r="F1859" s="123"/>
      <c r="G1859" s="114"/>
      <c r="H1859" s="115"/>
    </row>
    <row r="1860" spans="4:8" ht="15.6" x14ac:dyDescent="0.3">
      <c r="D1860" s="123"/>
      <c r="E1860" s="123"/>
      <c r="F1860" s="123"/>
      <c r="G1860" s="114"/>
      <c r="H1860" s="115"/>
    </row>
    <row r="1861" spans="4:8" ht="15.6" x14ac:dyDescent="0.3">
      <c r="D1861" s="123"/>
      <c r="E1861" s="123"/>
      <c r="F1861" s="123"/>
      <c r="G1861" s="114"/>
      <c r="H1861" s="115"/>
    </row>
    <row r="1862" spans="4:8" ht="15.6" x14ac:dyDescent="0.3">
      <c r="D1862" s="123"/>
      <c r="E1862" s="123"/>
      <c r="F1862" s="123"/>
      <c r="G1862" s="114"/>
      <c r="H1862" s="115"/>
    </row>
    <row r="1863" spans="4:8" ht="15.6" x14ac:dyDescent="0.3">
      <c r="D1863" s="123"/>
      <c r="E1863" s="123"/>
      <c r="F1863" s="123"/>
      <c r="G1863" s="114"/>
      <c r="H1863" s="115"/>
    </row>
    <row r="1864" spans="4:8" ht="15.6" x14ac:dyDescent="0.3">
      <c r="D1864" s="123"/>
      <c r="E1864" s="123"/>
      <c r="F1864" s="123"/>
      <c r="G1864" s="114"/>
      <c r="H1864" s="115"/>
    </row>
    <row r="1865" spans="4:8" ht="15.6" x14ac:dyDescent="0.3">
      <c r="D1865" s="123"/>
      <c r="E1865" s="123"/>
      <c r="F1865" s="123"/>
      <c r="G1865" s="114"/>
      <c r="H1865" s="115"/>
    </row>
    <row r="1866" spans="4:8" ht="15.6" x14ac:dyDescent="0.3">
      <c r="D1866" s="123"/>
      <c r="E1866" s="123"/>
      <c r="F1866" s="123"/>
      <c r="G1866" s="114"/>
      <c r="H1866" s="115"/>
    </row>
    <row r="1867" spans="4:8" ht="15.6" x14ac:dyDescent="0.3">
      <c r="D1867" s="123"/>
      <c r="E1867" s="123"/>
      <c r="F1867" s="123"/>
      <c r="G1867" s="114"/>
      <c r="H1867" s="115"/>
    </row>
    <row r="1868" spans="4:8" ht="15.6" x14ac:dyDescent="0.3">
      <c r="D1868" s="123"/>
      <c r="E1868" s="123"/>
      <c r="F1868" s="123"/>
      <c r="G1868" s="114"/>
      <c r="H1868" s="115"/>
    </row>
    <row r="1869" spans="4:8" ht="15.6" x14ac:dyDescent="0.3">
      <c r="D1869" s="123"/>
      <c r="E1869" s="123"/>
      <c r="F1869" s="123"/>
      <c r="G1869" s="114"/>
      <c r="H1869" s="115"/>
    </row>
    <row r="1870" spans="4:8" ht="15.6" x14ac:dyDescent="0.3">
      <c r="D1870" s="123"/>
      <c r="E1870" s="123"/>
      <c r="F1870" s="123"/>
      <c r="G1870" s="114"/>
      <c r="H1870" s="115"/>
    </row>
    <row r="1871" spans="4:8" ht="15.6" x14ac:dyDescent="0.3">
      <c r="D1871" s="123"/>
      <c r="E1871" s="123"/>
      <c r="F1871" s="123"/>
      <c r="G1871" s="114"/>
      <c r="H1871" s="115"/>
    </row>
    <row r="1872" spans="4:8" ht="15.6" x14ac:dyDescent="0.3">
      <c r="D1872" s="123"/>
      <c r="E1872" s="123"/>
      <c r="F1872" s="123"/>
      <c r="G1872" s="114"/>
      <c r="H1872" s="115"/>
    </row>
    <row r="1873" spans="4:8" ht="15.6" x14ac:dyDescent="0.3">
      <c r="D1873" s="123"/>
      <c r="E1873" s="123"/>
      <c r="F1873" s="123"/>
      <c r="G1873" s="114"/>
      <c r="H1873" s="115"/>
    </row>
    <row r="1874" spans="4:8" ht="15.6" x14ac:dyDescent="0.3">
      <c r="D1874" s="123"/>
      <c r="E1874" s="123"/>
      <c r="F1874" s="123"/>
      <c r="G1874" s="114"/>
      <c r="H1874" s="115"/>
    </row>
    <row r="1875" spans="4:8" ht="15.6" x14ac:dyDescent="0.3">
      <c r="D1875" s="123"/>
      <c r="E1875" s="123"/>
      <c r="F1875" s="123"/>
      <c r="G1875" s="114"/>
      <c r="H1875" s="115"/>
    </row>
    <row r="1876" spans="4:8" ht="15.6" x14ac:dyDescent="0.3">
      <c r="D1876" s="123"/>
      <c r="E1876" s="123"/>
      <c r="F1876" s="123"/>
      <c r="G1876" s="114"/>
      <c r="H1876" s="115"/>
    </row>
    <row r="1877" spans="4:8" ht="15.6" x14ac:dyDescent="0.3">
      <c r="D1877" s="123"/>
      <c r="E1877" s="123"/>
      <c r="F1877" s="123"/>
      <c r="G1877" s="114"/>
      <c r="H1877" s="115"/>
    </row>
    <row r="1878" spans="4:8" ht="15.6" x14ac:dyDescent="0.3">
      <c r="D1878" s="123"/>
      <c r="E1878" s="123"/>
      <c r="F1878" s="123"/>
      <c r="G1878" s="114"/>
      <c r="H1878" s="115"/>
    </row>
    <row r="1879" spans="4:8" ht="15.6" x14ac:dyDescent="0.3">
      <c r="D1879" s="123"/>
      <c r="E1879" s="123"/>
      <c r="F1879" s="123"/>
      <c r="G1879" s="114"/>
      <c r="H1879" s="115"/>
    </row>
    <row r="1880" spans="4:8" ht="15.6" x14ac:dyDescent="0.3">
      <c r="D1880" s="123"/>
      <c r="E1880" s="123"/>
      <c r="F1880" s="123"/>
      <c r="G1880" s="114"/>
      <c r="H1880" s="115"/>
    </row>
    <row r="1881" spans="4:8" ht="15.6" x14ac:dyDescent="0.3">
      <c r="D1881" s="123"/>
      <c r="E1881" s="123"/>
      <c r="F1881" s="123"/>
      <c r="G1881" s="114"/>
      <c r="H1881" s="115"/>
    </row>
    <row r="1882" spans="4:8" ht="15.6" x14ac:dyDescent="0.3">
      <c r="D1882" s="123"/>
      <c r="E1882" s="123"/>
      <c r="F1882" s="123"/>
      <c r="G1882" s="114"/>
      <c r="H1882" s="115"/>
    </row>
    <row r="1883" spans="4:8" ht="15.6" x14ac:dyDescent="0.3">
      <c r="D1883" s="123"/>
      <c r="E1883" s="123"/>
      <c r="F1883" s="123"/>
      <c r="G1883" s="114"/>
      <c r="H1883" s="115"/>
    </row>
    <row r="1884" spans="4:8" ht="15.6" x14ac:dyDescent="0.3">
      <c r="D1884" s="123"/>
      <c r="E1884" s="123"/>
      <c r="F1884" s="123"/>
      <c r="G1884" s="114"/>
      <c r="H1884" s="115"/>
    </row>
    <row r="1885" spans="4:8" ht="15.6" x14ac:dyDescent="0.3">
      <c r="D1885" s="123"/>
      <c r="E1885" s="123"/>
      <c r="F1885" s="123"/>
      <c r="G1885" s="114"/>
      <c r="H1885" s="115"/>
    </row>
    <row r="1886" spans="4:8" ht="15.6" x14ac:dyDescent="0.3">
      <c r="D1886" s="123"/>
      <c r="E1886" s="123"/>
      <c r="F1886" s="123"/>
      <c r="G1886" s="114"/>
      <c r="H1886" s="115"/>
    </row>
    <row r="1887" spans="4:8" ht="15.6" x14ac:dyDescent="0.3">
      <c r="D1887" s="123"/>
      <c r="E1887" s="123"/>
      <c r="F1887" s="123"/>
      <c r="G1887" s="114"/>
      <c r="H1887" s="115"/>
    </row>
    <row r="1888" spans="4:8" ht="15.6" x14ac:dyDescent="0.3">
      <c r="D1888" s="123"/>
      <c r="E1888" s="123"/>
      <c r="F1888" s="123"/>
      <c r="G1888" s="114"/>
      <c r="H1888" s="115"/>
    </row>
    <row r="1889" spans="4:8" ht="15.6" x14ac:dyDescent="0.3">
      <c r="D1889" s="123"/>
      <c r="E1889" s="123"/>
      <c r="F1889" s="123"/>
      <c r="G1889" s="114"/>
      <c r="H1889" s="115"/>
    </row>
    <row r="1890" spans="4:8" ht="15.6" x14ac:dyDescent="0.3">
      <c r="D1890" s="123"/>
      <c r="E1890" s="123"/>
      <c r="F1890" s="123"/>
      <c r="G1890" s="114"/>
      <c r="H1890" s="115"/>
    </row>
    <row r="1891" spans="4:8" ht="15.6" x14ac:dyDescent="0.3">
      <c r="D1891" s="123"/>
      <c r="E1891" s="123"/>
      <c r="F1891" s="123"/>
      <c r="G1891" s="114"/>
      <c r="H1891" s="115"/>
    </row>
    <row r="1892" spans="4:8" ht="15.6" x14ac:dyDescent="0.3">
      <c r="D1892" s="123"/>
      <c r="E1892" s="123"/>
      <c r="F1892" s="123"/>
      <c r="G1892" s="114"/>
      <c r="H1892" s="115"/>
    </row>
    <row r="1893" spans="4:8" ht="15.6" x14ac:dyDescent="0.3">
      <c r="D1893" s="123"/>
      <c r="E1893" s="123"/>
      <c r="F1893" s="123"/>
      <c r="G1893" s="114"/>
      <c r="H1893" s="115"/>
    </row>
    <row r="1894" spans="4:8" ht="15.6" x14ac:dyDescent="0.3">
      <c r="D1894" s="123"/>
      <c r="E1894" s="123"/>
      <c r="F1894" s="123"/>
      <c r="G1894" s="114"/>
      <c r="H1894" s="115"/>
    </row>
    <row r="1895" spans="4:8" ht="15.6" x14ac:dyDescent="0.3">
      <c r="D1895" s="123"/>
      <c r="E1895" s="123"/>
      <c r="F1895" s="123"/>
      <c r="G1895" s="114"/>
      <c r="H1895" s="115"/>
    </row>
    <row r="1896" spans="4:8" ht="15.6" x14ac:dyDescent="0.3">
      <c r="D1896" s="123"/>
      <c r="E1896" s="123"/>
      <c r="F1896" s="123"/>
      <c r="G1896" s="114"/>
      <c r="H1896" s="115"/>
    </row>
    <row r="1897" spans="4:8" ht="15.6" x14ac:dyDescent="0.3">
      <c r="D1897" s="123"/>
      <c r="E1897" s="123"/>
      <c r="F1897" s="123"/>
      <c r="G1897" s="114"/>
      <c r="H1897" s="115"/>
    </row>
    <row r="1898" spans="4:8" ht="15.6" x14ac:dyDescent="0.3">
      <c r="D1898" s="123"/>
      <c r="E1898" s="123"/>
      <c r="F1898" s="123"/>
      <c r="G1898" s="114"/>
      <c r="H1898" s="115"/>
    </row>
    <row r="1899" spans="4:8" ht="15.6" x14ac:dyDescent="0.3">
      <c r="D1899" s="123"/>
      <c r="E1899" s="123"/>
      <c r="F1899" s="123"/>
      <c r="G1899" s="114"/>
      <c r="H1899" s="115"/>
    </row>
    <row r="1900" spans="4:8" ht="15.6" x14ac:dyDescent="0.3">
      <c r="D1900" s="123"/>
      <c r="E1900" s="123"/>
      <c r="F1900" s="123"/>
      <c r="G1900" s="114"/>
      <c r="H1900" s="115"/>
    </row>
    <row r="1901" spans="4:8" ht="15.6" x14ac:dyDescent="0.3">
      <c r="D1901" s="123"/>
      <c r="E1901" s="123"/>
      <c r="F1901" s="123"/>
      <c r="G1901" s="114"/>
      <c r="H1901" s="115"/>
    </row>
    <row r="1902" spans="4:8" ht="15.6" x14ac:dyDescent="0.3">
      <c r="D1902" s="123"/>
      <c r="E1902" s="123"/>
      <c r="F1902" s="123"/>
      <c r="G1902" s="114"/>
      <c r="H1902" s="115"/>
    </row>
    <row r="1903" spans="4:8" ht="15.6" x14ac:dyDescent="0.3">
      <c r="D1903" s="123"/>
      <c r="E1903" s="123"/>
      <c r="F1903" s="123"/>
      <c r="G1903" s="114"/>
      <c r="H1903" s="115"/>
    </row>
    <row r="1904" spans="4:8" ht="15.6" x14ac:dyDescent="0.3">
      <c r="D1904" s="123"/>
      <c r="E1904" s="123"/>
      <c r="F1904" s="123"/>
      <c r="G1904" s="114"/>
      <c r="H1904" s="115"/>
    </row>
    <row r="1905" spans="4:8" ht="15.6" x14ac:dyDescent="0.3">
      <c r="D1905" s="123"/>
      <c r="E1905" s="123"/>
      <c r="F1905" s="123"/>
      <c r="G1905" s="114"/>
      <c r="H1905" s="115"/>
    </row>
    <row r="1906" spans="4:8" ht="15.6" x14ac:dyDescent="0.3">
      <c r="D1906" s="123"/>
      <c r="E1906" s="123"/>
      <c r="F1906" s="123"/>
      <c r="G1906" s="114"/>
      <c r="H1906" s="115"/>
    </row>
    <row r="1907" spans="4:8" ht="15.6" x14ac:dyDescent="0.3">
      <c r="D1907" s="123"/>
      <c r="E1907" s="123"/>
      <c r="F1907" s="123"/>
      <c r="G1907" s="114"/>
      <c r="H1907" s="115"/>
    </row>
    <row r="1908" spans="4:8" ht="15.6" x14ac:dyDescent="0.3">
      <c r="D1908" s="123"/>
      <c r="E1908" s="123"/>
      <c r="F1908" s="123"/>
      <c r="G1908" s="114"/>
      <c r="H1908" s="115"/>
    </row>
    <row r="1909" spans="4:8" ht="15.6" x14ac:dyDescent="0.3">
      <c r="D1909" s="123"/>
      <c r="E1909" s="123"/>
      <c r="F1909" s="123"/>
      <c r="G1909" s="114"/>
      <c r="H1909" s="115"/>
    </row>
    <row r="1910" spans="4:8" ht="15.6" x14ac:dyDescent="0.3">
      <c r="D1910" s="123"/>
      <c r="E1910" s="123"/>
      <c r="F1910" s="123"/>
      <c r="G1910" s="114"/>
      <c r="H1910" s="115"/>
    </row>
    <row r="1911" spans="4:8" ht="15.6" x14ac:dyDescent="0.3">
      <c r="D1911" s="123"/>
      <c r="E1911" s="123"/>
      <c r="F1911" s="123"/>
      <c r="G1911" s="114"/>
      <c r="H1911" s="115"/>
    </row>
    <row r="1912" spans="4:8" ht="15.6" x14ac:dyDescent="0.3">
      <c r="D1912" s="123"/>
      <c r="E1912" s="123"/>
      <c r="F1912" s="123"/>
      <c r="G1912" s="114"/>
      <c r="H1912" s="115"/>
    </row>
    <row r="1913" spans="4:8" ht="15.6" x14ac:dyDescent="0.3">
      <c r="D1913" s="123"/>
      <c r="E1913" s="123"/>
      <c r="F1913" s="123"/>
      <c r="G1913" s="114"/>
      <c r="H1913" s="115"/>
    </row>
    <row r="1914" spans="4:8" ht="15.6" x14ac:dyDescent="0.3">
      <c r="D1914" s="123"/>
      <c r="E1914" s="123"/>
      <c r="F1914" s="123"/>
      <c r="G1914" s="114"/>
      <c r="H1914" s="115"/>
    </row>
    <row r="1915" spans="4:8" ht="15.6" x14ac:dyDescent="0.3">
      <c r="D1915" s="123"/>
      <c r="E1915" s="123"/>
      <c r="F1915" s="123"/>
      <c r="G1915" s="114"/>
      <c r="H1915" s="115"/>
    </row>
    <row r="1916" spans="4:8" ht="15.6" x14ac:dyDescent="0.3">
      <c r="D1916" s="123"/>
      <c r="E1916" s="123"/>
      <c r="F1916" s="123"/>
      <c r="G1916" s="114"/>
      <c r="H1916" s="115"/>
    </row>
    <row r="1917" spans="4:8" ht="15.6" x14ac:dyDescent="0.3">
      <c r="D1917" s="123"/>
      <c r="E1917" s="123"/>
      <c r="F1917" s="123"/>
      <c r="G1917" s="114"/>
      <c r="H1917" s="115"/>
    </row>
    <row r="1918" spans="4:8" ht="15.6" x14ac:dyDescent="0.3">
      <c r="D1918" s="123"/>
      <c r="E1918" s="123"/>
      <c r="F1918" s="123"/>
      <c r="G1918" s="114"/>
      <c r="H1918" s="115"/>
    </row>
    <row r="1919" spans="4:8" ht="15.6" x14ac:dyDescent="0.3">
      <c r="D1919" s="123"/>
      <c r="E1919" s="123"/>
      <c r="F1919" s="123"/>
      <c r="G1919" s="114"/>
      <c r="H1919" s="115"/>
    </row>
    <row r="1920" spans="4:8" ht="15.6" x14ac:dyDescent="0.3">
      <c r="D1920" s="123"/>
      <c r="E1920" s="123"/>
      <c r="F1920" s="123"/>
      <c r="G1920" s="114"/>
      <c r="H1920" s="115"/>
    </row>
    <row r="1921" spans="4:8" ht="15.6" x14ac:dyDescent="0.3">
      <c r="D1921" s="123"/>
      <c r="E1921" s="123"/>
      <c r="F1921" s="123"/>
      <c r="G1921" s="114"/>
      <c r="H1921" s="115"/>
    </row>
    <row r="1922" spans="4:8" ht="15.6" x14ac:dyDescent="0.3">
      <c r="D1922" s="123"/>
      <c r="E1922" s="123"/>
      <c r="F1922" s="123"/>
      <c r="G1922" s="114"/>
      <c r="H1922" s="115"/>
    </row>
    <row r="1923" spans="4:8" ht="15.6" x14ac:dyDescent="0.3">
      <c r="D1923" s="123"/>
      <c r="E1923" s="123"/>
      <c r="F1923" s="123"/>
      <c r="G1923" s="114"/>
      <c r="H1923" s="115"/>
    </row>
    <row r="1924" spans="4:8" ht="15.6" x14ac:dyDescent="0.3">
      <c r="D1924" s="123"/>
      <c r="E1924" s="123"/>
      <c r="F1924" s="123"/>
      <c r="G1924" s="114"/>
      <c r="H1924" s="115"/>
    </row>
    <row r="1925" spans="4:8" ht="15.6" x14ac:dyDescent="0.3">
      <c r="D1925" s="123"/>
      <c r="E1925" s="123"/>
      <c r="F1925" s="123"/>
      <c r="G1925" s="114"/>
      <c r="H1925" s="115"/>
    </row>
    <row r="1926" spans="4:8" ht="15.6" x14ac:dyDescent="0.3">
      <c r="D1926" s="123"/>
      <c r="E1926" s="123"/>
      <c r="F1926" s="123"/>
      <c r="G1926" s="114"/>
      <c r="H1926" s="115"/>
    </row>
    <row r="1927" spans="4:8" ht="15.6" x14ac:dyDescent="0.3">
      <c r="D1927" s="123"/>
      <c r="E1927" s="123"/>
      <c r="F1927" s="123"/>
      <c r="G1927" s="114"/>
      <c r="H1927" s="115"/>
    </row>
    <row r="1928" spans="4:8" ht="15.6" x14ac:dyDescent="0.3">
      <c r="D1928" s="123"/>
      <c r="E1928" s="123"/>
      <c r="F1928" s="123"/>
      <c r="G1928" s="114"/>
      <c r="H1928" s="115"/>
    </row>
    <row r="1929" spans="4:8" ht="15.6" x14ac:dyDescent="0.3">
      <c r="D1929" s="123"/>
      <c r="E1929" s="123"/>
      <c r="F1929" s="123"/>
      <c r="G1929" s="114"/>
      <c r="H1929" s="115"/>
    </row>
    <row r="1930" spans="4:8" ht="15.6" x14ac:dyDescent="0.3">
      <c r="D1930" s="123"/>
      <c r="E1930" s="123"/>
      <c r="F1930" s="123"/>
      <c r="G1930" s="114"/>
      <c r="H1930" s="115"/>
    </row>
    <row r="1931" spans="4:8" ht="15.6" x14ac:dyDescent="0.3">
      <c r="D1931" s="123"/>
      <c r="E1931" s="123"/>
      <c r="F1931" s="123"/>
      <c r="G1931" s="114"/>
      <c r="H1931" s="115"/>
    </row>
    <row r="1932" spans="4:8" ht="15.6" x14ac:dyDescent="0.3">
      <c r="D1932" s="123"/>
      <c r="E1932" s="123"/>
      <c r="F1932" s="123"/>
      <c r="G1932" s="114"/>
      <c r="H1932" s="115"/>
    </row>
    <row r="1933" spans="4:8" ht="15.6" x14ac:dyDescent="0.3">
      <c r="D1933" s="123"/>
      <c r="E1933" s="123"/>
      <c r="F1933" s="123"/>
      <c r="G1933" s="114"/>
      <c r="H1933" s="115"/>
    </row>
    <row r="1934" spans="4:8" ht="15.6" x14ac:dyDescent="0.3">
      <c r="D1934" s="123"/>
      <c r="E1934" s="123"/>
      <c r="F1934" s="123"/>
      <c r="G1934" s="114"/>
      <c r="H1934" s="115"/>
    </row>
    <row r="1935" spans="4:8" ht="15.6" x14ac:dyDescent="0.3">
      <c r="D1935" s="123"/>
      <c r="E1935" s="123"/>
      <c r="F1935" s="123"/>
      <c r="G1935" s="114"/>
      <c r="H1935" s="115"/>
    </row>
    <row r="1936" spans="4:8" ht="15.6" x14ac:dyDescent="0.3">
      <c r="D1936" s="123"/>
      <c r="E1936" s="123"/>
      <c r="F1936" s="123"/>
      <c r="G1936" s="114"/>
      <c r="H1936" s="115"/>
    </row>
    <row r="1937" spans="4:8" ht="15.6" x14ac:dyDescent="0.3">
      <c r="D1937" s="123"/>
      <c r="E1937" s="123"/>
      <c r="F1937" s="123"/>
      <c r="G1937" s="114"/>
      <c r="H1937" s="115"/>
    </row>
    <row r="1938" spans="4:8" ht="15.6" x14ac:dyDescent="0.3">
      <c r="D1938" s="123"/>
      <c r="E1938" s="123"/>
      <c r="F1938" s="123"/>
      <c r="G1938" s="114"/>
      <c r="H1938" s="115"/>
    </row>
    <row r="1939" spans="4:8" ht="15.6" x14ac:dyDescent="0.3">
      <c r="D1939" s="123"/>
      <c r="E1939" s="123"/>
      <c r="F1939" s="123"/>
      <c r="G1939" s="114"/>
      <c r="H1939" s="115"/>
    </row>
    <row r="1940" spans="4:8" ht="15.6" x14ac:dyDescent="0.3">
      <c r="D1940" s="123"/>
      <c r="E1940" s="123"/>
      <c r="F1940" s="123"/>
      <c r="G1940" s="114"/>
      <c r="H1940" s="115"/>
    </row>
    <row r="1941" spans="4:8" ht="15.6" x14ac:dyDescent="0.3">
      <c r="D1941" s="123"/>
      <c r="E1941" s="123"/>
      <c r="F1941" s="123"/>
      <c r="G1941" s="114"/>
      <c r="H1941" s="115"/>
    </row>
    <row r="1942" spans="4:8" ht="15.6" x14ac:dyDescent="0.3">
      <c r="D1942" s="123"/>
      <c r="E1942" s="123"/>
      <c r="F1942" s="123"/>
      <c r="G1942" s="114"/>
      <c r="H1942" s="115"/>
    </row>
    <row r="1943" spans="4:8" ht="15.6" x14ac:dyDescent="0.3">
      <c r="D1943" s="123"/>
      <c r="E1943" s="123"/>
      <c r="F1943" s="123"/>
      <c r="G1943" s="114"/>
      <c r="H1943" s="115"/>
    </row>
    <row r="1944" spans="4:8" ht="15.6" x14ac:dyDescent="0.3">
      <c r="D1944" s="123"/>
      <c r="E1944" s="123"/>
      <c r="F1944" s="123"/>
      <c r="G1944" s="114"/>
      <c r="H1944" s="115"/>
    </row>
    <row r="1945" spans="4:8" ht="15.6" x14ac:dyDescent="0.3">
      <c r="D1945" s="123"/>
      <c r="E1945" s="123"/>
      <c r="F1945" s="123"/>
      <c r="G1945" s="114"/>
      <c r="H1945" s="115"/>
    </row>
    <row r="1946" spans="4:8" ht="15.6" x14ac:dyDescent="0.3">
      <c r="D1946" s="123"/>
      <c r="E1946" s="123"/>
      <c r="F1946" s="123"/>
      <c r="G1946" s="114"/>
      <c r="H1946" s="115"/>
    </row>
    <row r="1947" spans="4:8" ht="15.6" x14ac:dyDescent="0.3">
      <c r="D1947" s="123"/>
      <c r="E1947" s="123"/>
      <c r="F1947" s="123"/>
      <c r="G1947" s="114"/>
      <c r="H1947" s="115"/>
    </row>
    <row r="1948" spans="4:8" ht="15.6" x14ac:dyDescent="0.3">
      <c r="D1948" s="123"/>
      <c r="E1948" s="123"/>
      <c r="F1948" s="123"/>
      <c r="G1948" s="114"/>
      <c r="H1948" s="115"/>
    </row>
    <row r="1949" spans="4:8" ht="15.6" x14ac:dyDescent="0.3">
      <c r="D1949" s="123"/>
      <c r="E1949" s="123"/>
      <c r="F1949" s="123"/>
      <c r="G1949" s="114"/>
      <c r="H1949" s="115"/>
    </row>
    <row r="1950" spans="4:8" ht="15.6" x14ac:dyDescent="0.3">
      <c r="D1950" s="123"/>
      <c r="E1950" s="123"/>
      <c r="F1950" s="123"/>
      <c r="G1950" s="114"/>
      <c r="H1950" s="115"/>
    </row>
    <row r="1951" spans="4:8" ht="15.6" x14ac:dyDescent="0.3">
      <c r="D1951" s="123"/>
      <c r="E1951" s="123"/>
      <c r="F1951" s="123"/>
      <c r="G1951" s="114"/>
      <c r="H1951" s="115"/>
    </row>
    <row r="1952" spans="4:8" ht="15.6" x14ac:dyDescent="0.3">
      <c r="D1952" s="123"/>
      <c r="E1952" s="123"/>
      <c r="F1952" s="123"/>
      <c r="G1952" s="114"/>
      <c r="H1952" s="115"/>
    </row>
    <row r="1953" spans="4:8" ht="15.6" x14ac:dyDescent="0.3">
      <c r="D1953" s="123"/>
      <c r="E1953" s="123"/>
      <c r="F1953" s="123"/>
      <c r="G1953" s="114"/>
      <c r="H1953" s="115"/>
    </row>
    <row r="1954" spans="4:8" ht="15.6" x14ac:dyDescent="0.3">
      <c r="D1954" s="123"/>
      <c r="E1954" s="123"/>
      <c r="F1954" s="123"/>
      <c r="G1954" s="114"/>
      <c r="H1954" s="115"/>
    </row>
    <row r="1955" spans="4:8" ht="15.6" x14ac:dyDescent="0.3">
      <c r="D1955" s="123"/>
      <c r="E1955" s="123"/>
      <c r="F1955" s="123"/>
      <c r="G1955" s="114"/>
      <c r="H1955" s="115"/>
    </row>
    <row r="1956" spans="4:8" ht="15.6" x14ac:dyDescent="0.3">
      <c r="D1956" s="123"/>
      <c r="E1956" s="123"/>
      <c r="F1956" s="123"/>
      <c r="G1956" s="114"/>
      <c r="H1956" s="115"/>
    </row>
    <row r="1957" spans="4:8" ht="15.6" x14ac:dyDescent="0.3">
      <c r="D1957" s="123"/>
      <c r="E1957" s="123"/>
      <c r="F1957" s="123"/>
      <c r="G1957" s="114"/>
      <c r="H1957" s="115"/>
    </row>
    <row r="1958" spans="4:8" ht="15.6" x14ac:dyDescent="0.3">
      <c r="D1958" s="123"/>
      <c r="E1958" s="123"/>
      <c r="F1958" s="123"/>
      <c r="G1958" s="114"/>
      <c r="H1958" s="115"/>
    </row>
    <row r="1959" spans="4:8" ht="15.6" x14ac:dyDescent="0.3">
      <c r="D1959" s="123"/>
      <c r="E1959" s="123"/>
      <c r="F1959" s="123"/>
      <c r="G1959" s="114"/>
      <c r="H1959" s="115"/>
    </row>
    <row r="1960" spans="4:8" ht="15.6" x14ac:dyDescent="0.3">
      <c r="D1960" s="123"/>
      <c r="E1960" s="123"/>
      <c r="F1960" s="123"/>
      <c r="G1960" s="114"/>
      <c r="H1960" s="115"/>
    </row>
    <row r="1961" spans="4:8" ht="15.6" x14ac:dyDescent="0.3">
      <c r="D1961" s="123"/>
      <c r="E1961" s="123"/>
      <c r="F1961" s="123"/>
      <c r="G1961" s="114"/>
      <c r="H1961" s="115"/>
    </row>
    <row r="1962" spans="4:8" ht="15.6" x14ac:dyDescent="0.3">
      <c r="D1962" s="123"/>
      <c r="E1962" s="123"/>
      <c r="F1962" s="123"/>
      <c r="G1962" s="114"/>
      <c r="H1962" s="115"/>
    </row>
    <row r="1963" spans="4:8" ht="15.6" x14ac:dyDescent="0.3">
      <c r="D1963" s="123"/>
      <c r="E1963" s="123"/>
      <c r="F1963" s="123"/>
      <c r="G1963" s="114"/>
      <c r="H1963" s="115"/>
    </row>
    <row r="1964" spans="4:8" ht="15.6" x14ac:dyDescent="0.3">
      <c r="D1964" s="123"/>
      <c r="E1964" s="123"/>
      <c r="F1964" s="123"/>
      <c r="G1964" s="114"/>
      <c r="H1964" s="115"/>
    </row>
    <row r="1965" spans="4:8" ht="15.6" x14ac:dyDescent="0.3">
      <c r="D1965" s="123"/>
      <c r="E1965" s="123"/>
      <c r="F1965" s="123"/>
      <c r="G1965" s="114"/>
      <c r="H1965" s="115"/>
    </row>
    <row r="1966" spans="4:8" ht="15.6" x14ac:dyDescent="0.3">
      <c r="D1966" s="123"/>
      <c r="E1966" s="123"/>
      <c r="F1966" s="123"/>
      <c r="G1966" s="114"/>
      <c r="H1966" s="115"/>
    </row>
    <row r="1967" spans="4:8" ht="15.6" x14ac:dyDescent="0.3">
      <c r="D1967" s="123"/>
      <c r="E1967" s="123"/>
      <c r="F1967" s="123"/>
      <c r="G1967" s="114"/>
      <c r="H1967" s="115"/>
    </row>
    <row r="1968" spans="4:8" ht="15.6" x14ac:dyDescent="0.3">
      <c r="D1968" s="123"/>
      <c r="E1968" s="123"/>
      <c r="F1968" s="123"/>
      <c r="G1968" s="114"/>
      <c r="H1968" s="115"/>
    </row>
    <row r="1969" spans="4:8" ht="15.6" x14ac:dyDescent="0.3">
      <c r="D1969" s="123"/>
      <c r="E1969" s="123"/>
      <c r="F1969" s="123"/>
      <c r="G1969" s="114"/>
      <c r="H1969" s="115"/>
    </row>
    <row r="1970" spans="4:8" ht="15.6" x14ac:dyDescent="0.3">
      <c r="D1970" s="123"/>
      <c r="E1970" s="123"/>
      <c r="F1970" s="123"/>
      <c r="G1970" s="114"/>
      <c r="H1970" s="115"/>
    </row>
    <row r="1971" spans="4:8" ht="15.6" x14ac:dyDescent="0.3">
      <c r="D1971" s="123"/>
      <c r="E1971" s="123"/>
      <c r="F1971" s="123"/>
      <c r="G1971" s="114"/>
      <c r="H1971" s="115"/>
    </row>
    <row r="1972" spans="4:8" ht="15.6" x14ac:dyDescent="0.3">
      <c r="D1972" s="123"/>
      <c r="E1972" s="123"/>
      <c r="F1972" s="123"/>
      <c r="G1972" s="114"/>
      <c r="H1972" s="115"/>
    </row>
    <row r="1973" spans="4:8" ht="15.6" x14ac:dyDescent="0.3">
      <c r="D1973" s="123"/>
      <c r="E1973" s="123"/>
      <c r="F1973" s="123"/>
      <c r="G1973" s="114"/>
      <c r="H1973" s="115"/>
    </row>
    <row r="1974" spans="4:8" ht="15.6" x14ac:dyDescent="0.3">
      <c r="D1974" s="123"/>
      <c r="E1974" s="123"/>
      <c r="F1974" s="123"/>
      <c r="G1974" s="114"/>
      <c r="H1974" s="115"/>
    </row>
    <row r="1975" spans="4:8" ht="15.6" x14ac:dyDescent="0.3">
      <c r="D1975" s="123"/>
      <c r="E1975" s="123"/>
      <c r="F1975" s="123"/>
      <c r="G1975" s="114"/>
      <c r="H1975" s="115"/>
    </row>
    <row r="1976" spans="4:8" ht="15.6" x14ac:dyDescent="0.3">
      <c r="D1976" s="123"/>
      <c r="E1976" s="123"/>
      <c r="F1976" s="123"/>
      <c r="G1976" s="114"/>
      <c r="H1976" s="115"/>
    </row>
    <row r="1977" spans="4:8" ht="15.6" x14ac:dyDescent="0.3">
      <c r="D1977" s="123"/>
      <c r="E1977" s="123"/>
      <c r="F1977" s="123"/>
      <c r="G1977" s="114"/>
      <c r="H1977" s="115"/>
    </row>
    <row r="1978" spans="4:8" ht="15.6" x14ac:dyDescent="0.3">
      <c r="D1978" s="123"/>
      <c r="E1978" s="123"/>
      <c r="F1978" s="123"/>
      <c r="G1978" s="114"/>
      <c r="H1978" s="115"/>
    </row>
    <row r="1979" spans="4:8" ht="15.6" x14ac:dyDescent="0.3">
      <c r="D1979" s="123"/>
      <c r="E1979" s="123"/>
      <c r="F1979" s="123"/>
      <c r="G1979" s="114"/>
      <c r="H1979" s="115"/>
    </row>
    <row r="1980" spans="4:8" ht="15.6" x14ac:dyDescent="0.3">
      <c r="D1980" s="123"/>
      <c r="E1980" s="123"/>
      <c r="F1980" s="123"/>
      <c r="G1980" s="114"/>
      <c r="H1980" s="115"/>
    </row>
    <row r="1981" spans="4:8" ht="15.6" x14ac:dyDescent="0.3">
      <c r="D1981" s="123"/>
      <c r="E1981" s="123"/>
      <c r="F1981" s="123"/>
      <c r="G1981" s="114"/>
      <c r="H1981" s="115"/>
    </row>
    <row r="1982" spans="4:8" ht="15.6" x14ac:dyDescent="0.3">
      <c r="D1982" s="123"/>
      <c r="E1982" s="123"/>
      <c r="F1982" s="123"/>
      <c r="G1982" s="114"/>
      <c r="H1982" s="115"/>
    </row>
    <row r="1983" spans="4:8" ht="15.6" x14ac:dyDescent="0.3">
      <c r="D1983" s="123"/>
      <c r="E1983" s="123"/>
      <c r="F1983" s="123"/>
      <c r="G1983" s="114"/>
      <c r="H1983" s="115"/>
    </row>
    <row r="1984" spans="4:8" ht="15.6" x14ac:dyDescent="0.3">
      <c r="D1984" s="123"/>
      <c r="E1984" s="123"/>
      <c r="F1984" s="123"/>
      <c r="G1984" s="114"/>
      <c r="H1984" s="115"/>
    </row>
    <row r="1985" spans="4:8" ht="15.6" x14ac:dyDescent="0.3">
      <c r="D1985" s="123"/>
      <c r="E1985" s="123"/>
      <c r="F1985" s="123"/>
      <c r="G1985" s="114"/>
      <c r="H1985" s="115"/>
    </row>
    <row r="1986" spans="4:8" ht="15.6" x14ac:dyDescent="0.3">
      <c r="D1986" s="123"/>
      <c r="E1986" s="123"/>
      <c r="F1986" s="123"/>
      <c r="G1986" s="114"/>
      <c r="H1986" s="115"/>
    </row>
    <row r="1987" spans="4:8" ht="15.6" x14ac:dyDescent="0.3">
      <c r="D1987" s="123"/>
      <c r="E1987" s="123"/>
      <c r="F1987" s="123"/>
      <c r="G1987" s="114"/>
      <c r="H1987" s="115"/>
    </row>
    <row r="1988" spans="4:8" ht="15.6" x14ac:dyDescent="0.3">
      <c r="D1988" s="123"/>
      <c r="E1988" s="123"/>
      <c r="F1988" s="123"/>
      <c r="G1988" s="114"/>
      <c r="H1988" s="115"/>
    </row>
    <row r="1989" spans="4:8" ht="15.6" x14ac:dyDescent="0.3">
      <c r="D1989" s="123"/>
      <c r="E1989" s="123"/>
      <c r="F1989" s="123"/>
      <c r="G1989" s="114"/>
      <c r="H1989" s="115"/>
    </row>
    <row r="1990" spans="4:8" ht="15.6" x14ac:dyDescent="0.3">
      <c r="D1990" s="123"/>
      <c r="E1990" s="123"/>
      <c r="F1990" s="123"/>
      <c r="G1990" s="114"/>
      <c r="H1990" s="115"/>
    </row>
    <row r="1991" spans="4:8" ht="15.6" x14ac:dyDescent="0.3">
      <c r="D1991" s="123"/>
      <c r="E1991" s="123"/>
      <c r="F1991" s="123"/>
      <c r="G1991" s="114"/>
      <c r="H1991" s="115"/>
    </row>
    <row r="1992" spans="4:8" ht="15.6" x14ac:dyDescent="0.3">
      <c r="D1992" s="123"/>
      <c r="E1992" s="123"/>
      <c r="F1992" s="123"/>
      <c r="G1992" s="114"/>
      <c r="H1992" s="115"/>
    </row>
    <row r="1993" spans="4:8" ht="15.6" x14ac:dyDescent="0.3">
      <c r="D1993" s="123"/>
      <c r="E1993" s="123"/>
      <c r="F1993" s="123"/>
      <c r="G1993" s="114"/>
      <c r="H1993" s="115"/>
    </row>
    <row r="1994" spans="4:8" ht="15.6" x14ac:dyDescent="0.3">
      <c r="D1994" s="123"/>
      <c r="E1994" s="123"/>
      <c r="F1994" s="123"/>
      <c r="G1994" s="114"/>
      <c r="H1994" s="115"/>
    </row>
    <row r="1995" spans="4:8" ht="15.6" x14ac:dyDescent="0.3">
      <c r="D1995" s="123"/>
      <c r="E1995" s="123"/>
      <c r="F1995" s="123"/>
      <c r="G1995" s="114"/>
      <c r="H1995" s="115"/>
    </row>
    <row r="1996" spans="4:8" ht="15.6" x14ac:dyDescent="0.3">
      <c r="D1996" s="123"/>
      <c r="E1996" s="123"/>
      <c r="F1996" s="123"/>
      <c r="G1996" s="114"/>
      <c r="H1996" s="115"/>
    </row>
    <row r="1997" spans="4:8" ht="15.6" x14ac:dyDescent="0.3">
      <c r="D1997" s="123"/>
      <c r="E1997" s="123"/>
      <c r="F1997" s="123"/>
      <c r="G1997" s="114"/>
      <c r="H1997" s="115"/>
    </row>
    <row r="1998" spans="4:8" ht="15.6" x14ac:dyDescent="0.3">
      <c r="D1998" s="123"/>
      <c r="E1998" s="123"/>
      <c r="F1998" s="123"/>
      <c r="G1998" s="114"/>
      <c r="H1998" s="115"/>
    </row>
    <row r="1999" spans="4:8" ht="15.6" x14ac:dyDescent="0.3">
      <c r="D1999" s="123"/>
      <c r="E1999" s="123"/>
      <c r="F1999" s="123"/>
      <c r="G1999" s="114"/>
      <c r="H1999" s="115"/>
    </row>
    <row r="2000" spans="4:8" ht="15.6" x14ac:dyDescent="0.3">
      <c r="D2000" s="123"/>
      <c r="E2000" s="123"/>
      <c r="F2000" s="123"/>
      <c r="G2000" s="114"/>
      <c r="H2000" s="115"/>
    </row>
    <row r="2001" spans="4:8" ht="15.6" x14ac:dyDescent="0.3">
      <c r="D2001" s="123"/>
      <c r="E2001" s="123"/>
      <c r="F2001" s="123"/>
      <c r="G2001" s="114"/>
      <c r="H2001" s="115"/>
    </row>
    <row r="2002" spans="4:8" ht="15.6" x14ac:dyDescent="0.3">
      <c r="D2002" s="123"/>
      <c r="E2002" s="123"/>
      <c r="F2002" s="123"/>
      <c r="G2002" s="114"/>
      <c r="H2002" s="115"/>
    </row>
    <row r="2003" spans="4:8" ht="15.6" x14ac:dyDescent="0.3">
      <c r="D2003" s="123"/>
      <c r="E2003" s="123"/>
      <c r="F2003" s="123"/>
      <c r="G2003" s="114"/>
      <c r="H2003" s="115"/>
    </row>
    <row r="2004" spans="4:8" ht="15.6" x14ac:dyDescent="0.3">
      <c r="D2004" s="123"/>
      <c r="E2004" s="123"/>
      <c r="F2004" s="123"/>
      <c r="G2004" s="114"/>
      <c r="H2004" s="115"/>
    </row>
    <row r="2005" spans="4:8" ht="15.6" x14ac:dyDescent="0.3">
      <c r="D2005" s="123"/>
      <c r="E2005" s="123"/>
      <c r="F2005" s="123"/>
      <c r="G2005" s="114"/>
      <c r="H2005" s="115"/>
    </row>
    <row r="2006" spans="4:8" ht="15.6" x14ac:dyDescent="0.3">
      <c r="D2006" s="123"/>
      <c r="E2006" s="123"/>
      <c r="F2006" s="123"/>
      <c r="G2006" s="114"/>
      <c r="H2006" s="115"/>
    </row>
    <row r="2007" spans="4:8" ht="15.6" x14ac:dyDescent="0.3">
      <c r="D2007" s="123"/>
      <c r="E2007" s="123"/>
      <c r="F2007" s="123"/>
      <c r="G2007" s="114"/>
      <c r="H2007" s="115"/>
    </row>
    <row r="2008" spans="4:8" ht="15.6" x14ac:dyDescent="0.3">
      <c r="D2008" s="123"/>
      <c r="E2008" s="123"/>
      <c r="F2008" s="123"/>
      <c r="G2008" s="114"/>
      <c r="H2008" s="115"/>
    </row>
    <row r="2009" spans="4:8" ht="15.6" x14ac:dyDescent="0.3">
      <c r="D2009" s="123"/>
      <c r="E2009" s="123"/>
      <c r="F2009" s="123"/>
      <c r="G2009" s="114"/>
      <c r="H2009" s="115"/>
    </row>
    <row r="2010" spans="4:8" ht="15.6" x14ac:dyDescent="0.3">
      <c r="D2010" s="123"/>
      <c r="E2010" s="123"/>
      <c r="F2010" s="123"/>
      <c r="G2010" s="114"/>
      <c r="H2010" s="115"/>
    </row>
    <row r="2011" spans="4:8" ht="15.6" x14ac:dyDescent="0.3">
      <c r="D2011" s="123"/>
      <c r="E2011" s="123"/>
      <c r="F2011" s="123"/>
      <c r="G2011" s="114"/>
      <c r="H2011" s="115"/>
    </row>
    <row r="2012" spans="4:8" ht="15.6" x14ac:dyDescent="0.3">
      <c r="D2012" s="123"/>
      <c r="E2012" s="123"/>
      <c r="F2012" s="123"/>
      <c r="G2012" s="114"/>
      <c r="H2012" s="115"/>
    </row>
    <row r="2013" spans="4:8" ht="15.6" x14ac:dyDescent="0.3">
      <c r="D2013" s="123"/>
      <c r="E2013" s="123"/>
      <c r="F2013" s="123"/>
      <c r="G2013" s="114"/>
      <c r="H2013" s="115"/>
    </row>
    <row r="2014" spans="4:8" ht="15.6" x14ac:dyDescent="0.3">
      <c r="D2014" s="123"/>
      <c r="E2014" s="123"/>
      <c r="F2014" s="123"/>
      <c r="G2014" s="114"/>
      <c r="H2014" s="115"/>
    </row>
    <row r="2015" spans="4:8" ht="15.6" x14ac:dyDescent="0.3">
      <c r="D2015" s="123"/>
      <c r="E2015" s="123"/>
      <c r="F2015" s="123"/>
      <c r="G2015" s="114"/>
      <c r="H2015" s="115"/>
    </row>
    <row r="2016" spans="4:8" ht="15.6" x14ac:dyDescent="0.3">
      <c r="D2016" s="123"/>
      <c r="E2016" s="123"/>
      <c r="F2016" s="123"/>
      <c r="G2016" s="114"/>
      <c r="H2016" s="115"/>
    </row>
    <row r="2017" spans="4:8" ht="15.6" x14ac:dyDescent="0.3">
      <c r="D2017" s="123"/>
      <c r="E2017" s="123"/>
      <c r="F2017" s="123"/>
      <c r="G2017" s="114"/>
      <c r="H2017" s="115"/>
    </row>
    <row r="2018" spans="4:8" ht="15.6" x14ac:dyDescent="0.3">
      <c r="D2018" s="123"/>
      <c r="E2018" s="123"/>
      <c r="F2018" s="123"/>
      <c r="G2018" s="114"/>
      <c r="H2018" s="115"/>
    </row>
    <row r="2019" spans="4:8" ht="15.6" x14ac:dyDescent="0.3">
      <c r="D2019" s="123"/>
      <c r="E2019" s="123"/>
      <c r="F2019" s="123"/>
      <c r="G2019" s="114"/>
      <c r="H2019" s="115"/>
    </row>
    <row r="2020" spans="4:8" ht="15.6" x14ac:dyDescent="0.3">
      <c r="D2020" s="123"/>
      <c r="E2020" s="123"/>
      <c r="F2020" s="123"/>
      <c r="G2020" s="114"/>
      <c r="H2020" s="115"/>
    </row>
    <row r="2021" spans="4:8" ht="15.6" x14ac:dyDescent="0.3">
      <c r="D2021" s="123"/>
      <c r="E2021" s="123"/>
      <c r="F2021" s="123"/>
      <c r="G2021" s="114"/>
      <c r="H2021" s="115"/>
    </row>
    <row r="2022" spans="4:8" ht="15.6" x14ac:dyDescent="0.3">
      <c r="D2022" s="123"/>
      <c r="E2022" s="123"/>
      <c r="F2022" s="123"/>
      <c r="G2022" s="114"/>
      <c r="H2022" s="115"/>
    </row>
    <row r="2023" spans="4:8" ht="15.6" x14ac:dyDescent="0.3">
      <c r="D2023" s="123"/>
      <c r="E2023" s="123"/>
      <c r="F2023" s="123"/>
      <c r="G2023" s="114"/>
      <c r="H2023" s="115"/>
    </row>
    <row r="2024" spans="4:8" ht="15.6" x14ac:dyDescent="0.3">
      <c r="D2024" s="123"/>
      <c r="E2024" s="123"/>
      <c r="F2024" s="123"/>
      <c r="G2024" s="114"/>
      <c r="H2024" s="115"/>
    </row>
    <row r="2025" spans="4:8" ht="15.6" x14ac:dyDescent="0.3">
      <c r="D2025" s="123"/>
      <c r="E2025" s="123"/>
      <c r="F2025" s="123"/>
      <c r="G2025" s="114"/>
      <c r="H2025" s="115"/>
    </row>
    <row r="2026" spans="4:8" ht="15.6" x14ac:dyDescent="0.3">
      <c r="D2026" s="123"/>
      <c r="E2026" s="123"/>
      <c r="F2026" s="123"/>
      <c r="G2026" s="114"/>
      <c r="H2026" s="115"/>
    </row>
    <row r="2027" spans="4:8" ht="15.6" x14ac:dyDescent="0.3">
      <c r="D2027" s="123"/>
      <c r="E2027" s="123"/>
      <c r="F2027" s="123"/>
      <c r="G2027" s="114"/>
      <c r="H2027" s="115"/>
    </row>
    <row r="2028" spans="4:8" ht="15.6" x14ac:dyDescent="0.3">
      <c r="D2028" s="123"/>
      <c r="E2028" s="123"/>
      <c r="F2028" s="123"/>
      <c r="G2028" s="114"/>
      <c r="H2028" s="115"/>
    </row>
    <row r="2029" spans="4:8" ht="15.6" x14ac:dyDescent="0.3">
      <c r="D2029" s="123"/>
      <c r="E2029" s="123"/>
      <c r="F2029" s="123"/>
      <c r="G2029" s="114"/>
      <c r="H2029" s="115"/>
    </row>
    <row r="2030" spans="4:8" ht="15.6" x14ac:dyDescent="0.3">
      <c r="D2030" s="123"/>
      <c r="E2030" s="123"/>
      <c r="F2030" s="123"/>
      <c r="G2030" s="114"/>
      <c r="H2030" s="115"/>
    </row>
    <row r="2031" spans="4:8" ht="15.6" x14ac:dyDescent="0.3">
      <c r="D2031" s="123"/>
      <c r="E2031" s="123"/>
      <c r="F2031" s="123"/>
      <c r="G2031" s="114"/>
      <c r="H2031" s="115"/>
    </row>
    <row r="2032" spans="4:8" ht="15.6" x14ac:dyDescent="0.3">
      <c r="D2032" s="123"/>
      <c r="E2032" s="123"/>
      <c r="F2032" s="123"/>
      <c r="G2032" s="114"/>
      <c r="H2032" s="115"/>
    </row>
    <row r="2033" spans="4:8" ht="15.6" x14ac:dyDescent="0.3">
      <c r="D2033" s="123"/>
      <c r="E2033" s="123"/>
      <c r="F2033" s="123"/>
      <c r="G2033" s="114"/>
      <c r="H2033" s="115"/>
    </row>
    <row r="2034" spans="4:8" ht="15.6" x14ac:dyDescent="0.3">
      <c r="D2034" s="123"/>
      <c r="E2034" s="123"/>
      <c r="F2034" s="123"/>
      <c r="G2034" s="114"/>
      <c r="H2034" s="115"/>
    </row>
    <row r="2035" spans="4:8" ht="15.6" x14ac:dyDescent="0.3">
      <c r="D2035" s="123"/>
      <c r="E2035" s="123"/>
      <c r="F2035" s="123"/>
      <c r="G2035" s="114"/>
      <c r="H2035" s="115"/>
    </row>
    <row r="2036" spans="4:8" ht="15.6" x14ac:dyDescent="0.3">
      <c r="D2036" s="123"/>
      <c r="E2036" s="123"/>
      <c r="F2036" s="123"/>
      <c r="G2036" s="114"/>
      <c r="H2036" s="115"/>
    </row>
    <row r="2037" spans="4:8" ht="15.6" x14ac:dyDescent="0.3">
      <c r="D2037" s="123"/>
      <c r="E2037" s="123"/>
      <c r="F2037" s="123"/>
      <c r="G2037" s="114"/>
      <c r="H2037" s="115"/>
    </row>
    <row r="2038" spans="4:8" ht="15.6" x14ac:dyDescent="0.3">
      <c r="D2038" s="123"/>
      <c r="E2038" s="123"/>
      <c r="F2038" s="123"/>
      <c r="G2038" s="114"/>
      <c r="H2038" s="115"/>
    </row>
    <row r="2039" spans="4:8" ht="15.6" x14ac:dyDescent="0.3">
      <c r="D2039" s="123"/>
      <c r="E2039" s="123"/>
      <c r="F2039" s="123"/>
      <c r="G2039" s="114"/>
      <c r="H2039" s="115"/>
    </row>
    <row r="2040" spans="4:8" ht="15.6" x14ac:dyDescent="0.3">
      <c r="D2040" s="123"/>
      <c r="E2040" s="123"/>
      <c r="F2040" s="123"/>
      <c r="G2040" s="114"/>
      <c r="H2040" s="115"/>
    </row>
    <row r="2041" spans="4:8" ht="15.6" x14ac:dyDescent="0.3">
      <c r="D2041" s="123"/>
      <c r="E2041" s="123"/>
      <c r="F2041" s="123"/>
      <c r="G2041" s="114"/>
      <c r="H2041" s="115"/>
    </row>
    <row r="2042" spans="4:8" ht="15.6" x14ac:dyDescent="0.3">
      <c r="D2042" s="123"/>
      <c r="E2042" s="123"/>
      <c r="F2042" s="123"/>
      <c r="G2042" s="114"/>
      <c r="H2042" s="115"/>
    </row>
    <row r="2043" spans="4:8" ht="15.6" x14ac:dyDescent="0.3">
      <c r="D2043" s="123"/>
      <c r="E2043" s="123"/>
      <c r="F2043" s="123"/>
      <c r="G2043" s="114"/>
      <c r="H2043" s="115"/>
    </row>
    <row r="2044" spans="4:8" ht="15.6" x14ac:dyDescent="0.3">
      <c r="D2044" s="123"/>
      <c r="E2044" s="123"/>
      <c r="F2044" s="123"/>
      <c r="G2044" s="114"/>
      <c r="H2044" s="115"/>
    </row>
    <row r="2045" spans="4:8" ht="15.6" x14ac:dyDescent="0.3">
      <c r="D2045" s="123"/>
      <c r="E2045" s="123"/>
      <c r="F2045" s="123"/>
      <c r="G2045" s="114"/>
      <c r="H2045" s="115"/>
    </row>
    <row r="2046" spans="4:8" ht="15.6" x14ac:dyDescent="0.3">
      <c r="D2046" s="123"/>
      <c r="E2046" s="123"/>
      <c r="F2046" s="123"/>
      <c r="G2046" s="114"/>
      <c r="H2046" s="115"/>
    </row>
    <row r="2047" spans="4:8" ht="15.6" x14ac:dyDescent="0.3">
      <c r="D2047" s="123"/>
      <c r="E2047" s="123"/>
      <c r="F2047" s="123"/>
      <c r="G2047" s="114"/>
      <c r="H2047" s="115"/>
    </row>
    <row r="2048" spans="4:8" ht="15.6" x14ac:dyDescent="0.3">
      <c r="D2048" s="123"/>
      <c r="E2048" s="123"/>
      <c r="F2048" s="123"/>
      <c r="G2048" s="114"/>
      <c r="H2048" s="115"/>
    </row>
    <row r="2049" spans="4:8" ht="15.6" x14ac:dyDescent="0.3">
      <c r="D2049" s="123"/>
      <c r="E2049" s="123"/>
      <c r="F2049" s="123"/>
      <c r="G2049" s="114"/>
      <c r="H2049" s="115"/>
    </row>
    <row r="2050" spans="4:8" ht="15.6" x14ac:dyDescent="0.3">
      <c r="D2050" s="123"/>
      <c r="E2050" s="123"/>
      <c r="F2050" s="123"/>
      <c r="G2050" s="114"/>
      <c r="H2050" s="115"/>
    </row>
    <row r="2051" spans="4:8" ht="15.6" x14ac:dyDescent="0.3">
      <c r="D2051" s="123"/>
      <c r="E2051" s="123"/>
      <c r="F2051" s="123"/>
      <c r="G2051" s="114"/>
      <c r="H2051" s="115"/>
    </row>
    <row r="2052" spans="4:8" ht="15.6" x14ac:dyDescent="0.3">
      <c r="D2052" s="123"/>
      <c r="E2052" s="123"/>
      <c r="F2052" s="123"/>
      <c r="G2052" s="114"/>
      <c r="H2052" s="115"/>
    </row>
    <row r="2053" spans="4:8" ht="15.6" x14ac:dyDescent="0.3">
      <c r="D2053" s="123"/>
      <c r="E2053" s="123"/>
      <c r="F2053" s="123"/>
      <c r="G2053" s="114"/>
      <c r="H2053" s="115"/>
    </row>
    <row r="2054" spans="4:8" ht="15.6" x14ac:dyDescent="0.3">
      <c r="D2054" s="123"/>
      <c r="E2054" s="123"/>
      <c r="F2054" s="123"/>
      <c r="G2054" s="114"/>
      <c r="H2054" s="115"/>
    </row>
    <row r="2055" spans="4:8" ht="15.6" x14ac:dyDescent="0.3">
      <c r="D2055" s="123"/>
      <c r="E2055" s="123"/>
      <c r="F2055" s="123"/>
      <c r="G2055" s="114"/>
      <c r="H2055" s="115"/>
    </row>
    <row r="2056" spans="4:8" ht="15.6" x14ac:dyDescent="0.3">
      <c r="D2056" s="123"/>
      <c r="E2056" s="123"/>
      <c r="F2056" s="123"/>
      <c r="G2056" s="114"/>
      <c r="H2056" s="115"/>
    </row>
    <row r="2057" spans="4:8" ht="15.6" x14ac:dyDescent="0.3">
      <c r="D2057" s="123"/>
      <c r="E2057" s="123"/>
      <c r="F2057" s="123"/>
      <c r="G2057" s="114"/>
      <c r="H2057" s="115"/>
    </row>
    <row r="2058" spans="4:8" ht="15.6" x14ac:dyDescent="0.3">
      <c r="D2058" s="123"/>
      <c r="E2058" s="123"/>
      <c r="F2058" s="123"/>
      <c r="G2058" s="114"/>
      <c r="H2058" s="115"/>
    </row>
    <row r="2059" spans="4:8" ht="15.6" x14ac:dyDescent="0.3">
      <c r="D2059" s="123"/>
      <c r="E2059" s="123"/>
      <c r="F2059" s="123"/>
      <c r="G2059" s="114"/>
      <c r="H2059" s="115"/>
    </row>
    <row r="2060" spans="4:8" ht="15.6" x14ac:dyDescent="0.3">
      <c r="D2060" s="123"/>
      <c r="E2060" s="123"/>
      <c r="F2060" s="123"/>
      <c r="G2060" s="114"/>
      <c r="H2060" s="115"/>
    </row>
    <row r="2061" spans="4:8" ht="15.6" x14ac:dyDescent="0.3">
      <c r="D2061" s="123"/>
      <c r="E2061" s="123"/>
      <c r="F2061" s="123"/>
      <c r="G2061" s="114"/>
      <c r="H2061" s="115"/>
    </row>
    <row r="2062" spans="4:8" ht="15.6" x14ac:dyDescent="0.3">
      <c r="D2062" s="123"/>
      <c r="E2062" s="123"/>
      <c r="F2062" s="123"/>
      <c r="G2062" s="114"/>
      <c r="H2062" s="115"/>
    </row>
    <row r="2063" spans="4:8" ht="15.6" x14ac:dyDescent="0.3">
      <c r="D2063" s="123"/>
      <c r="E2063" s="123"/>
      <c r="F2063" s="123"/>
      <c r="G2063" s="114"/>
      <c r="H2063" s="115"/>
    </row>
    <row r="2064" spans="4:8" ht="15.6" x14ac:dyDescent="0.3">
      <c r="D2064" s="123"/>
      <c r="E2064" s="123"/>
      <c r="F2064" s="123"/>
      <c r="G2064" s="114"/>
      <c r="H2064" s="115"/>
    </row>
    <row r="2065" spans="4:8" ht="15.6" x14ac:dyDescent="0.3">
      <c r="D2065" s="123"/>
      <c r="E2065" s="123"/>
      <c r="F2065" s="123"/>
      <c r="G2065" s="114"/>
      <c r="H2065" s="115"/>
    </row>
    <row r="2066" spans="4:8" ht="15.6" x14ac:dyDescent="0.3">
      <c r="D2066" s="123"/>
      <c r="E2066" s="123"/>
      <c r="F2066" s="123"/>
      <c r="G2066" s="114"/>
      <c r="H2066" s="115"/>
    </row>
    <row r="2067" spans="4:8" ht="15.6" x14ac:dyDescent="0.3">
      <c r="D2067" s="123"/>
      <c r="E2067" s="123"/>
      <c r="F2067" s="123"/>
      <c r="G2067" s="114"/>
      <c r="H2067" s="115"/>
    </row>
    <row r="2068" spans="4:8" ht="15.6" x14ac:dyDescent="0.3">
      <c r="D2068" s="123"/>
      <c r="E2068" s="123"/>
      <c r="F2068" s="123"/>
      <c r="G2068" s="114"/>
      <c r="H2068" s="115"/>
    </row>
    <row r="2069" spans="4:8" ht="15.6" x14ac:dyDescent="0.3">
      <c r="D2069" s="123"/>
      <c r="E2069" s="123"/>
      <c r="F2069" s="123"/>
      <c r="G2069" s="114"/>
      <c r="H2069" s="115"/>
    </row>
    <row r="2070" spans="4:8" ht="15.6" x14ac:dyDescent="0.3">
      <c r="D2070" s="123"/>
      <c r="E2070" s="123"/>
      <c r="F2070" s="123"/>
      <c r="G2070" s="114"/>
      <c r="H2070" s="115"/>
    </row>
    <row r="2071" spans="4:8" ht="15.6" x14ac:dyDescent="0.3">
      <c r="D2071" s="123"/>
      <c r="E2071" s="123"/>
      <c r="F2071" s="123"/>
      <c r="G2071" s="114"/>
      <c r="H2071" s="115"/>
    </row>
    <row r="2072" spans="4:8" ht="15.6" x14ac:dyDescent="0.3">
      <c r="D2072" s="123"/>
      <c r="E2072" s="123"/>
      <c r="F2072" s="123"/>
      <c r="G2072" s="114"/>
      <c r="H2072" s="115"/>
    </row>
    <row r="2073" spans="4:8" ht="15.6" x14ac:dyDescent="0.3">
      <c r="D2073" s="123"/>
      <c r="E2073" s="123"/>
      <c r="F2073" s="123"/>
      <c r="G2073" s="114"/>
      <c r="H2073" s="115"/>
    </row>
    <row r="2074" spans="4:8" ht="15.6" x14ac:dyDescent="0.3">
      <c r="D2074" s="123"/>
      <c r="E2074" s="123"/>
      <c r="F2074" s="123"/>
      <c r="G2074" s="114"/>
      <c r="H2074" s="115"/>
    </row>
    <row r="2075" spans="4:8" ht="15.6" x14ac:dyDescent="0.3">
      <c r="D2075" s="123"/>
      <c r="E2075" s="123"/>
      <c r="F2075" s="123"/>
      <c r="G2075" s="114"/>
      <c r="H2075" s="115"/>
    </row>
    <row r="2076" spans="4:8" ht="15.6" x14ac:dyDescent="0.3">
      <c r="D2076" s="123"/>
      <c r="E2076" s="123"/>
      <c r="F2076" s="123"/>
      <c r="G2076" s="114"/>
      <c r="H2076" s="115"/>
    </row>
    <row r="2077" spans="4:8" ht="15.6" x14ac:dyDescent="0.3">
      <c r="D2077" s="123"/>
      <c r="E2077" s="123"/>
      <c r="F2077" s="123"/>
      <c r="G2077" s="114"/>
      <c r="H2077" s="115"/>
    </row>
    <row r="2078" spans="4:8" ht="15.6" x14ac:dyDescent="0.3">
      <c r="D2078" s="123"/>
      <c r="E2078" s="123"/>
      <c r="F2078" s="123"/>
      <c r="G2078" s="114"/>
      <c r="H2078" s="115"/>
    </row>
    <row r="2079" spans="4:8" ht="15.6" x14ac:dyDescent="0.3">
      <c r="D2079" s="123"/>
      <c r="E2079" s="123"/>
      <c r="F2079" s="123"/>
      <c r="G2079" s="114"/>
      <c r="H2079" s="115"/>
    </row>
    <row r="2080" spans="4:8" ht="15.6" x14ac:dyDescent="0.3">
      <c r="D2080" s="123"/>
      <c r="E2080" s="123"/>
      <c r="F2080" s="123"/>
      <c r="G2080" s="114"/>
      <c r="H2080" s="115"/>
    </row>
    <row r="2081" spans="4:8" ht="15.6" x14ac:dyDescent="0.3">
      <c r="D2081" s="123"/>
      <c r="E2081" s="123"/>
      <c r="F2081" s="123"/>
      <c r="G2081" s="114"/>
      <c r="H2081" s="115"/>
    </row>
    <row r="2082" spans="4:8" ht="15.6" x14ac:dyDescent="0.3">
      <c r="D2082" s="123"/>
      <c r="E2082" s="123"/>
      <c r="F2082" s="123"/>
      <c r="G2082" s="114"/>
      <c r="H2082" s="115"/>
    </row>
    <row r="2083" spans="4:8" ht="15.6" x14ac:dyDescent="0.3">
      <c r="D2083" s="123"/>
      <c r="E2083" s="123"/>
      <c r="F2083" s="123"/>
      <c r="G2083" s="114"/>
      <c r="H2083" s="115"/>
    </row>
    <row r="2084" spans="4:8" ht="15.6" x14ac:dyDescent="0.3">
      <c r="D2084" s="123"/>
      <c r="E2084" s="123"/>
      <c r="F2084" s="123"/>
      <c r="G2084" s="114"/>
      <c r="H2084" s="115"/>
    </row>
    <row r="2085" spans="4:8" ht="15.6" x14ac:dyDescent="0.3">
      <c r="D2085" s="123"/>
      <c r="E2085" s="123"/>
      <c r="F2085" s="123"/>
      <c r="G2085" s="114"/>
      <c r="H2085" s="115"/>
    </row>
    <row r="2086" spans="4:8" ht="15.6" x14ac:dyDescent="0.3">
      <c r="D2086" s="123"/>
      <c r="E2086" s="123"/>
      <c r="F2086" s="123"/>
      <c r="G2086" s="114"/>
      <c r="H2086" s="115"/>
    </row>
    <row r="2087" spans="4:8" ht="15.6" x14ac:dyDescent="0.3">
      <c r="D2087" s="123"/>
      <c r="E2087" s="123"/>
      <c r="F2087" s="123"/>
      <c r="G2087" s="114"/>
      <c r="H2087" s="115"/>
    </row>
    <row r="2088" spans="4:8" ht="15.6" x14ac:dyDescent="0.3">
      <c r="D2088" s="123"/>
      <c r="E2088" s="123"/>
      <c r="F2088" s="123"/>
      <c r="G2088" s="114"/>
      <c r="H2088" s="115"/>
    </row>
    <row r="2089" spans="4:8" ht="15.6" x14ac:dyDescent="0.3">
      <c r="D2089" s="123"/>
      <c r="E2089" s="123"/>
      <c r="F2089" s="123"/>
      <c r="G2089" s="114"/>
      <c r="H2089" s="115"/>
    </row>
    <row r="2090" spans="4:8" ht="15.6" x14ac:dyDescent="0.3">
      <c r="D2090" s="123"/>
      <c r="E2090" s="123"/>
      <c r="F2090" s="123"/>
      <c r="G2090" s="114"/>
      <c r="H2090" s="115"/>
    </row>
    <row r="2091" spans="4:8" ht="15.6" x14ac:dyDescent="0.3">
      <c r="D2091" s="123"/>
      <c r="E2091" s="123"/>
      <c r="F2091" s="123"/>
      <c r="G2091" s="114"/>
      <c r="H2091" s="115"/>
    </row>
    <row r="2092" spans="4:8" ht="15.6" x14ac:dyDescent="0.3">
      <c r="D2092" s="123"/>
      <c r="E2092" s="123"/>
      <c r="F2092" s="123"/>
      <c r="G2092" s="114"/>
      <c r="H2092" s="115"/>
    </row>
    <row r="2093" spans="4:8" ht="15.6" x14ac:dyDescent="0.3">
      <c r="D2093" s="123"/>
      <c r="E2093" s="123"/>
      <c r="F2093" s="123"/>
      <c r="G2093" s="114"/>
      <c r="H2093" s="115"/>
    </row>
    <row r="2094" spans="4:8" ht="15.6" x14ac:dyDescent="0.3">
      <c r="D2094" s="123"/>
      <c r="E2094" s="123"/>
      <c r="F2094" s="123"/>
      <c r="G2094" s="114"/>
      <c r="H2094" s="115"/>
    </row>
    <row r="2095" spans="4:8" ht="15.6" x14ac:dyDescent="0.3">
      <c r="D2095" s="123"/>
      <c r="E2095" s="123"/>
      <c r="F2095" s="123"/>
      <c r="G2095" s="114"/>
      <c r="H2095" s="115"/>
    </row>
    <row r="2096" spans="4:8" ht="15.6" x14ac:dyDescent="0.3">
      <c r="D2096" s="123"/>
      <c r="E2096" s="123"/>
      <c r="F2096" s="123"/>
      <c r="G2096" s="114"/>
      <c r="H2096" s="115"/>
    </row>
    <row r="2097" spans="4:8" ht="15.6" x14ac:dyDescent="0.3">
      <c r="D2097" s="123"/>
      <c r="E2097" s="123"/>
      <c r="F2097" s="123"/>
      <c r="G2097" s="114"/>
      <c r="H2097" s="115"/>
    </row>
    <row r="2098" spans="4:8" ht="15.6" x14ac:dyDescent="0.3">
      <c r="D2098" s="123"/>
      <c r="E2098" s="123"/>
      <c r="F2098" s="123"/>
      <c r="G2098" s="114"/>
      <c r="H2098" s="115"/>
    </row>
    <row r="2099" spans="4:8" ht="15.6" x14ac:dyDescent="0.3">
      <c r="D2099" s="123"/>
      <c r="E2099" s="123"/>
      <c r="F2099" s="123"/>
      <c r="G2099" s="114"/>
      <c r="H2099" s="115"/>
    </row>
    <row r="2100" spans="4:8" ht="15.6" x14ac:dyDescent="0.3">
      <c r="D2100" s="123"/>
      <c r="E2100" s="123"/>
      <c r="F2100" s="123"/>
      <c r="G2100" s="114"/>
      <c r="H2100" s="115"/>
    </row>
    <row r="2101" spans="4:8" ht="15.6" x14ac:dyDescent="0.3">
      <c r="D2101" s="123"/>
      <c r="E2101" s="123"/>
      <c r="F2101" s="123"/>
      <c r="G2101" s="114"/>
      <c r="H2101" s="115"/>
    </row>
    <row r="2102" spans="4:8" ht="15.6" x14ac:dyDescent="0.3">
      <c r="D2102" s="123"/>
      <c r="E2102" s="123"/>
      <c r="F2102" s="123"/>
      <c r="G2102" s="114"/>
      <c r="H2102" s="115"/>
    </row>
    <row r="2103" spans="4:8" ht="15.6" x14ac:dyDescent="0.3">
      <c r="D2103" s="123"/>
      <c r="E2103" s="123"/>
      <c r="F2103" s="123"/>
      <c r="G2103" s="114"/>
      <c r="H2103" s="115"/>
    </row>
    <row r="2104" spans="4:8" ht="15.6" x14ac:dyDescent="0.3">
      <c r="D2104" s="123"/>
      <c r="E2104" s="123"/>
      <c r="F2104" s="123"/>
      <c r="G2104" s="114"/>
      <c r="H2104" s="115"/>
    </row>
    <row r="2105" spans="4:8" ht="15.6" x14ac:dyDescent="0.3">
      <c r="D2105" s="123"/>
      <c r="E2105" s="123"/>
      <c r="F2105" s="123"/>
      <c r="G2105" s="114"/>
      <c r="H2105" s="115"/>
    </row>
    <row r="2106" spans="4:8" ht="15.6" x14ac:dyDescent="0.3">
      <c r="D2106" s="123"/>
      <c r="E2106" s="123"/>
      <c r="F2106" s="123"/>
      <c r="G2106" s="114"/>
      <c r="H2106" s="115"/>
    </row>
    <row r="2107" spans="4:8" ht="15.6" x14ac:dyDescent="0.3">
      <c r="D2107" s="123"/>
      <c r="E2107" s="123"/>
      <c r="F2107" s="123"/>
      <c r="G2107" s="114"/>
      <c r="H2107" s="115"/>
    </row>
    <row r="2108" spans="4:8" ht="15.6" x14ac:dyDescent="0.3">
      <c r="D2108" s="123"/>
      <c r="E2108" s="123"/>
      <c r="F2108" s="123"/>
      <c r="G2108" s="114"/>
      <c r="H2108" s="115"/>
    </row>
    <row r="2109" spans="4:8" ht="15.6" x14ac:dyDescent="0.3">
      <c r="D2109" s="123"/>
      <c r="E2109" s="123"/>
      <c r="F2109" s="123"/>
      <c r="G2109" s="114"/>
      <c r="H2109" s="115"/>
    </row>
    <row r="2110" spans="4:8" ht="15.6" x14ac:dyDescent="0.3">
      <c r="D2110" s="123"/>
      <c r="E2110" s="123"/>
      <c r="F2110" s="123"/>
      <c r="G2110" s="114"/>
      <c r="H2110" s="115"/>
    </row>
    <row r="2111" spans="4:8" ht="15.6" x14ac:dyDescent="0.3">
      <c r="D2111" s="123"/>
      <c r="E2111" s="123"/>
      <c r="F2111" s="123"/>
      <c r="G2111" s="114"/>
      <c r="H2111" s="115"/>
    </row>
    <row r="2112" spans="4:8" ht="15.6" x14ac:dyDescent="0.3">
      <c r="D2112" s="123"/>
      <c r="E2112" s="123"/>
      <c r="F2112" s="123"/>
      <c r="G2112" s="114"/>
      <c r="H2112" s="115"/>
    </row>
    <row r="2113" spans="4:8" ht="15.6" x14ac:dyDescent="0.3">
      <c r="D2113" s="123"/>
      <c r="E2113" s="123"/>
      <c r="F2113" s="123"/>
      <c r="G2113" s="114"/>
      <c r="H2113" s="115"/>
    </row>
    <row r="2114" spans="4:8" ht="15.6" x14ac:dyDescent="0.3">
      <c r="D2114" s="123"/>
      <c r="E2114" s="123"/>
      <c r="F2114" s="123"/>
      <c r="G2114" s="114"/>
      <c r="H2114" s="115"/>
    </row>
    <row r="2115" spans="4:8" ht="15.6" x14ac:dyDescent="0.3">
      <c r="D2115" s="123"/>
      <c r="E2115" s="123"/>
      <c r="F2115" s="123"/>
      <c r="G2115" s="114"/>
      <c r="H2115" s="115"/>
    </row>
    <row r="2116" spans="4:8" ht="15.6" x14ac:dyDescent="0.3">
      <c r="D2116" s="123"/>
      <c r="E2116" s="123"/>
      <c r="F2116" s="123"/>
      <c r="G2116" s="114"/>
      <c r="H2116" s="115"/>
    </row>
    <row r="2117" spans="4:8" ht="15.6" x14ac:dyDescent="0.3">
      <c r="D2117" s="123"/>
      <c r="E2117" s="123"/>
      <c r="F2117" s="123"/>
      <c r="G2117" s="114"/>
      <c r="H2117" s="115"/>
    </row>
    <row r="2118" spans="4:8" ht="15.6" x14ac:dyDescent="0.3">
      <c r="D2118" s="123"/>
      <c r="E2118" s="123"/>
      <c r="F2118" s="123"/>
      <c r="G2118" s="114"/>
      <c r="H2118" s="115"/>
    </row>
    <row r="2119" spans="4:8" ht="15.6" x14ac:dyDescent="0.3">
      <c r="D2119" s="123"/>
      <c r="E2119" s="123"/>
      <c r="F2119" s="123"/>
      <c r="G2119" s="114"/>
      <c r="H2119" s="115"/>
    </row>
    <row r="2120" spans="4:8" ht="15.6" x14ac:dyDescent="0.3">
      <c r="D2120" s="123"/>
      <c r="E2120" s="123"/>
      <c r="F2120" s="123"/>
      <c r="G2120" s="114"/>
      <c r="H2120" s="115"/>
    </row>
    <row r="2121" spans="4:8" ht="15.6" x14ac:dyDescent="0.3">
      <c r="D2121" s="123"/>
      <c r="E2121" s="123"/>
      <c r="F2121" s="123"/>
      <c r="G2121" s="114"/>
      <c r="H2121" s="115"/>
    </row>
    <row r="2122" spans="4:8" ht="15.6" x14ac:dyDescent="0.3">
      <c r="D2122" s="123"/>
      <c r="E2122" s="123"/>
      <c r="F2122" s="123"/>
      <c r="G2122" s="114"/>
      <c r="H2122" s="115"/>
    </row>
    <row r="2123" spans="4:8" ht="15.6" x14ac:dyDescent="0.3">
      <c r="D2123" s="123"/>
      <c r="E2123" s="123"/>
      <c r="F2123" s="123"/>
      <c r="G2123" s="114"/>
      <c r="H2123" s="115"/>
    </row>
    <row r="2124" spans="4:8" ht="15.6" x14ac:dyDescent="0.3">
      <c r="D2124" s="123"/>
      <c r="E2124" s="123"/>
      <c r="F2124" s="123"/>
      <c r="G2124" s="114"/>
      <c r="H2124" s="115"/>
    </row>
    <row r="2125" spans="4:8" ht="15.6" x14ac:dyDescent="0.3">
      <c r="D2125" s="123"/>
      <c r="E2125" s="123"/>
      <c r="F2125" s="123"/>
      <c r="G2125" s="114"/>
      <c r="H2125" s="115"/>
    </row>
    <row r="2126" spans="4:8" ht="15.6" x14ac:dyDescent="0.3">
      <c r="D2126" s="123"/>
      <c r="E2126" s="123"/>
      <c r="F2126" s="123"/>
      <c r="G2126" s="114"/>
      <c r="H2126" s="115"/>
    </row>
    <row r="2127" spans="4:8" ht="15.6" x14ac:dyDescent="0.3">
      <c r="D2127" s="123"/>
      <c r="E2127" s="123"/>
      <c r="F2127" s="123"/>
      <c r="G2127" s="114"/>
      <c r="H2127" s="115"/>
    </row>
    <row r="2128" spans="4:8" ht="15.6" x14ac:dyDescent="0.3">
      <c r="D2128" s="123"/>
      <c r="E2128" s="123"/>
      <c r="F2128" s="123"/>
      <c r="G2128" s="114"/>
      <c r="H2128" s="115"/>
    </row>
    <row r="2129" spans="4:8" ht="15.6" x14ac:dyDescent="0.3">
      <c r="D2129" s="123"/>
      <c r="E2129" s="123"/>
      <c r="F2129" s="123"/>
      <c r="G2129" s="114"/>
      <c r="H2129" s="115"/>
    </row>
    <row r="2130" spans="4:8" ht="15.6" x14ac:dyDescent="0.3">
      <c r="D2130" s="123"/>
      <c r="E2130" s="123"/>
      <c r="F2130" s="123"/>
      <c r="G2130" s="114"/>
      <c r="H2130" s="115"/>
    </row>
    <row r="2131" spans="4:8" ht="15.6" x14ac:dyDescent="0.3">
      <c r="D2131" s="123"/>
      <c r="E2131" s="123"/>
      <c r="F2131" s="123"/>
      <c r="G2131" s="114"/>
      <c r="H2131" s="115"/>
    </row>
    <row r="2132" spans="4:8" ht="15.6" x14ac:dyDescent="0.3">
      <c r="D2132" s="123"/>
      <c r="E2132" s="123"/>
      <c r="F2132" s="123"/>
      <c r="G2132" s="114"/>
      <c r="H2132" s="115"/>
    </row>
    <row r="2133" spans="4:8" ht="15.6" x14ac:dyDescent="0.3">
      <c r="D2133" s="123"/>
      <c r="E2133" s="123"/>
      <c r="F2133" s="123"/>
      <c r="G2133" s="114"/>
      <c r="H2133" s="115"/>
    </row>
    <row r="2134" spans="4:8" ht="15.6" x14ac:dyDescent="0.3">
      <c r="D2134" s="123"/>
      <c r="E2134" s="123"/>
      <c r="F2134" s="123"/>
      <c r="G2134" s="114"/>
      <c r="H2134" s="115"/>
    </row>
    <row r="2135" spans="4:8" ht="15.6" x14ac:dyDescent="0.3">
      <c r="D2135" s="123"/>
      <c r="E2135" s="123"/>
      <c r="F2135" s="123"/>
      <c r="G2135" s="114"/>
      <c r="H2135" s="115"/>
    </row>
    <row r="2136" spans="4:8" ht="15.6" x14ac:dyDescent="0.3">
      <c r="D2136" s="123"/>
      <c r="E2136" s="123"/>
      <c r="F2136" s="123"/>
      <c r="G2136" s="114"/>
      <c r="H2136" s="115"/>
    </row>
    <row r="2137" spans="4:8" ht="15.6" x14ac:dyDescent="0.3">
      <c r="D2137" s="123"/>
      <c r="E2137" s="123"/>
      <c r="F2137" s="123"/>
      <c r="G2137" s="114"/>
      <c r="H2137" s="115"/>
    </row>
    <row r="2138" spans="4:8" ht="15.6" x14ac:dyDescent="0.3">
      <c r="D2138" s="123"/>
      <c r="E2138" s="123"/>
      <c r="F2138" s="123"/>
      <c r="G2138" s="114"/>
      <c r="H2138" s="115"/>
    </row>
    <row r="2139" spans="4:8" ht="15.6" x14ac:dyDescent="0.3">
      <c r="D2139" s="123"/>
      <c r="E2139" s="123"/>
      <c r="F2139" s="123"/>
      <c r="G2139" s="114"/>
      <c r="H2139" s="115"/>
    </row>
    <row r="2140" spans="4:8" ht="15.6" x14ac:dyDescent="0.3">
      <c r="D2140" s="123"/>
      <c r="E2140" s="123"/>
      <c r="F2140" s="123"/>
      <c r="G2140" s="114"/>
      <c r="H2140" s="115"/>
    </row>
    <row r="2141" spans="4:8" ht="15.6" x14ac:dyDescent="0.3">
      <c r="D2141" s="123"/>
      <c r="E2141" s="123"/>
      <c r="F2141" s="123"/>
      <c r="G2141" s="114"/>
      <c r="H2141" s="115"/>
    </row>
    <row r="2142" spans="4:8" ht="15.6" x14ac:dyDescent="0.3">
      <c r="D2142" s="123"/>
      <c r="E2142" s="123"/>
      <c r="F2142" s="123"/>
      <c r="G2142" s="114"/>
      <c r="H2142" s="115"/>
    </row>
    <row r="2143" spans="4:8" ht="15.6" x14ac:dyDescent="0.3">
      <c r="D2143" s="123"/>
      <c r="E2143" s="123"/>
      <c r="F2143" s="123"/>
      <c r="G2143" s="114"/>
      <c r="H2143" s="115"/>
    </row>
    <row r="2144" spans="4:8" ht="15.6" x14ac:dyDescent="0.3">
      <c r="D2144" s="123"/>
      <c r="E2144" s="123"/>
      <c r="F2144" s="123"/>
      <c r="G2144" s="114"/>
      <c r="H2144" s="115"/>
    </row>
    <row r="2145" spans="4:8" ht="15.6" x14ac:dyDescent="0.3">
      <c r="D2145" s="123"/>
      <c r="E2145" s="123"/>
      <c r="F2145" s="123"/>
      <c r="G2145" s="114"/>
      <c r="H2145" s="115"/>
    </row>
    <row r="2146" spans="4:8" ht="15.6" x14ac:dyDescent="0.3">
      <c r="D2146" s="123"/>
      <c r="E2146" s="123"/>
      <c r="F2146" s="123"/>
      <c r="G2146" s="114"/>
      <c r="H2146" s="115"/>
    </row>
    <row r="2147" spans="4:8" ht="15.6" x14ac:dyDescent="0.3">
      <c r="D2147" s="123"/>
      <c r="E2147" s="123"/>
      <c r="F2147" s="123"/>
      <c r="G2147" s="114"/>
      <c r="H2147" s="115"/>
    </row>
    <row r="2148" spans="4:8" ht="15.6" x14ac:dyDescent="0.3">
      <c r="D2148" s="123"/>
      <c r="E2148" s="123"/>
      <c r="F2148" s="123"/>
      <c r="G2148" s="114"/>
      <c r="H2148" s="115"/>
    </row>
    <row r="2149" spans="4:8" ht="15.6" x14ac:dyDescent="0.3">
      <c r="D2149" s="123"/>
      <c r="E2149" s="123"/>
      <c r="F2149" s="123"/>
      <c r="G2149" s="114"/>
      <c r="H2149" s="115"/>
    </row>
    <row r="2150" spans="4:8" ht="15.6" x14ac:dyDescent="0.3">
      <c r="D2150" s="123"/>
      <c r="E2150" s="123"/>
      <c r="F2150" s="123"/>
      <c r="G2150" s="114"/>
      <c r="H2150" s="115"/>
    </row>
    <row r="2151" spans="4:8" ht="15.6" x14ac:dyDescent="0.3">
      <c r="D2151" s="123"/>
      <c r="E2151" s="123"/>
      <c r="F2151" s="123"/>
      <c r="G2151" s="114"/>
      <c r="H2151" s="115"/>
    </row>
    <row r="2152" spans="4:8" ht="15.6" x14ac:dyDescent="0.3">
      <c r="D2152" s="123"/>
      <c r="E2152" s="123"/>
      <c r="F2152" s="123"/>
      <c r="G2152" s="114"/>
      <c r="H2152" s="115"/>
    </row>
    <row r="2153" spans="4:8" ht="15.6" x14ac:dyDescent="0.3">
      <c r="D2153" s="123"/>
      <c r="E2153" s="123"/>
      <c r="F2153" s="123"/>
      <c r="G2153" s="114"/>
      <c r="H2153" s="115"/>
    </row>
    <row r="2154" spans="4:8" ht="15.6" x14ac:dyDescent="0.3">
      <c r="D2154" s="123"/>
      <c r="E2154" s="123"/>
      <c r="F2154" s="123"/>
      <c r="G2154" s="114"/>
      <c r="H2154" s="115"/>
    </row>
    <row r="2155" spans="4:8" ht="15.6" x14ac:dyDescent="0.3">
      <c r="D2155" s="123"/>
      <c r="E2155" s="123"/>
      <c r="F2155" s="123"/>
      <c r="G2155" s="114"/>
      <c r="H2155" s="115"/>
    </row>
    <row r="2156" spans="4:8" ht="15.6" x14ac:dyDescent="0.3">
      <c r="D2156" s="123"/>
      <c r="E2156" s="123"/>
      <c r="F2156" s="123"/>
      <c r="G2156" s="114"/>
      <c r="H2156" s="115"/>
    </row>
    <row r="2157" spans="4:8" ht="15.6" x14ac:dyDescent="0.3">
      <c r="D2157" s="123"/>
      <c r="E2157" s="123"/>
      <c r="F2157" s="123"/>
      <c r="G2157" s="114"/>
      <c r="H2157" s="115"/>
    </row>
    <row r="2158" spans="4:8" ht="15.6" x14ac:dyDescent="0.3">
      <c r="D2158" s="123"/>
      <c r="E2158" s="123"/>
      <c r="F2158" s="123"/>
      <c r="G2158" s="114"/>
      <c r="H2158" s="115"/>
    </row>
    <row r="2159" spans="4:8" ht="15.6" x14ac:dyDescent="0.3">
      <c r="D2159" s="123"/>
      <c r="E2159" s="123"/>
      <c r="F2159" s="123"/>
      <c r="G2159" s="114"/>
      <c r="H2159" s="115"/>
    </row>
    <row r="2160" spans="4:8" ht="15.6" x14ac:dyDescent="0.3">
      <c r="D2160" s="123"/>
      <c r="E2160" s="123"/>
      <c r="F2160" s="123"/>
      <c r="G2160" s="114"/>
      <c r="H2160" s="115"/>
    </row>
    <row r="2161" spans="4:8" ht="15.6" x14ac:dyDescent="0.3">
      <c r="D2161" s="123"/>
      <c r="E2161" s="123"/>
      <c r="F2161" s="123"/>
      <c r="G2161" s="114"/>
      <c r="H2161" s="115"/>
    </row>
    <row r="2162" spans="4:8" ht="15.6" x14ac:dyDescent="0.3">
      <c r="D2162" s="123"/>
      <c r="E2162" s="123"/>
      <c r="F2162" s="123"/>
      <c r="G2162" s="114"/>
      <c r="H2162" s="115"/>
    </row>
    <row r="2163" spans="4:8" ht="15.6" x14ac:dyDescent="0.3">
      <c r="D2163" s="123"/>
      <c r="E2163" s="123"/>
      <c r="F2163" s="123"/>
      <c r="G2163" s="114"/>
      <c r="H2163" s="115"/>
    </row>
    <row r="2164" spans="4:8" ht="15.6" x14ac:dyDescent="0.3">
      <c r="D2164" s="123"/>
      <c r="E2164" s="123"/>
      <c r="F2164" s="123"/>
      <c r="G2164" s="114"/>
      <c r="H2164" s="115"/>
    </row>
    <row r="2165" spans="4:8" ht="15.6" x14ac:dyDescent="0.3">
      <c r="D2165" s="123"/>
      <c r="E2165" s="123"/>
      <c r="F2165" s="123"/>
      <c r="G2165" s="114"/>
      <c r="H2165" s="115"/>
    </row>
    <row r="2166" spans="4:8" ht="15.6" x14ac:dyDescent="0.3">
      <c r="D2166" s="123"/>
      <c r="E2166" s="123"/>
      <c r="F2166" s="123"/>
      <c r="G2166" s="114"/>
      <c r="H2166" s="115"/>
    </row>
    <row r="2167" spans="4:8" ht="15.6" x14ac:dyDescent="0.3">
      <c r="D2167" s="123"/>
      <c r="E2167" s="123"/>
      <c r="F2167" s="123"/>
      <c r="G2167" s="114"/>
      <c r="H2167" s="115"/>
    </row>
    <row r="2168" spans="4:8" ht="15.6" x14ac:dyDescent="0.3">
      <c r="D2168" s="123"/>
      <c r="E2168" s="123"/>
      <c r="F2168" s="123"/>
      <c r="G2168" s="114"/>
      <c r="H2168" s="115"/>
    </row>
    <row r="2169" spans="4:8" ht="15.6" x14ac:dyDescent="0.3">
      <c r="D2169" s="123"/>
      <c r="E2169" s="123"/>
      <c r="F2169" s="123"/>
      <c r="G2169" s="114"/>
      <c r="H2169" s="115"/>
    </row>
    <row r="2170" spans="4:8" ht="15.6" x14ac:dyDescent="0.3">
      <c r="D2170" s="123"/>
      <c r="E2170" s="123"/>
      <c r="F2170" s="123"/>
      <c r="G2170" s="114"/>
      <c r="H2170" s="115"/>
    </row>
    <row r="2171" spans="4:8" ht="15.6" x14ac:dyDescent="0.3">
      <c r="D2171" s="123"/>
      <c r="E2171" s="123"/>
      <c r="F2171" s="123"/>
      <c r="G2171" s="114"/>
      <c r="H2171" s="115"/>
    </row>
    <row r="2172" spans="4:8" ht="15.6" x14ac:dyDescent="0.3">
      <c r="D2172" s="123"/>
      <c r="E2172" s="123"/>
      <c r="F2172" s="123"/>
      <c r="G2172" s="114"/>
      <c r="H2172" s="115"/>
    </row>
    <row r="2173" spans="4:8" ht="15.6" x14ac:dyDescent="0.3">
      <c r="D2173" s="123"/>
      <c r="E2173" s="123"/>
      <c r="F2173" s="123"/>
      <c r="G2173" s="114"/>
      <c r="H2173" s="115"/>
    </row>
    <row r="2174" spans="4:8" ht="15.6" x14ac:dyDescent="0.3">
      <c r="D2174" s="123"/>
      <c r="E2174" s="123"/>
      <c r="F2174" s="123"/>
      <c r="G2174" s="114"/>
      <c r="H2174" s="115"/>
    </row>
    <row r="2175" spans="4:8" ht="15.6" x14ac:dyDescent="0.3">
      <c r="D2175" s="123"/>
      <c r="E2175" s="123"/>
      <c r="F2175" s="123"/>
      <c r="G2175" s="114"/>
      <c r="H2175" s="115"/>
    </row>
    <row r="2176" spans="4:8" ht="15.6" x14ac:dyDescent="0.3">
      <c r="D2176" s="123"/>
      <c r="E2176" s="123"/>
      <c r="F2176" s="123"/>
      <c r="G2176" s="114"/>
      <c r="H2176" s="115"/>
    </row>
    <row r="2177" spans="4:8" ht="15.6" x14ac:dyDescent="0.3">
      <c r="D2177" s="123"/>
      <c r="E2177" s="123"/>
      <c r="F2177" s="123"/>
      <c r="G2177" s="114"/>
      <c r="H2177" s="115"/>
    </row>
    <row r="2178" spans="4:8" ht="15.6" x14ac:dyDescent="0.3">
      <c r="D2178" s="123"/>
      <c r="E2178" s="123"/>
      <c r="F2178" s="123"/>
      <c r="G2178" s="114"/>
      <c r="H2178" s="115"/>
    </row>
    <row r="2179" spans="4:8" ht="15.6" x14ac:dyDescent="0.3">
      <c r="D2179" s="123"/>
      <c r="E2179" s="123"/>
      <c r="F2179" s="123"/>
      <c r="G2179" s="114"/>
      <c r="H2179" s="115"/>
    </row>
    <row r="2180" spans="4:8" ht="15.6" x14ac:dyDescent="0.3">
      <c r="D2180" s="123"/>
      <c r="E2180" s="123"/>
      <c r="F2180" s="123"/>
      <c r="G2180" s="114"/>
      <c r="H2180" s="115"/>
    </row>
    <row r="2181" spans="4:8" ht="15.6" x14ac:dyDescent="0.3">
      <c r="D2181" s="123"/>
      <c r="E2181" s="123"/>
      <c r="F2181" s="123"/>
      <c r="G2181" s="114"/>
      <c r="H2181" s="115"/>
    </row>
    <row r="2182" spans="4:8" ht="15.6" x14ac:dyDescent="0.3">
      <c r="D2182" s="123"/>
      <c r="E2182" s="123"/>
      <c r="F2182" s="123"/>
      <c r="G2182" s="114"/>
      <c r="H2182" s="115"/>
    </row>
    <row r="2183" spans="4:8" ht="15.6" x14ac:dyDescent="0.3">
      <c r="D2183" s="123"/>
      <c r="E2183" s="123"/>
      <c r="F2183" s="123"/>
      <c r="G2183" s="114"/>
      <c r="H2183" s="115"/>
    </row>
    <row r="2184" spans="4:8" ht="15.6" x14ac:dyDescent="0.3">
      <c r="D2184" s="123"/>
      <c r="E2184" s="123"/>
      <c r="F2184" s="123"/>
      <c r="G2184" s="114"/>
      <c r="H2184" s="115"/>
    </row>
    <row r="2185" spans="4:8" ht="15.6" x14ac:dyDescent="0.3">
      <c r="D2185" s="123"/>
      <c r="E2185" s="123"/>
      <c r="F2185" s="123"/>
      <c r="G2185" s="114"/>
      <c r="H2185" s="115"/>
    </row>
    <row r="2186" spans="4:8" ht="15.6" x14ac:dyDescent="0.3">
      <c r="D2186" s="123"/>
      <c r="E2186" s="123"/>
      <c r="F2186" s="123"/>
      <c r="G2186" s="114"/>
      <c r="H2186" s="115"/>
    </row>
    <row r="2187" spans="4:8" ht="15.6" x14ac:dyDescent="0.3">
      <c r="D2187" s="123"/>
      <c r="E2187" s="123"/>
      <c r="F2187" s="123"/>
      <c r="G2187" s="114"/>
      <c r="H2187" s="115"/>
    </row>
    <row r="2188" spans="4:8" ht="15.6" x14ac:dyDescent="0.3">
      <c r="D2188" s="123"/>
      <c r="E2188" s="123"/>
      <c r="F2188" s="123"/>
      <c r="G2188" s="114"/>
      <c r="H2188" s="115"/>
    </row>
    <row r="2189" spans="4:8" ht="15.6" x14ac:dyDescent="0.3">
      <c r="D2189" s="123"/>
      <c r="E2189" s="123"/>
      <c r="F2189" s="123"/>
      <c r="G2189" s="114"/>
      <c r="H2189" s="115"/>
    </row>
    <row r="2190" spans="4:8" ht="15.6" x14ac:dyDescent="0.3">
      <c r="D2190" s="123"/>
      <c r="E2190" s="123"/>
      <c r="F2190" s="123"/>
      <c r="G2190" s="114"/>
      <c r="H2190" s="115"/>
    </row>
    <row r="2191" spans="4:8" ht="15.6" x14ac:dyDescent="0.3">
      <c r="D2191" s="123"/>
      <c r="E2191" s="123"/>
      <c r="F2191" s="123"/>
      <c r="G2191" s="114"/>
      <c r="H2191" s="115"/>
    </row>
    <row r="2192" spans="4:8" ht="15.6" x14ac:dyDescent="0.3">
      <c r="D2192" s="123"/>
      <c r="E2192" s="123"/>
      <c r="F2192" s="123"/>
      <c r="G2192" s="114"/>
      <c r="H2192" s="115"/>
    </row>
    <row r="2193" spans="4:8" ht="15.6" x14ac:dyDescent="0.3">
      <c r="D2193" s="123"/>
      <c r="E2193" s="123"/>
      <c r="F2193" s="123"/>
      <c r="G2193" s="114"/>
      <c r="H2193" s="115"/>
    </row>
    <row r="2194" spans="4:8" ht="15.6" x14ac:dyDescent="0.3">
      <c r="D2194" s="123"/>
      <c r="E2194" s="123"/>
      <c r="F2194" s="123"/>
      <c r="G2194" s="114"/>
      <c r="H2194" s="115"/>
    </row>
    <row r="2195" spans="4:8" ht="15.6" x14ac:dyDescent="0.3">
      <c r="D2195" s="123"/>
      <c r="E2195" s="123"/>
      <c r="F2195" s="123"/>
      <c r="G2195" s="114"/>
      <c r="H2195" s="115"/>
    </row>
    <row r="2196" spans="4:8" ht="15.6" x14ac:dyDescent="0.3">
      <c r="D2196" s="123"/>
      <c r="E2196" s="123"/>
      <c r="F2196" s="123"/>
      <c r="G2196" s="114"/>
      <c r="H2196" s="115"/>
    </row>
    <row r="2197" spans="4:8" ht="15.6" x14ac:dyDescent="0.3">
      <c r="D2197" s="123"/>
      <c r="E2197" s="123"/>
      <c r="F2197" s="123"/>
      <c r="G2197" s="114"/>
      <c r="H2197" s="115"/>
    </row>
    <row r="2198" spans="4:8" ht="15.6" x14ac:dyDescent="0.3">
      <c r="D2198" s="123"/>
      <c r="E2198" s="123"/>
      <c r="F2198" s="123"/>
      <c r="G2198" s="114"/>
      <c r="H2198" s="115"/>
    </row>
    <row r="2199" spans="4:8" ht="15.6" x14ac:dyDescent="0.3">
      <c r="D2199" s="123"/>
      <c r="E2199" s="123"/>
      <c r="F2199" s="123"/>
      <c r="G2199" s="114"/>
      <c r="H2199" s="115"/>
    </row>
    <row r="2200" spans="4:8" ht="15.6" x14ac:dyDescent="0.3">
      <c r="D2200" s="123"/>
      <c r="E2200" s="123"/>
      <c r="F2200" s="123"/>
      <c r="G2200" s="114"/>
      <c r="H2200" s="115"/>
    </row>
    <row r="2201" spans="4:8" ht="15.6" x14ac:dyDescent="0.3">
      <c r="D2201" s="123"/>
      <c r="E2201" s="123"/>
      <c r="F2201" s="123"/>
      <c r="G2201" s="114"/>
      <c r="H2201" s="115"/>
    </row>
    <row r="2202" spans="4:8" ht="15.6" x14ac:dyDescent="0.3">
      <c r="D2202" s="123"/>
      <c r="E2202" s="123"/>
      <c r="F2202" s="123"/>
      <c r="G2202" s="114"/>
      <c r="H2202" s="115"/>
    </row>
    <row r="2203" spans="4:8" ht="15.6" x14ac:dyDescent="0.3">
      <c r="D2203" s="123"/>
      <c r="E2203" s="123"/>
      <c r="F2203" s="123"/>
      <c r="G2203" s="114"/>
      <c r="H2203" s="115"/>
    </row>
    <row r="2204" spans="4:8" ht="15.6" x14ac:dyDescent="0.3">
      <c r="D2204" s="123"/>
      <c r="E2204" s="123"/>
      <c r="F2204" s="123"/>
      <c r="G2204" s="114"/>
      <c r="H2204" s="115"/>
    </row>
    <row r="2205" spans="4:8" ht="15.6" x14ac:dyDescent="0.3">
      <c r="D2205" s="123"/>
      <c r="E2205" s="123"/>
      <c r="F2205" s="123"/>
      <c r="G2205" s="114"/>
      <c r="H2205" s="115"/>
    </row>
    <row r="2206" spans="4:8" ht="15.6" x14ac:dyDescent="0.3">
      <c r="D2206" s="123"/>
      <c r="E2206" s="123"/>
      <c r="F2206" s="123"/>
      <c r="G2206" s="114"/>
      <c r="H2206" s="115"/>
    </row>
    <row r="2207" spans="4:8" ht="15.6" x14ac:dyDescent="0.3">
      <c r="D2207" s="123"/>
      <c r="E2207" s="123"/>
      <c r="F2207" s="123"/>
      <c r="G2207" s="114"/>
      <c r="H2207" s="115"/>
    </row>
    <row r="2208" spans="4:8" ht="15.6" x14ac:dyDescent="0.3">
      <c r="D2208" s="123"/>
      <c r="E2208" s="123"/>
      <c r="F2208" s="123"/>
      <c r="G2208" s="114"/>
      <c r="H2208" s="115"/>
    </row>
    <row r="2209" spans="4:8" ht="15.6" x14ac:dyDescent="0.3">
      <c r="D2209" s="123"/>
      <c r="E2209" s="123"/>
      <c r="F2209" s="123"/>
      <c r="G2209" s="114"/>
      <c r="H2209" s="115"/>
    </row>
    <row r="2210" spans="4:8" ht="15.6" x14ac:dyDescent="0.3">
      <c r="D2210" s="123"/>
      <c r="E2210" s="123"/>
      <c r="F2210" s="123"/>
      <c r="G2210" s="114"/>
      <c r="H2210" s="115"/>
    </row>
    <row r="2211" spans="4:8" ht="15.6" x14ac:dyDescent="0.3">
      <c r="D2211" s="123"/>
      <c r="E2211" s="123"/>
      <c r="F2211" s="123"/>
      <c r="G2211" s="114"/>
      <c r="H2211" s="115"/>
    </row>
    <row r="2212" spans="4:8" ht="15.6" x14ac:dyDescent="0.3">
      <c r="D2212" s="123"/>
      <c r="E2212" s="123"/>
      <c r="F2212" s="123"/>
      <c r="G2212" s="114"/>
      <c r="H2212" s="115"/>
    </row>
    <row r="2213" spans="4:8" ht="15.6" x14ac:dyDescent="0.3">
      <c r="D2213" s="123"/>
      <c r="E2213" s="123"/>
      <c r="F2213" s="123"/>
      <c r="G2213" s="114"/>
      <c r="H2213" s="115"/>
    </row>
    <row r="2214" spans="4:8" ht="15.6" x14ac:dyDescent="0.3">
      <c r="D2214" s="123"/>
      <c r="E2214" s="123"/>
      <c r="F2214" s="123"/>
      <c r="G2214" s="114"/>
      <c r="H2214" s="115"/>
    </row>
    <row r="2215" spans="4:8" ht="15.6" x14ac:dyDescent="0.3">
      <c r="D2215" s="123"/>
      <c r="E2215" s="123"/>
      <c r="F2215" s="123"/>
      <c r="G2215" s="114"/>
      <c r="H2215" s="115"/>
    </row>
    <row r="2216" spans="4:8" ht="15.6" x14ac:dyDescent="0.3">
      <c r="D2216" s="123"/>
      <c r="E2216" s="123"/>
      <c r="F2216" s="123"/>
      <c r="G2216" s="114"/>
      <c r="H2216" s="115"/>
    </row>
    <row r="2217" spans="4:8" ht="15.6" x14ac:dyDescent="0.3">
      <c r="D2217" s="123"/>
      <c r="E2217" s="123"/>
      <c r="F2217" s="123"/>
      <c r="G2217" s="114"/>
      <c r="H2217" s="115"/>
    </row>
    <row r="2218" spans="4:8" ht="15.6" x14ac:dyDescent="0.3">
      <c r="D2218" s="123"/>
      <c r="E2218" s="123"/>
      <c r="F2218" s="123"/>
      <c r="G2218" s="114"/>
      <c r="H2218" s="115"/>
    </row>
    <row r="2219" spans="4:8" ht="15.6" x14ac:dyDescent="0.3">
      <c r="D2219" s="123"/>
      <c r="E2219" s="123"/>
      <c r="F2219" s="123"/>
      <c r="G2219" s="114"/>
      <c r="H2219" s="115"/>
    </row>
    <row r="2220" spans="4:8" ht="15.6" x14ac:dyDescent="0.3">
      <c r="D2220" s="123"/>
      <c r="E2220" s="123"/>
      <c r="F2220" s="123"/>
      <c r="G2220" s="114"/>
      <c r="H2220" s="115"/>
    </row>
    <row r="2221" spans="4:8" ht="15.6" x14ac:dyDescent="0.3">
      <c r="D2221" s="123"/>
      <c r="E2221" s="123"/>
      <c r="F2221" s="123"/>
      <c r="G2221" s="114"/>
      <c r="H2221" s="115"/>
    </row>
    <row r="2222" spans="4:8" ht="15.6" x14ac:dyDescent="0.3">
      <c r="D2222" s="123"/>
      <c r="E2222" s="123"/>
      <c r="F2222" s="123"/>
      <c r="G2222" s="114"/>
      <c r="H2222" s="115"/>
    </row>
    <row r="2223" spans="4:8" ht="15.6" x14ac:dyDescent="0.3">
      <c r="D2223" s="123"/>
      <c r="E2223" s="123"/>
      <c r="F2223" s="123"/>
      <c r="G2223" s="114"/>
      <c r="H2223" s="115"/>
    </row>
    <row r="2224" spans="4:8" ht="15.6" x14ac:dyDescent="0.3">
      <c r="D2224" s="123"/>
      <c r="E2224" s="123"/>
      <c r="F2224" s="123"/>
      <c r="G2224" s="114"/>
      <c r="H2224" s="115"/>
    </row>
    <row r="2225" spans="4:8" ht="15.6" x14ac:dyDescent="0.3">
      <c r="D2225" s="123"/>
      <c r="E2225" s="123"/>
      <c r="F2225" s="123"/>
      <c r="G2225" s="114"/>
      <c r="H2225" s="115"/>
    </row>
    <row r="2226" spans="4:8" ht="15.6" x14ac:dyDescent="0.3">
      <c r="D2226" s="123"/>
      <c r="E2226" s="123"/>
      <c r="F2226" s="123"/>
      <c r="G2226" s="114"/>
      <c r="H2226" s="115"/>
    </row>
    <row r="2227" spans="4:8" ht="15.6" x14ac:dyDescent="0.3">
      <c r="D2227" s="123"/>
      <c r="E2227" s="123"/>
      <c r="F2227" s="123"/>
      <c r="G2227" s="114"/>
      <c r="H2227" s="115"/>
    </row>
    <row r="2228" spans="4:8" ht="15.6" x14ac:dyDescent="0.3">
      <c r="D2228" s="123"/>
      <c r="E2228" s="123"/>
      <c r="F2228" s="123"/>
      <c r="G2228" s="114"/>
      <c r="H2228" s="115"/>
    </row>
    <row r="2229" spans="4:8" ht="15.6" x14ac:dyDescent="0.3">
      <c r="D2229" s="123"/>
      <c r="E2229" s="123"/>
      <c r="F2229" s="123"/>
      <c r="G2229" s="114"/>
      <c r="H2229" s="115"/>
    </row>
    <row r="2230" spans="4:8" ht="15.6" x14ac:dyDescent="0.3">
      <c r="D2230" s="123"/>
      <c r="E2230" s="123"/>
      <c r="F2230" s="123"/>
      <c r="G2230" s="114"/>
      <c r="H2230" s="115"/>
    </row>
    <row r="2231" spans="4:8" ht="15.6" x14ac:dyDescent="0.3">
      <c r="D2231" s="123"/>
      <c r="E2231" s="123"/>
      <c r="F2231" s="123"/>
      <c r="G2231" s="114"/>
      <c r="H2231" s="115"/>
    </row>
    <row r="2232" spans="4:8" ht="15.6" x14ac:dyDescent="0.3">
      <c r="D2232" s="123"/>
      <c r="E2232" s="123"/>
      <c r="F2232" s="123"/>
      <c r="G2232" s="114"/>
      <c r="H2232" s="115"/>
    </row>
    <row r="2233" spans="4:8" ht="15.6" x14ac:dyDescent="0.3">
      <c r="D2233" s="123"/>
      <c r="E2233" s="123"/>
      <c r="F2233" s="123"/>
      <c r="G2233" s="114"/>
      <c r="H2233" s="115"/>
    </row>
    <row r="2234" spans="4:8" ht="15.6" x14ac:dyDescent="0.3">
      <c r="D2234" s="123"/>
      <c r="E2234" s="123"/>
      <c r="F2234" s="123"/>
      <c r="G2234" s="114"/>
      <c r="H2234" s="115"/>
    </row>
    <row r="2235" spans="4:8" ht="15.6" x14ac:dyDescent="0.3">
      <c r="D2235" s="123"/>
      <c r="E2235" s="123"/>
      <c r="F2235" s="123"/>
      <c r="G2235" s="114"/>
      <c r="H2235" s="115"/>
    </row>
    <row r="2236" spans="4:8" ht="15.6" x14ac:dyDescent="0.3">
      <c r="D2236" s="123"/>
      <c r="E2236" s="123"/>
      <c r="F2236" s="123"/>
      <c r="G2236" s="114"/>
      <c r="H2236" s="115"/>
    </row>
    <row r="2237" spans="4:8" ht="15.6" x14ac:dyDescent="0.3">
      <c r="D2237" s="123"/>
      <c r="E2237" s="123"/>
      <c r="F2237" s="123"/>
      <c r="G2237" s="114"/>
      <c r="H2237" s="115"/>
    </row>
    <row r="2238" spans="4:8" ht="15.6" x14ac:dyDescent="0.3">
      <c r="D2238" s="123"/>
      <c r="E2238" s="123"/>
      <c r="F2238" s="123"/>
      <c r="G2238" s="114"/>
      <c r="H2238" s="115"/>
    </row>
    <row r="2239" spans="4:8" ht="15.6" x14ac:dyDescent="0.3">
      <c r="D2239" s="123"/>
      <c r="E2239" s="123"/>
      <c r="F2239" s="123"/>
      <c r="G2239" s="114"/>
      <c r="H2239" s="115"/>
    </row>
    <row r="2240" spans="4:8" ht="15.6" x14ac:dyDescent="0.3">
      <c r="D2240" s="123"/>
      <c r="E2240" s="123"/>
      <c r="F2240" s="123"/>
      <c r="G2240" s="114"/>
      <c r="H2240" s="115"/>
    </row>
    <row r="2241" spans="4:8" ht="15.6" x14ac:dyDescent="0.3">
      <c r="D2241" s="123"/>
      <c r="E2241" s="123"/>
      <c r="F2241" s="123"/>
      <c r="G2241" s="114"/>
      <c r="H2241" s="115"/>
    </row>
    <row r="2242" spans="4:8" ht="15.6" x14ac:dyDescent="0.3">
      <c r="D2242" s="123"/>
      <c r="E2242" s="123"/>
      <c r="F2242" s="123"/>
      <c r="G2242" s="114"/>
      <c r="H2242" s="115"/>
    </row>
    <row r="2243" spans="4:8" ht="15.6" x14ac:dyDescent="0.3">
      <c r="D2243" s="123"/>
      <c r="E2243" s="123"/>
      <c r="F2243" s="123"/>
      <c r="G2243" s="114"/>
      <c r="H2243" s="115"/>
    </row>
    <row r="2244" spans="4:8" ht="15.6" x14ac:dyDescent="0.3">
      <c r="D2244" s="123"/>
      <c r="E2244" s="123"/>
      <c r="F2244" s="123"/>
      <c r="G2244" s="114"/>
      <c r="H2244" s="115"/>
    </row>
    <row r="2245" spans="4:8" ht="15.6" x14ac:dyDescent="0.3">
      <c r="D2245" s="123"/>
      <c r="E2245" s="123"/>
      <c r="F2245" s="123"/>
      <c r="G2245" s="114"/>
      <c r="H2245" s="115"/>
    </row>
    <row r="2246" spans="4:8" ht="15.6" x14ac:dyDescent="0.3">
      <c r="D2246" s="123"/>
      <c r="E2246" s="123"/>
      <c r="F2246" s="123"/>
      <c r="G2246" s="114"/>
      <c r="H2246" s="115"/>
    </row>
    <row r="2247" spans="4:8" ht="15.6" x14ac:dyDescent="0.3">
      <c r="D2247" s="123"/>
      <c r="E2247" s="123"/>
      <c r="F2247" s="123"/>
      <c r="G2247" s="114"/>
      <c r="H2247" s="115"/>
    </row>
    <row r="2248" spans="4:8" ht="15.6" x14ac:dyDescent="0.3">
      <c r="D2248" s="123"/>
      <c r="E2248" s="123"/>
      <c r="F2248" s="123"/>
      <c r="G2248" s="114"/>
      <c r="H2248" s="115"/>
    </row>
    <row r="2249" spans="4:8" ht="15.6" x14ac:dyDescent="0.3">
      <c r="D2249" s="123"/>
      <c r="E2249" s="123"/>
      <c r="F2249" s="123"/>
      <c r="G2249" s="114"/>
      <c r="H2249" s="115"/>
    </row>
    <row r="2250" spans="4:8" ht="15.6" x14ac:dyDescent="0.3">
      <c r="D2250" s="123"/>
      <c r="E2250" s="123"/>
      <c r="F2250" s="123"/>
      <c r="G2250" s="114"/>
      <c r="H2250" s="115"/>
    </row>
    <row r="2251" spans="4:8" ht="15.6" x14ac:dyDescent="0.3">
      <c r="D2251" s="123"/>
      <c r="E2251" s="123"/>
      <c r="F2251" s="123"/>
      <c r="G2251" s="114"/>
      <c r="H2251" s="115"/>
    </row>
    <row r="2252" spans="4:8" ht="15.6" x14ac:dyDescent="0.3">
      <c r="D2252" s="123"/>
      <c r="E2252" s="123"/>
      <c r="F2252" s="123"/>
      <c r="G2252" s="114"/>
      <c r="H2252" s="115"/>
    </row>
    <row r="2253" spans="4:8" ht="15.6" x14ac:dyDescent="0.3">
      <c r="D2253" s="123"/>
      <c r="E2253" s="123"/>
      <c r="F2253" s="123"/>
      <c r="G2253" s="114"/>
      <c r="H2253" s="115"/>
    </row>
    <row r="2254" spans="4:8" ht="15.6" x14ac:dyDescent="0.3">
      <c r="D2254" s="123"/>
      <c r="E2254" s="123"/>
      <c r="F2254" s="123"/>
      <c r="G2254" s="114"/>
      <c r="H2254" s="115"/>
    </row>
    <row r="2255" spans="4:8" ht="15.6" x14ac:dyDescent="0.3">
      <c r="D2255" s="123"/>
      <c r="E2255" s="123"/>
      <c r="F2255" s="123"/>
      <c r="G2255" s="114"/>
      <c r="H2255" s="115"/>
    </row>
    <row r="2256" spans="4:8" ht="15.6" x14ac:dyDescent="0.3">
      <c r="D2256" s="123"/>
      <c r="E2256" s="123"/>
      <c r="F2256" s="123"/>
      <c r="G2256" s="114"/>
      <c r="H2256" s="115"/>
    </row>
    <row r="2257" spans="4:8" ht="15.6" x14ac:dyDescent="0.3">
      <c r="D2257" s="123"/>
      <c r="E2257" s="123"/>
      <c r="F2257" s="123"/>
      <c r="G2257" s="114"/>
      <c r="H2257" s="115"/>
    </row>
    <row r="2258" spans="4:8" ht="15.6" x14ac:dyDescent="0.3">
      <c r="D2258" s="123"/>
      <c r="E2258" s="123"/>
      <c r="F2258" s="123"/>
      <c r="G2258" s="114"/>
      <c r="H2258" s="115"/>
    </row>
    <row r="2259" spans="4:8" ht="15.6" x14ac:dyDescent="0.3">
      <c r="D2259" s="123"/>
      <c r="E2259" s="123"/>
      <c r="F2259" s="123"/>
      <c r="G2259" s="114"/>
      <c r="H2259" s="115"/>
    </row>
    <row r="2260" spans="4:8" ht="15.6" x14ac:dyDescent="0.3">
      <c r="D2260" s="123"/>
      <c r="E2260" s="123"/>
      <c r="F2260" s="123"/>
      <c r="G2260" s="114"/>
      <c r="H2260" s="115"/>
    </row>
    <row r="2261" spans="4:8" ht="15.6" x14ac:dyDescent="0.3">
      <c r="D2261" s="123"/>
      <c r="E2261" s="123"/>
      <c r="F2261" s="123"/>
      <c r="G2261" s="114"/>
      <c r="H2261" s="115"/>
    </row>
    <row r="2262" spans="4:8" ht="15.6" x14ac:dyDescent="0.3">
      <c r="D2262" s="123"/>
      <c r="E2262" s="123"/>
      <c r="F2262" s="123"/>
      <c r="G2262" s="114"/>
      <c r="H2262" s="115"/>
    </row>
    <row r="2263" spans="4:8" ht="15.6" x14ac:dyDescent="0.3">
      <c r="D2263" s="123"/>
      <c r="E2263" s="123"/>
      <c r="F2263" s="123"/>
      <c r="G2263" s="114"/>
      <c r="H2263" s="115"/>
    </row>
    <row r="2264" spans="4:8" ht="15.6" x14ac:dyDescent="0.3">
      <c r="D2264" s="123"/>
      <c r="E2264" s="123"/>
      <c r="F2264" s="123"/>
      <c r="G2264" s="114"/>
      <c r="H2264" s="115"/>
    </row>
    <row r="2265" spans="4:8" ht="15.6" x14ac:dyDescent="0.3">
      <c r="D2265" s="123"/>
      <c r="E2265" s="123"/>
      <c r="F2265" s="123"/>
      <c r="G2265" s="114"/>
      <c r="H2265" s="115"/>
    </row>
    <row r="2266" spans="4:8" ht="15.6" x14ac:dyDescent="0.3">
      <c r="D2266" s="123"/>
      <c r="E2266" s="123"/>
      <c r="F2266" s="123"/>
      <c r="G2266" s="114"/>
      <c r="H2266" s="115"/>
    </row>
    <row r="2267" spans="4:8" ht="15.6" x14ac:dyDescent="0.3">
      <c r="D2267" s="123"/>
      <c r="E2267" s="123"/>
      <c r="F2267" s="123"/>
      <c r="G2267" s="114"/>
      <c r="H2267" s="115"/>
    </row>
    <row r="2268" spans="4:8" ht="15.6" x14ac:dyDescent="0.3">
      <c r="D2268" s="123"/>
      <c r="E2268" s="123"/>
      <c r="F2268" s="123"/>
      <c r="G2268" s="114"/>
      <c r="H2268" s="115"/>
    </row>
    <row r="2269" spans="4:8" ht="15.6" x14ac:dyDescent="0.3">
      <c r="D2269" s="123"/>
      <c r="E2269" s="123"/>
      <c r="F2269" s="123"/>
      <c r="G2269" s="114"/>
      <c r="H2269" s="115"/>
    </row>
    <row r="2270" spans="4:8" ht="15.6" x14ac:dyDescent="0.3">
      <c r="D2270" s="123"/>
      <c r="E2270" s="123"/>
      <c r="F2270" s="123"/>
      <c r="G2270" s="114"/>
      <c r="H2270" s="115"/>
    </row>
    <row r="2271" spans="4:8" ht="15.6" x14ac:dyDescent="0.3">
      <c r="D2271" s="123"/>
      <c r="E2271" s="123"/>
      <c r="F2271" s="123"/>
      <c r="G2271" s="114"/>
      <c r="H2271" s="115"/>
    </row>
    <row r="2272" spans="4:8" ht="15.6" x14ac:dyDescent="0.3">
      <c r="D2272" s="123"/>
      <c r="E2272" s="123"/>
      <c r="F2272" s="123"/>
      <c r="G2272" s="114"/>
      <c r="H2272" s="115"/>
    </row>
    <row r="2273" spans="4:8" ht="15.6" x14ac:dyDescent="0.3">
      <c r="D2273" s="123"/>
      <c r="E2273" s="123"/>
      <c r="F2273" s="123"/>
      <c r="G2273" s="114"/>
      <c r="H2273" s="115"/>
    </row>
    <row r="2274" spans="4:8" ht="15.6" x14ac:dyDescent="0.3">
      <c r="D2274" s="123"/>
      <c r="E2274" s="123"/>
      <c r="F2274" s="123"/>
      <c r="G2274" s="114"/>
      <c r="H2274" s="115"/>
    </row>
    <row r="2275" spans="4:8" ht="15.6" x14ac:dyDescent="0.3">
      <c r="D2275" s="123"/>
      <c r="E2275" s="123"/>
      <c r="F2275" s="123"/>
      <c r="G2275" s="114"/>
      <c r="H2275" s="115"/>
    </row>
    <row r="2276" spans="4:8" ht="15.6" x14ac:dyDescent="0.3">
      <c r="D2276" s="123"/>
      <c r="E2276" s="123"/>
      <c r="F2276" s="123"/>
      <c r="G2276" s="114"/>
      <c r="H2276" s="115"/>
    </row>
    <row r="2277" spans="4:8" ht="15.6" x14ac:dyDescent="0.3">
      <c r="D2277" s="123"/>
      <c r="E2277" s="123"/>
      <c r="F2277" s="123"/>
      <c r="G2277" s="114"/>
      <c r="H2277" s="115"/>
    </row>
    <row r="2278" spans="4:8" ht="15.6" x14ac:dyDescent="0.3">
      <c r="D2278" s="123"/>
      <c r="E2278" s="123"/>
      <c r="F2278" s="123"/>
      <c r="G2278" s="114"/>
      <c r="H2278" s="115"/>
    </row>
    <row r="2279" spans="4:8" ht="15.6" x14ac:dyDescent="0.3">
      <c r="D2279" s="123"/>
      <c r="E2279" s="123"/>
      <c r="F2279" s="123"/>
      <c r="G2279" s="114"/>
      <c r="H2279" s="115"/>
    </row>
    <row r="2280" spans="4:8" ht="15.6" x14ac:dyDescent="0.3">
      <c r="D2280" s="123"/>
      <c r="E2280" s="123"/>
      <c r="F2280" s="123"/>
      <c r="G2280" s="114"/>
      <c r="H2280" s="115"/>
    </row>
    <row r="2281" spans="4:8" ht="15.6" x14ac:dyDescent="0.3">
      <c r="D2281" s="123"/>
      <c r="E2281" s="123"/>
      <c r="F2281" s="123"/>
      <c r="G2281" s="114"/>
      <c r="H2281" s="115"/>
    </row>
    <row r="2282" spans="4:8" ht="15.6" x14ac:dyDescent="0.3">
      <c r="D2282" s="123"/>
      <c r="E2282" s="123"/>
      <c r="F2282" s="123"/>
      <c r="G2282" s="114"/>
      <c r="H2282" s="115"/>
    </row>
    <row r="2283" spans="4:8" ht="15.6" x14ac:dyDescent="0.3">
      <c r="D2283" s="123"/>
      <c r="E2283" s="123"/>
      <c r="F2283" s="123"/>
      <c r="G2283" s="114"/>
      <c r="H2283" s="115"/>
    </row>
    <row r="2284" spans="4:8" ht="15.6" x14ac:dyDescent="0.3">
      <c r="D2284" s="123"/>
      <c r="E2284" s="123"/>
      <c r="F2284" s="123"/>
      <c r="G2284" s="114"/>
      <c r="H2284" s="115"/>
    </row>
    <row r="2285" spans="4:8" ht="15.6" x14ac:dyDescent="0.3">
      <c r="D2285" s="123"/>
      <c r="E2285" s="123"/>
      <c r="F2285" s="123"/>
      <c r="G2285" s="114"/>
      <c r="H2285" s="115"/>
    </row>
    <row r="2286" spans="4:8" ht="15.6" x14ac:dyDescent="0.3">
      <c r="D2286" s="123"/>
      <c r="E2286" s="123"/>
      <c r="F2286" s="123"/>
      <c r="G2286" s="114"/>
      <c r="H2286" s="115"/>
    </row>
    <row r="2287" spans="4:8" ht="15.6" x14ac:dyDescent="0.3">
      <c r="D2287" s="123"/>
      <c r="E2287" s="123"/>
      <c r="F2287" s="123"/>
      <c r="G2287" s="114"/>
      <c r="H2287" s="115"/>
    </row>
    <row r="2288" spans="4:8" ht="15.6" x14ac:dyDescent="0.3">
      <c r="D2288" s="123"/>
      <c r="E2288" s="123"/>
      <c r="F2288" s="123"/>
      <c r="G2288" s="114"/>
      <c r="H2288" s="115"/>
    </row>
    <row r="2289" spans="4:8" ht="15.6" x14ac:dyDescent="0.3">
      <c r="D2289" s="123"/>
      <c r="E2289" s="123"/>
      <c r="F2289" s="123"/>
      <c r="G2289" s="114"/>
      <c r="H2289" s="115"/>
    </row>
    <row r="2290" spans="4:8" ht="15.6" x14ac:dyDescent="0.3">
      <c r="D2290" s="123"/>
      <c r="E2290" s="123"/>
      <c r="F2290" s="123"/>
      <c r="G2290" s="114"/>
      <c r="H2290" s="115"/>
    </row>
    <row r="2291" spans="4:8" ht="15.6" x14ac:dyDescent="0.3">
      <c r="D2291" s="123"/>
      <c r="E2291" s="123"/>
      <c r="F2291" s="123"/>
      <c r="G2291" s="114"/>
      <c r="H2291" s="115"/>
    </row>
    <row r="2292" spans="4:8" ht="15.6" x14ac:dyDescent="0.3">
      <c r="D2292" s="123"/>
      <c r="E2292" s="123"/>
      <c r="F2292" s="123"/>
      <c r="G2292" s="114"/>
      <c r="H2292" s="115"/>
    </row>
    <row r="2293" spans="4:8" ht="15.6" x14ac:dyDescent="0.3">
      <c r="D2293" s="123"/>
      <c r="E2293" s="123"/>
      <c r="F2293" s="123"/>
      <c r="G2293" s="114"/>
      <c r="H2293" s="115"/>
    </row>
    <row r="2294" spans="4:8" ht="15.6" x14ac:dyDescent="0.3">
      <c r="D2294" s="123"/>
      <c r="E2294" s="123"/>
      <c r="F2294" s="123"/>
      <c r="G2294" s="114"/>
      <c r="H2294" s="115"/>
    </row>
    <row r="2295" spans="4:8" ht="15.6" x14ac:dyDescent="0.3">
      <c r="D2295" s="123"/>
      <c r="E2295" s="123"/>
      <c r="F2295" s="123"/>
      <c r="G2295" s="114"/>
      <c r="H2295" s="115"/>
    </row>
    <row r="2296" spans="4:8" ht="15.6" x14ac:dyDescent="0.3">
      <c r="D2296" s="123"/>
      <c r="E2296" s="123"/>
      <c r="F2296" s="123"/>
      <c r="G2296" s="114"/>
      <c r="H2296" s="115"/>
    </row>
    <row r="2297" spans="4:8" ht="15.6" x14ac:dyDescent="0.3">
      <c r="D2297" s="123"/>
      <c r="E2297" s="123"/>
      <c r="F2297" s="123"/>
      <c r="G2297" s="114"/>
      <c r="H2297" s="115"/>
    </row>
    <row r="2298" spans="4:8" ht="15.6" x14ac:dyDescent="0.3">
      <c r="D2298" s="123"/>
      <c r="E2298" s="123"/>
      <c r="F2298" s="123"/>
      <c r="G2298" s="114"/>
      <c r="H2298" s="115"/>
    </row>
    <row r="2299" spans="4:8" ht="15.6" x14ac:dyDescent="0.3">
      <c r="D2299" s="123"/>
      <c r="E2299" s="123"/>
      <c r="F2299" s="123"/>
      <c r="G2299" s="114"/>
      <c r="H2299" s="115"/>
    </row>
    <row r="2300" spans="4:8" ht="15.6" x14ac:dyDescent="0.3">
      <c r="D2300" s="123"/>
      <c r="E2300" s="123"/>
      <c r="F2300" s="123"/>
      <c r="G2300" s="114"/>
      <c r="H2300" s="115"/>
    </row>
    <row r="2301" spans="4:8" ht="15.6" x14ac:dyDescent="0.3">
      <c r="D2301" s="123"/>
      <c r="E2301" s="123"/>
      <c r="F2301" s="123"/>
      <c r="G2301" s="114"/>
      <c r="H2301" s="115"/>
    </row>
    <row r="2302" spans="4:8" ht="15.6" x14ac:dyDescent="0.3">
      <c r="D2302" s="123"/>
      <c r="E2302" s="123"/>
      <c r="F2302" s="123"/>
      <c r="G2302" s="114"/>
      <c r="H2302" s="115"/>
    </row>
    <row r="2303" spans="4:8" ht="15.6" x14ac:dyDescent="0.3">
      <c r="D2303" s="123"/>
      <c r="E2303" s="123"/>
      <c r="F2303" s="123"/>
      <c r="G2303" s="114"/>
      <c r="H2303" s="115"/>
    </row>
    <row r="2304" spans="4:8" ht="15.6" x14ac:dyDescent="0.3">
      <c r="D2304" s="123"/>
      <c r="E2304" s="123"/>
      <c r="F2304" s="123"/>
      <c r="G2304" s="114"/>
      <c r="H2304" s="115"/>
    </row>
    <row r="2305" spans="4:8" ht="15.6" x14ac:dyDescent="0.3">
      <c r="D2305" s="123"/>
      <c r="E2305" s="123"/>
      <c r="F2305" s="123"/>
      <c r="G2305" s="114"/>
      <c r="H2305" s="115"/>
    </row>
    <row r="2306" spans="4:8" ht="15.6" x14ac:dyDescent="0.3">
      <c r="D2306" s="123"/>
      <c r="E2306" s="123"/>
      <c r="F2306" s="123"/>
      <c r="G2306" s="114"/>
      <c r="H2306" s="115"/>
    </row>
    <row r="2307" spans="4:8" ht="15.6" x14ac:dyDescent="0.3">
      <c r="D2307" s="123"/>
      <c r="E2307" s="123"/>
      <c r="F2307" s="123"/>
      <c r="G2307" s="114"/>
      <c r="H2307" s="115"/>
    </row>
    <row r="2308" spans="4:8" ht="15.6" x14ac:dyDescent="0.3">
      <c r="D2308" s="123"/>
      <c r="E2308" s="123"/>
      <c r="F2308" s="123"/>
      <c r="G2308" s="114"/>
      <c r="H2308" s="115"/>
    </row>
    <row r="2309" spans="4:8" ht="15.6" x14ac:dyDescent="0.3">
      <c r="D2309" s="123"/>
      <c r="E2309" s="123"/>
      <c r="F2309" s="123"/>
      <c r="G2309" s="114"/>
      <c r="H2309" s="115"/>
    </row>
    <row r="2310" spans="4:8" ht="15.6" x14ac:dyDescent="0.3">
      <c r="D2310" s="123"/>
      <c r="E2310" s="123"/>
      <c r="F2310" s="123"/>
      <c r="G2310" s="114"/>
      <c r="H2310" s="115"/>
    </row>
    <row r="2311" spans="4:8" ht="15.6" x14ac:dyDescent="0.3">
      <c r="D2311" s="123"/>
      <c r="E2311" s="123"/>
      <c r="F2311" s="123"/>
      <c r="G2311" s="114"/>
      <c r="H2311" s="115"/>
    </row>
    <row r="2312" spans="4:8" ht="15.6" x14ac:dyDescent="0.3">
      <c r="D2312" s="123"/>
      <c r="E2312" s="123"/>
      <c r="F2312" s="123"/>
      <c r="G2312" s="114"/>
      <c r="H2312" s="115"/>
    </row>
    <row r="2313" spans="4:8" ht="15.6" x14ac:dyDescent="0.3">
      <c r="D2313" s="123"/>
      <c r="E2313" s="123"/>
      <c r="F2313" s="123"/>
      <c r="G2313" s="114"/>
      <c r="H2313" s="115"/>
    </row>
    <row r="2314" spans="4:8" ht="15.6" x14ac:dyDescent="0.3">
      <c r="D2314" s="123"/>
      <c r="E2314" s="123"/>
      <c r="F2314" s="123"/>
      <c r="G2314" s="114"/>
      <c r="H2314" s="115"/>
    </row>
    <row r="2315" spans="4:8" ht="15.6" x14ac:dyDescent="0.3">
      <c r="D2315" s="123"/>
      <c r="E2315" s="123"/>
      <c r="F2315" s="123"/>
      <c r="G2315" s="114"/>
      <c r="H2315" s="115"/>
    </row>
    <row r="2316" spans="4:8" ht="15.6" x14ac:dyDescent="0.3">
      <c r="D2316" s="123"/>
      <c r="E2316" s="123"/>
      <c r="F2316" s="123"/>
      <c r="G2316" s="114"/>
      <c r="H2316" s="115"/>
    </row>
    <row r="2317" spans="4:8" ht="15.6" x14ac:dyDescent="0.3">
      <c r="D2317" s="123"/>
      <c r="E2317" s="123"/>
      <c r="F2317" s="123"/>
      <c r="G2317" s="114"/>
      <c r="H2317" s="115"/>
    </row>
    <row r="2318" spans="4:8" ht="15.6" x14ac:dyDescent="0.3">
      <c r="D2318" s="123"/>
      <c r="E2318" s="123"/>
      <c r="F2318" s="123"/>
      <c r="G2318" s="114"/>
      <c r="H2318" s="115"/>
    </row>
    <row r="2319" spans="4:8" ht="15.6" x14ac:dyDescent="0.3">
      <c r="D2319" s="123"/>
      <c r="E2319" s="123"/>
      <c r="F2319" s="123"/>
      <c r="G2319" s="114"/>
      <c r="H2319" s="115"/>
    </row>
    <row r="2320" spans="4:8" ht="15.6" x14ac:dyDescent="0.3">
      <c r="D2320" s="123"/>
      <c r="E2320" s="123"/>
      <c r="F2320" s="123"/>
      <c r="G2320" s="114"/>
      <c r="H2320" s="115"/>
    </row>
    <row r="2321" spans="4:8" ht="15.6" x14ac:dyDescent="0.3">
      <c r="D2321" s="123"/>
      <c r="E2321" s="123"/>
      <c r="F2321" s="123"/>
      <c r="G2321" s="114"/>
      <c r="H2321" s="115"/>
    </row>
    <row r="2322" spans="4:8" ht="15.6" x14ac:dyDescent="0.3">
      <c r="D2322" s="123"/>
      <c r="E2322" s="123"/>
      <c r="F2322" s="123"/>
      <c r="G2322" s="114"/>
      <c r="H2322" s="115"/>
    </row>
    <row r="2323" spans="4:8" ht="15.6" x14ac:dyDescent="0.3">
      <c r="D2323" s="123"/>
      <c r="E2323" s="123"/>
      <c r="F2323" s="123"/>
      <c r="G2323" s="114"/>
      <c r="H2323" s="115"/>
    </row>
    <row r="2324" spans="4:8" ht="15.6" x14ac:dyDescent="0.3">
      <c r="D2324" s="123"/>
      <c r="E2324" s="123"/>
      <c r="F2324" s="123"/>
      <c r="G2324" s="114"/>
      <c r="H2324" s="115"/>
    </row>
    <row r="2325" spans="4:8" ht="15.6" x14ac:dyDescent="0.3">
      <c r="D2325" s="123"/>
      <c r="E2325" s="123"/>
      <c r="F2325" s="123"/>
      <c r="G2325" s="114"/>
      <c r="H2325" s="115"/>
    </row>
    <row r="2326" spans="4:8" ht="15.6" x14ac:dyDescent="0.3">
      <c r="D2326" s="123"/>
      <c r="E2326" s="123"/>
      <c r="F2326" s="123"/>
      <c r="G2326" s="114"/>
      <c r="H2326" s="115"/>
    </row>
    <row r="2327" spans="4:8" ht="15.6" x14ac:dyDescent="0.3">
      <c r="D2327" s="123"/>
      <c r="E2327" s="123"/>
      <c r="F2327" s="123"/>
      <c r="G2327" s="114"/>
      <c r="H2327" s="115"/>
    </row>
    <row r="2328" spans="4:8" ht="15.6" x14ac:dyDescent="0.3">
      <c r="D2328" s="123"/>
      <c r="E2328" s="123"/>
      <c r="F2328" s="123"/>
      <c r="G2328" s="114"/>
      <c r="H2328" s="115"/>
    </row>
    <row r="2329" spans="4:8" ht="15.6" x14ac:dyDescent="0.3">
      <c r="D2329" s="123"/>
      <c r="E2329" s="123"/>
      <c r="F2329" s="123"/>
      <c r="G2329" s="114"/>
      <c r="H2329" s="115"/>
    </row>
    <row r="2330" spans="4:8" ht="15.6" x14ac:dyDescent="0.3">
      <c r="D2330" s="123"/>
      <c r="E2330" s="123"/>
      <c r="F2330" s="123"/>
      <c r="G2330" s="114"/>
      <c r="H2330" s="115"/>
    </row>
    <row r="2331" spans="4:8" ht="15.6" x14ac:dyDescent="0.3">
      <c r="D2331" s="123"/>
      <c r="E2331" s="123"/>
      <c r="F2331" s="123"/>
      <c r="G2331" s="114"/>
      <c r="H2331" s="115"/>
    </row>
    <row r="2332" spans="4:8" ht="15.6" x14ac:dyDescent="0.3">
      <c r="D2332" s="123"/>
      <c r="E2332" s="123"/>
      <c r="F2332" s="123"/>
      <c r="G2332" s="114"/>
      <c r="H2332" s="115"/>
    </row>
    <row r="2333" spans="4:8" ht="15.6" x14ac:dyDescent="0.3">
      <c r="D2333" s="123"/>
      <c r="E2333" s="123"/>
      <c r="F2333" s="123"/>
      <c r="G2333" s="114"/>
      <c r="H2333" s="115"/>
    </row>
    <row r="2334" spans="4:8" ht="15.6" x14ac:dyDescent="0.3">
      <c r="D2334" s="123"/>
      <c r="E2334" s="123"/>
      <c r="F2334" s="123"/>
      <c r="G2334" s="114"/>
      <c r="H2334" s="115"/>
    </row>
    <row r="2335" spans="4:8" ht="15.6" x14ac:dyDescent="0.3">
      <c r="D2335" s="123"/>
      <c r="E2335" s="123"/>
      <c r="F2335" s="123"/>
      <c r="G2335" s="114"/>
      <c r="H2335" s="115"/>
    </row>
    <row r="2336" spans="4:8" ht="15.6" x14ac:dyDescent="0.3">
      <c r="D2336" s="123"/>
      <c r="E2336" s="123"/>
      <c r="F2336" s="123"/>
      <c r="G2336" s="114"/>
      <c r="H2336" s="115"/>
    </row>
    <row r="2337" spans="4:8" ht="15.6" x14ac:dyDescent="0.3">
      <c r="D2337" s="123"/>
      <c r="E2337" s="123"/>
      <c r="F2337" s="123"/>
      <c r="G2337" s="114"/>
      <c r="H2337" s="115"/>
    </row>
    <row r="2338" spans="4:8" ht="15.6" x14ac:dyDescent="0.3">
      <c r="D2338" s="123"/>
      <c r="E2338" s="123"/>
      <c r="F2338" s="123"/>
      <c r="G2338" s="114"/>
      <c r="H2338" s="115"/>
    </row>
    <row r="2339" spans="4:8" ht="15.6" x14ac:dyDescent="0.3">
      <c r="D2339" s="123"/>
      <c r="E2339" s="123"/>
      <c r="F2339" s="123"/>
      <c r="G2339" s="114"/>
      <c r="H2339" s="115"/>
    </row>
    <row r="2340" spans="4:8" ht="15.6" x14ac:dyDescent="0.3">
      <c r="D2340" s="123"/>
      <c r="E2340" s="123"/>
      <c r="F2340" s="123"/>
      <c r="G2340" s="114"/>
      <c r="H2340" s="115"/>
    </row>
    <row r="2341" spans="4:8" ht="15.6" x14ac:dyDescent="0.3">
      <c r="D2341" s="123"/>
      <c r="E2341" s="123"/>
      <c r="F2341" s="123"/>
      <c r="G2341" s="114"/>
      <c r="H2341" s="115"/>
    </row>
    <row r="2342" spans="4:8" ht="15.6" x14ac:dyDescent="0.3">
      <c r="D2342" s="123"/>
      <c r="E2342" s="123"/>
      <c r="F2342" s="123"/>
      <c r="G2342" s="114"/>
      <c r="H2342" s="115"/>
    </row>
    <row r="2343" spans="4:8" ht="15.6" x14ac:dyDescent="0.3">
      <c r="D2343" s="123"/>
      <c r="E2343" s="123"/>
      <c r="F2343" s="123"/>
      <c r="G2343" s="114"/>
      <c r="H2343" s="115"/>
    </row>
    <row r="2344" spans="4:8" ht="15.6" x14ac:dyDescent="0.3">
      <c r="D2344" s="123"/>
      <c r="E2344" s="123"/>
      <c r="F2344" s="123"/>
      <c r="G2344" s="114"/>
      <c r="H2344" s="115"/>
    </row>
    <row r="2345" spans="4:8" ht="15.6" x14ac:dyDescent="0.3">
      <c r="D2345" s="123"/>
      <c r="E2345" s="123"/>
      <c r="F2345" s="123"/>
      <c r="G2345" s="114"/>
      <c r="H2345" s="115"/>
    </row>
    <row r="2346" spans="4:8" ht="15.6" x14ac:dyDescent="0.3">
      <c r="D2346" s="123"/>
      <c r="E2346" s="123"/>
      <c r="F2346" s="123"/>
      <c r="G2346" s="114"/>
      <c r="H2346" s="115"/>
    </row>
    <row r="2347" spans="4:8" ht="15.6" x14ac:dyDescent="0.3">
      <c r="D2347" s="123"/>
      <c r="E2347" s="123"/>
      <c r="F2347" s="123"/>
      <c r="G2347" s="114"/>
      <c r="H2347" s="115"/>
    </row>
    <row r="2348" spans="4:8" ht="15.6" x14ac:dyDescent="0.3">
      <c r="D2348" s="123"/>
      <c r="E2348" s="123"/>
      <c r="F2348" s="123"/>
      <c r="G2348" s="114"/>
      <c r="H2348" s="115"/>
    </row>
    <row r="2349" spans="4:8" ht="15.6" x14ac:dyDescent="0.3">
      <c r="D2349" s="123"/>
      <c r="E2349" s="123"/>
      <c r="F2349" s="123"/>
      <c r="G2349" s="114"/>
      <c r="H2349" s="115"/>
    </row>
    <row r="2350" spans="4:8" ht="15.6" x14ac:dyDescent="0.3">
      <c r="D2350" s="123"/>
      <c r="E2350" s="123"/>
      <c r="F2350" s="123"/>
      <c r="G2350" s="114"/>
      <c r="H2350" s="115"/>
    </row>
    <row r="2351" spans="4:8" ht="15.6" x14ac:dyDescent="0.3">
      <c r="D2351" s="123"/>
      <c r="E2351" s="123"/>
      <c r="F2351" s="123"/>
      <c r="G2351" s="114"/>
      <c r="H2351" s="115"/>
    </row>
    <row r="2352" spans="4:8" ht="15.6" x14ac:dyDescent="0.3">
      <c r="D2352" s="123"/>
      <c r="E2352" s="123"/>
      <c r="F2352" s="123"/>
      <c r="G2352" s="114"/>
      <c r="H2352" s="115"/>
    </row>
    <row r="2353" spans="4:8" ht="15.6" x14ac:dyDescent="0.3">
      <c r="D2353" s="123"/>
      <c r="E2353" s="123"/>
      <c r="F2353" s="123"/>
      <c r="G2353" s="114"/>
      <c r="H2353" s="115"/>
    </row>
    <row r="2354" spans="4:8" ht="15.6" x14ac:dyDescent="0.3">
      <c r="D2354" s="123"/>
      <c r="E2354" s="123"/>
      <c r="F2354" s="123"/>
      <c r="G2354" s="114"/>
      <c r="H2354" s="115"/>
    </row>
    <row r="2355" spans="4:8" ht="15.6" x14ac:dyDescent="0.3">
      <c r="D2355" s="123"/>
      <c r="E2355" s="123"/>
      <c r="F2355" s="123"/>
      <c r="G2355" s="114"/>
      <c r="H2355" s="115"/>
    </row>
    <row r="2356" spans="4:8" ht="15.6" x14ac:dyDescent="0.3">
      <c r="D2356" s="123"/>
      <c r="E2356" s="123"/>
      <c r="F2356" s="123"/>
      <c r="G2356" s="114"/>
      <c r="H2356" s="115"/>
    </row>
    <row r="2357" spans="4:8" ht="15.6" x14ac:dyDescent="0.3">
      <c r="D2357" s="123"/>
      <c r="E2357" s="123"/>
      <c r="F2357" s="123"/>
      <c r="G2357" s="114"/>
      <c r="H2357" s="115"/>
    </row>
    <row r="2358" spans="4:8" ht="15.6" x14ac:dyDescent="0.3">
      <c r="D2358" s="123"/>
      <c r="E2358" s="123"/>
      <c r="F2358" s="123"/>
      <c r="G2358" s="114"/>
      <c r="H2358" s="115"/>
    </row>
    <row r="2359" spans="4:8" ht="15.6" x14ac:dyDescent="0.3">
      <c r="D2359" s="123"/>
      <c r="E2359" s="123"/>
      <c r="F2359" s="123"/>
      <c r="G2359" s="114"/>
      <c r="H2359" s="115"/>
    </row>
    <row r="2360" spans="4:8" ht="15.6" x14ac:dyDescent="0.3">
      <c r="D2360" s="123"/>
      <c r="E2360" s="123"/>
      <c r="F2360" s="123"/>
      <c r="G2360" s="114"/>
      <c r="H2360" s="115"/>
    </row>
    <row r="2361" spans="4:8" ht="15.6" x14ac:dyDescent="0.3">
      <c r="D2361" s="123"/>
      <c r="E2361" s="123"/>
      <c r="F2361" s="123"/>
      <c r="G2361" s="114"/>
      <c r="H2361" s="115"/>
    </row>
    <row r="2362" spans="4:8" ht="15.6" x14ac:dyDescent="0.3">
      <c r="D2362" s="123"/>
      <c r="E2362" s="123"/>
      <c r="F2362" s="123"/>
      <c r="G2362" s="114"/>
      <c r="H2362" s="115"/>
    </row>
    <row r="2363" spans="4:8" ht="15.6" x14ac:dyDescent="0.3">
      <c r="D2363" s="123"/>
      <c r="E2363" s="123"/>
      <c r="F2363" s="123"/>
      <c r="G2363" s="114"/>
      <c r="H2363" s="115"/>
    </row>
    <row r="2364" spans="4:8" ht="15.6" x14ac:dyDescent="0.3">
      <c r="D2364" s="123"/>
      <c r="E2364" s="123"/>
      <c r="F2364" s="123"/>
      <c r="G2364" s="114"/>
      <c r="H2364" s="115"/>
    </row>
    <row r="2365" spans="4:8" ht="15.6" x14ac:dyDescent="0.3">
      <c r="D2365" s="123"/>
      <c r="E2365" s="123"/>
      <c r="F2365" s="123"/>
      <c r="G2365" s="114"/>
      <c r="H2365" s="115"/>
    </row>
    <row r="2366" spans="4:8" ht="15.6" x14ac:dyDescent="0.3">
      <c r="D2366" s="123"/>
      <c r="E2366" s="123"/>
      <c r="F2366" s="123"/>
      <c r="G2366" s="114"/>
      <c r="H2366" s="115"/>
    </row>
    <row r="2367" spans="4:8" ht="15.6" x14ac:dyDescent="0.3">
      <c r="D2367" s="123"/>
      <c r="E2367" s="123"/>
      <c r="F2367" s="123"/>
      <c r="G2367" s="114"/>
      <c r="H2367" s="115"/>
    </row>
    <row r="2368" spans="4:8" ht="15.6" x14ac:dyDescent="0.3">
      <c r="D2368" s="123"/>
      <c r="E2368" s="123"/>
      <c r="F2368" s="123"/>
      <c r="G2368" s="114"/>
      <c r="H2368" s="115"/>
    </row>
    <row r="2369" spans="4:8" ht="15.6" x14ac:dyDescent="0.3">
      <c r="D2369" s="123"/>
      <c r="E2369" s="123"/>
      <c r="F2369" s="123"/>
      <c r="G2369" s="114"/>
      <c r="H2369" s="115"/>
    </row>
    <row r="2370" spans="4:8" ht="15.6" x14ac:dyDescent="0.3">
      <c r="D2370" s="123"/>
      <c r="E2370" s="123"/>
      <c r="F2370" s="123"/>
      <c r="G2370" s="114"/>
      <c r="H2370" s="115"/>
    </row>
    <row r="2371" spans="4:8" ht="15.6" x14ac:dyDescent="0.3">
      <c r="D2371" s="123"/>
      <c r="E2371" s="123"/>
      <c r="F2371" s="123"/>
      <c r="G2371" s="114"/>
      <c r="H2371" s="115"/>
    </row>
    <row r="2372" spans="4:8" ht="15.6" x14ac:dyDescent="0.3">
      <c r="D2372" s="123"/>
      <c r="E2372" s="123"/>
      <c r="F2372" s="123"/>
      <c r="G2372" s="114"/>
      <c r="H2372" s="115"/>
    </row>
    <row r="2373" spans="4:8" ht="15.6" x14ac:dyDescent="0.3">
      <c r="D2373" s="123"/>
      <c r="E2373" s="123"/>
      <c r="F2373" s="123"/>
      <c r="G2373" s="114"/>
      <c r="H2373" s="115"/>
    </row>
    <row r="2374" spans="4:8" ht="15.6" x14ac:dyDescent="0.3">
      <c r="D2374" s="123"/>
      <c r="E2374" s="123"/>
      <c r="F2374" s="123"/>
      <c r="G2374" s="114"/>
      <c r="H2374" s="115"/>
    </row>
    <row r="2375" spans="4:8" ht="15.6" x14ac:dyDescent="0.3">
      <c r="D2375" s="123"/>
      <c r="E2375" s="123"/>
      <c r="F2375" s="123"/>
      <c r="G2375" s="114"/>
      <c r="H2375" s="115"/>
    </row>
    <row r="2376" spans="4:8" ht="15.6" x14ac:dyDescent="0.3">
      <c r="D2376" s="123"/>
      <c r="E2376" s="123"/>
      <c r="F2376" s="123"/>
      <c r="G2376" s="114"/>
      <c r="H2376" s="115"/>
    </row>
    <row r="2377" spans="4:8" ht="15.6" x14ac:dyDescent="0.3">
      <c r="D2377" s="123"/>
      <c r="E2377" s="123"/>
      <c r="F2377" s="123"/>
      <c r="G2377" s="114"/>
      <c r="H2377" s="115"/>
    </row>
    <row r="2378" spans="4:8" ht="15.6" x14ac:dyDescent="0.3">
      <c r="D2378" s="123"/>
      <c r="E2378" s="123"/>
      <c r="F2378" s="123"/>
      <c r="G2378" s="114"/>
      <c r="H2378" s="115"/>
    </row>
    <row r="2379" spans="4:8" ht="15.6" x14ac:dyDescent="0.3">
      <c r="D2379" s="123"/>
      <c r="E2379" s="123"/>
      <c r="F2379" s="123"/>
      <c r="G2379" s="114"/>
      <c r="H2379" s="115"/>
    </row>
    <row r="2380" spans="4:8" ht="15.6" x14ac:dyDescent="0.3">
      <c r="D2380" s="123"/>
      <c r="E2380" s="123"/>
      <c r="F2380" s="123"/>
      <c r="G2380" s="114"/>
      <c r="H2380" s="115"/>
    </row>
    <row r="2381" spans="4:8" ht="15.6" x14ac:dyDescent="0.3">
      <c r="D2381" s="123"/>
      <c r="E2381" s="123"/>
      <c r="F2381" s="123"/>
      <c r="G2381" s="114"/>
      <c r="H2381" s="115"/>
    </row>
    <row r="2382" spans="4:8" ht="15.6" x14ac:dyDescent="0.3">
      <c r="D2382" s="123"/>
      <c r="E2382" s="123"/>
      <c r="F2382" s="123"/>
      <c r="G2382" s="114"/>
      <c r="H2382" s="115"/>
    </row>
    <row r="2383" spans="4:8" ht="15.6" x14ac:dyDescent="0.3">
      <c r="D2383" s="123"/>
      <c r="E2383" s="123"/>
      <c r="F2383" s="123"/>
      <c r="G2383" s="114"/>
      <c r="H2383" s="115"/>
    </row>
    <row r="2384" spans="4:8" ht="15.6" x14ac:dyDescent="0.3">
      <c r="D2384" s="123"/>
      <c r="E2384" s="123"/>
      <c r="F2384" s="123"/>
      <c r="G2384" s="114"/>
      <c r="H2384" s="115"/>
    </row>
    <row r="2385" spans="4:8" ht="15.6" x14ac:dyDescent="0.3">
      <c r="D2385" s="123"/>
      <c r="E2385" s="123"/>
      <c r="F2385" s="123"/>
      <c r="G2385" s="114"/>
      <c r="H2385" s="115"/>
    </row>
    <row r="2386" spans="4:8" ht="15.6" x14ac:dyDescent="0.3">
      <c r="D2386" s="123"/>
      <c r="E2386" s="123"/>
      <c r="F2386" s="123"/>
      <c r="G2386" s="114"/>
      <c r="H2386" s="115"/>
    </row>
    <row r="2387" spans="4:8" ht="15.6" x14ac:dyDescent="0.3">
      <c r="D2387" s="123"/>
      <c r="E2387" s="123"/>
      <c r="F2387" s="123"/>
      <c r="G2387" s="114"/>
      <c r="H2387" s="115"/>
    </row>
    <row r="2388" spans="4:8" ht="15.6" x14ac:dyDescent="0.3">
      <c r="D2388" s="123"/>
      <c r="E2388" s="123"/>
      <c r="F2388" s="123"/>
      <c r="G2388" s="114"/>
      <c r="H2388" s="115"/>
    </row>
    <row r="2389" spans="4:8" ht="15.6" x14ac:dyDescent="0.3">
      <c r="D2389" s="123"/>
      <c r="E2389" s="123"/>
      <c r="F2389" s="123"/>
      <c r="G2389" s="114"/>
      <c r="H2389" s="115"/>
    </row>
    <row r="2390" spans="4:8" ht="15.6" x14ac:dyDescent="0.3">
      <c r="D2390" s="123"/>
      <c r="E2390" s="123"/>
      <c r="F2390" s="123"/>
      <c r="G2390" s="114"/>
      <c r="H2390" s="115"/>
    </row>
    <row r="2391" spans="4:8" ht="15.6" x14ac:dyDescent="0.3">
      <c r="D2391" s="123"/>
      <c r="E2391" s="123"/>
      <c r="F2391" s="123"/>
      <c r="G2391" s="114"/>
      <c r="H2391" s="115"/>
    </row>
    <row r="2392" spans="4:8" ht="15.6" x14ac:dyDescent="0.3">
      <c r="D2392" s="123"/>
      <c r="E2392" s="123"/>
      <c r="F2392" s="123"/>
      <c r="G2392" s="114"/>
      <c r="H2392" s="115"/>
    </row>
    <row r="2393" spans="4:8" ht="15.6" x14ac:dyDescent="0.3">
      <c r="D2393" s="123"/>
      <c r="E2393" s="123"/>
      <c r="F2393" s="123"/>
      <c r="G2393" s="114"/>
      <c r="H2393" s="115"/>
    </row>
    <row r="2394" spans="4:8" ht="15.6" x14ac:dyDescent="0.3">
      <c r="D2394" s="123"/>
      <c r="E2394" s="123"/>
      <c r="F2394" s="123"/>
      <c r="G2394" s="114"/>
      <c r="H2394" s="115"/>
    </row>
    <row r="2395" spans="4:8" ht="15.6" x14ac:dyDescent="0.3">
      <c r="D2395" s="123"/>
      <c r="E2395" s="123"/>
      <c r="F2395" s="123"/>
      <c r="G2395" s="114"/>
      <c r="H2395" s="115"/>
    </row>
    <row r="2396" spans="4:8" ht="15.6" x14ac:dyDescent="0.3">
      <c r="D2396" s="123"/>
      <c r="E2396" s="123"/>
      <c r="F2396" s="123"/>
      <c r="G2396" s="114"/>
      <c r="H2396" s="115"/>
    </row>
    <row r="2397" spans="4:8" ht="15.6" x14ac:dyDescent="0.3">
      <c r="D2397" s="123"/>
      <c r="E2397" s="123"/>
      <c r="F2397" s="123"/>
      <c r="G2397" s="114"/>
      <c r="H2397" s="115"/>
    </row>
    <row r="2398" spans="4:8" ht="15.6" x14ac:dyDescent="0.3">
      <c r="D2398" s="123"/>
      <c r="E2398" s="123"/>
      <c r="F2398" s="123"/>
      <c r="G2398" s="114"/>
      <c r="H2398" s="115"/>
    </row>
    <row r="2399" spans="4:8" ht="15.6" x14ac:dyDescent="0.3">
      <c r="D2399" s="123"/>
      <c r="E2399" s="123"/>
      <c r="F2399" s="123"/>
      <c r="G2399" s="114"/>
      <c r="H2399" s="115"/>
    </row>
    <row r="2400" spans="4:8" ht="15.6" x14ac:dyDescent="0.3">
      <c r="D2400" s="123"/>
      <c r="E2400" s="123"/>
      <c r="F2400" s="123"/>
      <c r="G2400" s="114"/>
      <c r="H2400" s="115"/>
    </row>
    <row r="2401" spans="4:8" ht="15.6" x14ac:dyDescent="0.3">
      <c r="D2401" s="123"/>
      <c r="E2401" s="123"/>
      <c r="F2401" s="123"/>
      <c r="G2401" s="114"/>
      <c r="H2401" s="115"/>
    </row>
    <row r="2402" spans="4:8" ht="15.6" x14ac:dyDescent="0.3">
      <c r="D2402" s="123"/>
      <c r="E2402" s="123"/>
      <c r="F2402" s="123"/>
      <c r="G2402" s="114"/>
      <c r="H2402" s="115"/>
    </row>
    <row r="2403" spans="4:8" ht="15.6" x14ac:dyDescent="0.3">
      <c r="D2403" s="123"/>
      <c r="E2403" s="123"/>
      <c r="F2403" s="123"/>
      <c r="G2403" s="114"/>
      <c r="H2403" s="115"/>
    </row>
    <row r="2404" spans="4:8" ht="15.6" x14ac:dyDescent="0.3">
      <c r="D2404" s="123"/>
      <c r="E2404" s="123"/>
      <c r="F2404" s="123"/>
      <c r="G2404" s="114"/>
      <c r="H2404" s="115"/>
    </row>
    <row r="2405" spans="4:8" ht="15.6" x14ac:dyDescent="0.3">
      <c r="D2405" s="123"/>
      <c r="E2405" s="123"/>
      <c r="F2405" s="123"/>
      <c r="G2405" s="114"/>
      <c r="H2405" s="115"/>
    </row>
    <row r="2406" spans="4:8" ht="15.6" x14ac:dyDescent="0.3">
      <c r="D2406" s="123"/>
      <c r="E2406" s="123"/>
      <c r="F2406" s="123"/>
      <c r="G2406" s="114"/>
      <c r="H2406" s="115"/>
    </row>
    <row r="2407" spans="4:8" ht="15.6" x14ac:dyDescent="0.3">
      <c r="D2407" s="123"/>
      <c r="E2407" s="123"/>
      <c r="F2407" s="123"/>
      <c r="G2407" s="114"/>
      <c r="H2407" s="115"/>
    </row>
    <row r="2408" spans="4:8" ht="15.6" x14ac:dyDescent="0.3">
      <c r="D2408" s="123"/>
      <c r="E2408" s="123"/>
      <c r="F2408" s="123"/>
      <c r="G2408" s="114"/>
      <c r="H2408" s="115"/>
    </row>
    <row r="2409" spans="4:8" ht="15.6" x14ac:dyDescent="0.3">
      <c r="D2409" s="123"/>
      <c r="E2409" s="123"/>
      <c r="F2409" s="123"/>
      <c r="G2409" s="114"/>
      <c r="H2409" s="115"/>
    </row>
    <row r="2410" spans="4:8" ht="15.6" x14ac:dyDescent="0.3">
      <c r="D2410" s="123"/>
      <c r="E2410" s="123"/>
      <c r="F2410" s="123"/>
      <c r="G2410" s="114"/>
      <c r="H2410" s="115"/>
    </row>
    <row r="2411" spans="4:8" ht="15.6" x14ac:dyDescent="0.3">
      <c r="D2411" s="123"/>
      <c r="E2411" s="123"/>
      <c r="F2411" s="123"/>
      <c r="G2411" s="114"/>
      <c r="H2411" s="115"/>
    </row>
    <row r="2412" spans="4:8" ht="15.6" x14ac:dyDescent="0.3">
      <c r="D2412" s="123"/>
      <c r="E2412" s="123"/>
      <c r="F2412" s="123"/>
      <c r="G2412" s="114"/>
      <c r="H2412" s="115"/>
    </row>
    <row r="2413" spans="4:8" ht="15.6" x14ac:dyDescent="0.3">
      <c r="D2413" s="123"/>
      <c r="E2413" s="123"/>
      <c r="F2413" s="123"/>
      <c r="G2413" s="114"/>
      <c r="H2413" s="115"/>
    </row>
    <row r="2414" spans="4:8" ht="15.6" x14ac:dyDescent="0.3">
      <c r="D2414" s="123"/>
      <c r="E2414" s="123"/>
      <c r="F2414" s="123"/>
      <c r="G2414" s="114"/>
      <c r="H2414" s="115"/>
    </row>
    <row r="2415" spans="4:8" ht="15.6" x14ac:dyDescent="0.3">
      <c r="D2415" s="123"/>
      <c r="E2415" s="123"/>
      <c r="F2415" s="123"/>
      <c r="G2415" s="114"/>
      <c r="H2415" s="115"/>
    </row>
    <row r="2416" spans="4:8" ht="15.6" x14ac:dyDescent="0.3">
      <c r="D2416" s="123"/>
      <c r="E2416" s="123"/>
      <c r="F2416" s="123"/>
      <c r="G2416" s="114"/>
      <c r="H2416" s="115"/>
    </row>
    <row r="2417" spans="4:8" ht="15.6" x14ac:dyDescent="0.3">
      <c r="D2417" s="123"/>
      <c r="E2417" s="123"/>
      <c r="F2417" s="123"/>
      <c r="G2417" s="114"/>
      <c r="H2417" s="115"/>
    </row>
    <row r="2418" spans="4:8" ht="15.6" x14ac:dyDescent="0.3">
      <c r="D2418" s="123"/>
      <c r="E2418" s="123"/>
      <c r="F2418" s="123"/>
      <c r="G2418" s="114"/>
      <c r="H2418" s="115"/>
    </row>
    <row r="2419" spans="4:8" ht="15.6" x14ac:dyDescent="0.3">
      <c r="D2419" s="123"/>
      <c r="E2419" s="123"/>
      <c r="F2419" s="123"/>
      <c r="G2419" s="114"/>
      <c r="H2419" s="115"/>
    </row>
    <row r="2420" spans="4:8" ht="15.6" x14ac:dyDescent="0.3">
      <c r="D2420" s="123"/>
      <c r="E2420" s="123"/>
      <c r="F2420" s="123"/>
      <c r="G2420" s="114"/>
      <c r="H2420" s="115"/>
    </row>
    <row r="2421" spans="4:8" ht="15.6" x14ac:dyDescent="0.3">
      <c r="D2421" s="123"/>
      <c r="E2421" s="123"/>
      <c r="F2421" s="123"/>
      <c r="G2421" s="114"/>
      <c r="H2421" s="115"/>
    </row>
    <row r="2422" spans="4:8" ht="15.6" x14ac:dyDescent="0.3">
      <c r="D2422" s="123"/>
      <c r="E2422" s="123"/>
      <c r="F2422" s="123"/>
      <c r="G2422" s="114"/>
      <c r="H2422" s="115"/>
    </row>
    <row r="2423" spans="4:8" ht="15.6" x14ac:dyDescent="0.3">
      <c r="D2423" s="123"/>
      <c r="E2423" s="123"/>
      <c r="F2423" s="123"/>
      <c r="G2423" s="114"/>
      <c r="H2423" s="115"/>
    </row>
    <row r="2424" spans="4:8" ht="15.6" x14ac:dyDescent="0.3">
      <c r="D2424" s="123"/>
      <c r="E2424" s="123"/>
      <c r="F2424" s="123"/>
      <c r="G2424" s="114"/>
      <c r="H2424" s="115"/>
    </row>
    <row r="2425" spans="4:8" ht="15.6" x14ac:dyDescent="0.3">
      <c r="D2425" s="123"/>
      <c r="E2425" s="123"/>
      <c r="F2425" s="123"/>
      <c r="G2425" s="114"/>
      <c r="H2425" s="115"/>
    </row>
    <row r="2426" spans="4:8" ht="15.6" x14ac:dyDescent="0.3">
      <c r="D2426" s="123"/>
      <c r="E2426" s="123"/>
      <c r="F2426" s="123"/>
      <c r="G2426" s="114"/>
      <c r="H2426" s="115"/>
    </row>
    <row r="2427" spans="4:8" ht="15.6" x14ac:dyDescent="0.3">
      <c r="D2427" s="123"/>
      <c r="E2427" s="123"/>
      <c r="F2427" s="123"/>
      <c r="G2427" s="114"/>
      <c r="H2427" s="115"/>
    </row>
    <row r="2428" spans="4:8" ht="15.6" x14ac:dyDescent="0.3">
      <c r="D2428" s="123"/>
      <c r="E2428" s="123"/>
      <c r="F2428" s="123"/>
      <c r="G2428" s="114"/>
      <c r="H2428" s="115"/>
    </row>
    <row r="2429" spans="4:8" ht="15.6" x14ac:dyDescent="0.3">
      <c r="D2429" s="123"/>
      <c r="E2429" s="123"/>
      <c r="F2429" s="123"/>
      <c r="G2429" s="114"/>
      <c r="H2429" s="115"/>
    </row>
    <row r="2430" spans="4:8" ht="15.6" x14ac:dyDescent="0.3">
      <c r="D2430" s="123"/>
      <c r="E2430" s="123"/>
      <c r="F2430" s="123"/>
      <c r="G2430" s="114"/>
      <c r="H2430" s="115"/>
    </row>
    <row r="2431" spans="4:8" ht="15.6" x14ac:dyDescent="0.3">
      <c r="D2431" s="123"/>
      <c r="E2431" s="123"/>
      <c r="F2431" s="123"/>
      <c r="G2431" s="114"/>
      <c r="H2431" s="115"/>
    </row>
    <row r="2432" spans="4:8" ht="15.6" x14ac:dyDescent="0.3">
      <c r="D2432" s="123"/>
      <c r="E2432" s="123"/>
      <c r="F2432" s="123"/>
      <c r="G2432" s="114"/>
      <c r="H2432" s="115"/>
    </row>
    <row r="2433" spans="4:8" ht="15.6" x14ac:dyDescent="0.3">
      <c r="D2433" s="123"/>
      <c r="E2433" s="123"/>
      <c r="F2433" s="123"/>
      <c r="G2433" s="114"/>
      <c r="H2433" s="115"/>
    </row>
    <row r="2434" spans="4:8" ht="15.6" x14ac:dyDescent="0.3">
      <c r="D2434" s="123"/>
      <c r="E2434" s="123"/>
      <c r="F2434" s="123"/>
      <c r="G2434" s="114"/>
      <c r="H2434" s="115"/>
    </row>
    <row r="2435" spans="4:8" ht="15.6" x14ac:dyDescent="0.3">
      <c r="D2435" s="123"/>
      <c r="E2435" s="123"/>
      <c r="F2435" s="123"/>
      <c r="G2435" s="114"/>
      <c r="H2435" s="115"/>
    </row>
    <row r="2436" spans="4:8" ht="15.6" x14ac:dyDescent="0.3">
      <c r="D2436" s="123"/>
      <c r="E2436" s="123"/>
      <c r="F2436" s="123"/>
      <c r="G2436" s="114"/>
      <c r="H2436" s="115"/>
    </row>
    <row r="2437" spans="4:8" ht="15.6" x14ac:dyDescent="0.3">
      <c r="D2437" s="123"/>
      <c r="E2437" s="123"/>
      <c r="F2437" s="123"/>
      <c r="G2437" s="114"/>
      <c r="H2437" s="115"/>
    </row>
    <row r="2438" spans="4:8" ht="15.6" x14ac:dyDescent="0.3">
      <c r="D2438" s="123"/>
      <c r="E2438" s="123"/>
      <c r="F2438" s="123"/>
      <c r="G2438" s="114"/>
      <c r="H2438" s="115"/>
    </row>
    <row r="2439" spans="4:8" ht="15.6" x14ac:dyDescent="0.3">
      <c r="D2439" s="123"/>
      <c r="E2439" s="123"/>
      <c r="F2439" s="123"/>
      <c r="G2439" s="114"/>
      <c r="H2439" s="115"/>
    </row>
    <row r="2440" spans="4:8" ht="15.6" x14ac:dyDescent="0.3">
      <c r="D2440" s="123"/>
      <c r="E2440" s="123"/>
      <c r="F2440" s="123"/>
      <c r="G2440" s="114"/>
      <c r="H2440" s="115"/>
    </row>
    <row r="2441" spans="4:8" ht="15.6" x14ac:dyDescent="0.3">
      <c r="D2441" s="123"/>
      <c r="E2441" s="123"/>
      <c r="F2441" s="123"/>
      <c r="G2441" s="114"/>
      <c r="H2441" s="115"/>
    </row>
    <row r="2442" spans="4:8" ht="15.6" x14ac:dyDescent="0.3">
      <c r="D2442" s="123"/>
      <c r="E2442" s="123"/>
      <c r="F2442" s="123"/>
      <c r="G2442" s="114"/>
      <c r="H2442" s="115"/>
    </row>
    <row r="2443" spans="4:8" ht="15.6" x14ac:dyDescent="0.3">
      <c r="D2443" s="123"/>
      <c r="E2443" s="123"/>
      <c r="F2443" s="123"/>
      <c r="G2443" s="114"/>
      <c r="H2443" s="115"/>
    </row>
    <row r="2444" spans="4:8" ht="15.6" x14ac:dyDescent="0.3">
      <c r="D2444" s="123"/>
      <c r="E2444" s="123"/>
      <c r="F2444" s="123"/>
      <c r="G2444" s="114"/>
      <c r="H2444" s="115"/>
    </row>
    <row r="2445" spans="4:8" ht="15.6" x14ac:dyDescent="0.3">
      <c r="D2445" s="123"/>
      <c r="E2445" s="123"/>
      <c r="F2445" s="123"/>
      <c r="G2445" s="114"/>
      <c r="H2445" s="115"/>
    </row>
    <row r="2446" spans="4:8" ht="15.6" x14ac:dyDescent="0.3">
      <c r="D2446" s="123"/>
      <c r="E2446" s="123"/>
      <c r="F2446" s="123"/>
      <c r="G2446" s="114"/>
      <c r="H2446" s="115"/>
    </row>
    <row r="2447" spans="4:8" ht="15.6" x14ac:dyDescent="0.3">
      <c r="D2447" s="123"/>
      <c r="E2447" s="123"/>
      <c r="F2447" s="123"/>
      <c r="G2447" s="114"/>
      <c r="H2447" s="115"/>
    </row>
    <row r="2448" spans="4:8" ht="15.6" x14ac:dyDescent="0.3">
      <c r="D2448" s="123"/>
      <c r="E2448" s="123"/>
      <c r="F2448" s="123"/>
      <c r="G2448" s="114"/>
      <c r="H2448" s="115"/>
    </row>
    <row r="2449" spans="4:8" ht="15.6" x14ac:dyDescent="0.3">
      <c r="D2449" s="123"/>
      <c r="E2449" s="123"/>
      <c r="F2449" s="123"/>
      <c r="G2449" s="114"/>
      <c r="H2449" s="115"/>
    </row>
    <row r="2450" spans="4:8" ht="15.6" x14ac:dyDescent="0.3">
      <c r="D2450" s="123"/>
      <c r="E2450" s="123"/>
      <c r="F2450" s="123"/>
      <c r="G2450" s="114"/>
      <c r="H2450" s="115"/>
    </row>
    <row r="2451" spans="4:8" ht="15.6" x14ac:dyDescent="0.3">
      <c r="D2451" s="123"/>
      <c r="E2451" s="123"/>
      <c r="F2451" s="123"/>
      <c r="G2451" s="114"/>
      <c r="H2451" s="115"/>
    </row>
    <row r="2452" spans="4:8" ht="15.6" x14ac:dyDescent="0.3">
      <c r="D2452" s="123"/>
      <c r="E2452" s="123"/>
      <c r="F2452" s="123"/>
      <c r="G2452" s="114"/>
      <c r="H2452" s="115"/>
    </row>
    <row r="2453" spans="4:8" ht="15.6" x14ac:dyDescent="0.3">
      <c r="D2453" s="123"/>
      <c r="E2453" s="123"/>
      <c r="F2453" s="123"/>
      <c r="G2453" s="114"/>
      <c r="H2453" s="115"/>
    </row>
    <row r="2454" spans="4:8" ht="15.6" x14ac:dyDescent="0.3">
      <c r="D2454" s="123"/>
      <c r="E2454" s="123"/>
      <c r="F2454" s="123"/>
      <c r="G2454" s="114"/>
      <c r="H2454" s="115"/>
    </row>
    <row r="2455" spans="4:8" ht="15.6" x14ac:dyDescent="0.3">
      <c r="D2455" s="123"/>
      <c r="E2455" s="123"/>
      <c r="F2455" s="123"/>
      <c r="G2455" s="114"/>
      <c r="H2455" s="115"/>
    </row>
    <row r="2456" spans="4:8" ht="15.6" x14ac:dyDescent="0.3">
      <c r="D2456" s="123"/>
      <c r="E2456" s="123"/>
      <c r="F2456" s="123"/>
      <c r="G2456" s="114"/>
      <c r="H2456" s="115"/>
    </row>
    <row r="2457" spans="4:8" ht="15.6" x14ac:dyDescent="0.3">
      <c r="D2457" s="123"/>
      <c r="E2457" s="123"/>
      <c r="F2457" s="123"/>
      <c r="G2457" s="114"/>
      <c r="H2457" s="115"/>
    </row>
    <row r="2458" spans="4:8" ht="15.6" x14ac:dyDescent="0.3">
      <c r="D2458" s="123"/>
      <c r="E2458" s="123"/>
      <c r="F2458" s="123"/>
      <c r="G2458" s="114"/>
      <c r="H2458" s="115"/>
    </row>
    <row r="2459" spans="4:8" ht="15.6" x14ac:dyDescent="0.3">
      <c r="D2459" s="123"/>
      <c r="E2459" s="123"/>
      <c r="F2459" s="123"/>
      <c r="G2459" s="114"/>
      <c r="H2459" s="115"/>
    </row>
    <row r="2460" spans="4:8" ht="15.6" x14ac:dyDescent="0.3">
      <c r="D2460" s="123"/>
      <c r="E2460" s="123"/>
      <c r="F2460" s="123"/>
      <c r="G2460" s="114"/>
      <c r="H2460" s="115"/>
    </row>
    <row r="2461" spans="4:8" ht="15.6" x14ac:dyDescent="0.3">
      <c r="D2461" s="123"/>
      <c r="E2461" s="123"/>
      <c r="F2461" s="123"/>
      <c r="G2461" s="114"/>
      <c r="H2461" s="115"/>
    </row>
    <row r="2462" spans="4:8" ht="15.6" x14ac:dyDescent="0.3">
      <c r="D2462" s="123"/>
      <c r="E2462" s="123"/>
      <c r="F2462" s="123"/>
      <c r="G2462" s="114"/>
      <c r="H2462" s="115"/>
    </row>
    <row r="2463" spans="4:8" ht="15.6" x14ac:dyDescent="0.3">
      <c r="D2463" s="123"/>
      <c r="E2463" s="123"/>
      <c r="F2463" s="123"/>
      <c r="G2463" s="114"/>
      <c r="H2463" s="115"/>
    </row>
    <row r="2464" spans="4:8" ht="15.6" x14ac:dyDescent="0.3">
      <c r="D2464" s="123"/>
      <c r="E2464" s="123"/>
      <c r="F2464" s="123"/>
      <c r="G2464" s="114"/>
      <c r="H2464" s="115"/>
    </row>
    <row r="2465" spans="4:8" ht="15.6" x14ac:dyDescent="0.3">
      <c r="D2465" s="123"/>
      <c r="E2465" s="123"/>
      <c r="F2465" s="123"/>
      <c r="G2465" s="114"/>
      <c r="H2465" s="115"/>
    </row>
    <row r="2466" spans="4:8" ht="15.6" x14ac:dyDescent="0.3">
      <c r="D2466" s="123"/>
      <c r="E2466" s="123"/>
      <c r="F2466" s="123"/>
      <c r="G2466" s="114"/>
      <c r="H2466" s="115"/>
    </row>
    <row r="2467" spans="4:8" ht="15.6" x14ac:dyDescent="0.3">
      <c r="D2467" s="123"/>
      <c r="E2467" s="123"/>
      <c r="F2467" s="123"/>
      <c r="G2467" s="114"/>
      <c r="H2467" s="115"/>
    </row>
    <row r="2468" spans="4:8" ht="15.6" x14ac:dyDescent="0.3">
      <c r="D2468" s="123"/>
      <c r="E2468" s="123"/>
      <c r="F2468" s="123"/>
      <c r="G2468" s="114"/>
      <c r="H2468" s="115"/>
    </row>
    <row r="2469" spans="4:8" ht="15.6" x14ac:dyDescent="0.3">
      <c r="D2469" s="123"/>
      <c r="E2469" s="123"/>
      <c r="F2469" s="123"/>
      <c r="G2469" s="114"/>
      <c r="H2469" s="115"/>
    </row>
    <row r="2470" spans="4:8" ht="15.6" x14ac:dyDescent="0.3">
      <c r="D2470" s="123"/>
      <c r="E2470" s="123"/>
      <c r="F2470" s="123"/>
      <c r="G2470" s="114"/>
      <c r="H2470" s="115"/>
    </row>
    <row r="2471" spans="4:8" ht="15.6" x14ac:dyDescent="0.3">
      <c r="D2471" s="123"/>
      <c r="E2471" s="123"/>
      <c r="F2471" s="123"/>
      <c r="G2471" s="114"/>
      <c r="H2471" s="115"/>
    </row>
    <row r="2472" spans="4:8" ht="15.6" x14ac:dyDescent="0.3">
      <c r="D2472" s="123"/>
      <c r="E2472" s="123"/>
      <c r="F2472" s="123"/>
      <c r="G2472" s="114"/>
      <c r="H2472" s="115"/>
    </row>
    <row r="2473" spans="4:8" ht="15.6" x14ac:dyDescent="0.3">
      <c r="D2473" s="123"/>
      <c r="E2473" s="123"/>
      <c r="F2473" s="123"/>
      <c r="G2473" s="114"/>
      <c r="H2473" s="115"/>
    </row>
    <row r="2474" spans="4:8" ht="15.6" x14ac:dyDescent="0.3">
      <c r="D2474" s="123"/>
      <c r="E2474" s="123"/>
      <c r="F2474" s="123"/>
      <c r="G2474" s="114"/>
      <c r="H2474" s="115"/>
    </row>
    <row r="2475" spans="4:8" ht="15.6" x14ac:dyDescent="0.3">
      <c r="D2475" s="123"/>
      <c r="E2475" s="123"/>
      <c r="F2475" s="123"/>
      <c r="G2475" s="114"/>
      <c r="H2475" s="115"/>
    </row>
    <row r="2476" spans="4:8" ht="15.6" x14ac:dyDescent="0.3">
      <c r="D2476" s="123"/>
      <c r="E2476" s="123"/>
      <c r="F2476" s="123"/>
      <c r="G2476" s="114"/>
      <c r="H2476" s="115"/>
    </row>
    <row r="2477" spans="4:8" ht="15.6" x14ac:dyDescent="0.3">
      <c r="D2477" s="123"/>
      <c r="E2477" s="123"/>
      <c r="F2477" s="123"/>
      <c r="G2477" s="114"/>
      <c r="H2477" s="115"/>
    </row>
    <row r="2478" spans="4:8" ht="15.6" x14ac:dyDescent="0.3">
      <c r="D2478" s="123"/>
      <c r="E2478" s="123"/>
      <c r="F2478" s="123"/>
      <c r="G2478" s="114"/>
      <c r="H2478" s="115"/>
    </row>
    <row r="2479" spans="4:8" ht="15.6" x14ac:dyDescent="0.3">
      <c r="D2479" s="123"/>
      <c r="E2479" s="123"/>
      <c r="F2479" s="123"/>
      <c r="G2479" s="114"/>
      <c r="H2479" s="115"/>
    </row>
    <row r="2480" spans="4:8" ht="15.6" x14ac:dyDescent="0.3">
      <c r="D2480" s="123"/>
      <c r="E2480" s="123"/>
      <c r="F2480" s="123"/>
      <c r="G2480" s="114"/>
      <c r="H2480" s="115"/>
    </row>
    <row r="2481" spans="4:8" ht="15.6" x14ac:dyDescent="0.3">
      <c r="D2481" s="123"/>
      <c r="E2481" s="123"/>
      <c r="F2481" s="123"/>
      <c r="G2481" s="114"/>
      <c r="H2481" s="115"/>
    </row>
    <row r="2482" spans="4:8" ht="15.6" x14ac:dyDescent="0.3">
      <c r="D2482" s="123"/>
      <c r="E2482" s="123"/>
      <c r="F2482" s="123"/>
      <c r="G2482" s="114"/>
      <c r="H2482" s="115"/>
    </row>
    <row r="2483" spans="4:8" ht="15.6" x14ac:dyDescent="0.3">
      <c r="D2483" s="123"/>
      <c r="E2483" s="123"/>
      <c r="F2483" s="123"/>
      <c r="G2483" s="114"/>
      <c r="H2483" s="115"/>
    </row>
    <row r="2484" spans="4:8" ht="15.6" x14ac:dyDescent="0.3">
      <c r="D2484" s="123"/>
      <c r="E2484" s="123"/>
      <c r="F2484" s="123"/>
      <c r="G2484" s="114"/>
      <c r="H2484" s="115"/>
    </row>
    <row r="2485" spans="4:8" ht="15.6" x14ac:dyDescent="0.3">
      <c r="D2485" s="123"/>
      <c r="E2485" s="123"/>
      <c r="F2485" s="123"/>
      <c r="G2485" s="114"/>
      <c r="H2485" s="115"/>
    </row>
    <row r="2486" spans="4:8" ht="15.6" x14ac:dyDescent="0.3">
      <c r="D2486" s="123"/>
      <c r="E2486" s="123"/>
      <c r="F2486" s="123"/>
      <c r="G2486" s="114"/>
      <c r="H2486" s="115"/>
    </row>
    <row r="2487" spans="4:8" ht="15.6" x14ac:dyDescent="0.3">
      <c r="D2487" s="123"/>
      <c r="E2487" s="123"/>
      <c r="F2487" s="123"/>
      <c r="G2487" s="114"/>
      <c r="H2487" s="115"/>
    </row>
    <row r="2488" spans="4:8" ht="15.6" x14ac:dyDescent="0.3">
      <c r="D2488" s="123"/>
      <c r="E2488" s="123"/>
      <c r="F2488" s="123"/>
      <c r="G2488" s="114"/>
      <c r="H2488" s="115"/>
    </row>
    <row r="2489" spans="4:8" ht="15.6" x14ac:dyDescent="0.3">
      <c r="D2489" s="123"/>
      <c r="E2489" s="123"/>
      <c r="F2489" s="123"/>
      <c r="G2489" s="114"/>
      <c r="H2489" s="115"/>
    </row>
    <row r="2490" spans="4:8" ht="15.6" x14ac:dyDescent="0.3">
      <c r="D2490" s="123"/>
      <c r="E2490" s="123"/>
      <c r="F2490" s="123"/>
      <c r="G2490" s="114"/>
      <c r="H2490" s="115"/>
    </row>
    <row r="2491" spans="4:8" ht="15.6" x14ac:dyDescent="0.3">
      <c r="D2491" s="123"/>
      <c r="E2491" s="123"/>
      <c r="F2491" s="123"/>
      <c r="G2491" s="114"/>
      <c r="H2491" s="115"/>
    </row>
    <row r="2492" spans="4:8" ht="15.6" x14ac:dyDescent="0.3">
      <c r="D2492" s="123"/>
      <c r="E2492" s="123"/>
      <c r="F2492" s="123"/>
      <c r="G2492" s="114"/>
      <c r="H2492" s="115"/>
    </row>
    <row r="2493" spans="4:8" ht="15.6" x14ac:dyDescent="0.3">
      <c r="D2493" s="123"/>
      <c r="E2493" s="123"/>
      <c r="F2493" s="123"/>
      <c r="G2493" s="114"/>
      <c r="H2493" s="115"/>
    </row>
    <row r="2494" spans="4:8" ht="15.6" x14ac:dyDescent="0.3">
      <c r="D2494" s="123"/>
      <c r="E2494" s="123"/>
      <c r="F2494" s="123"/>
      <c r="G2494" s="114"/>
      <c r="H2494" s="115"/>
    </row>
    <row r="2495" spans="4:8" ht="15.6" x14ac:dyDescent="0.3">
      <c r="D2495" s="123"/>
      <c r="E2495" s="123"/>
      <c r="F2495" s="123"/>
      <c r="G2495" s="114"/>
      <c r="H2495" s="115"/>
    </row>
    <row r="2496" spans="4:8" ht="15.6" x14ac:dyDescent="0.3">
      <c r="D2496" s="123"/>
      <c r="E2496" s="123"/>
      <c r="F2496" s="123"/>
      <c r="G2496" s="114"/>
      <c r="H2496" s="115"/>
    </row>
    <row r="2497" spans="4:8" ht="15.6" x14ac:dyDescent="0.3">
      <c r="D2497" s="123"/>
      <c r="E2497" s="123"/>
      <c r="F2497" s="123"/>
      <c r="G2497" s="114"/>
      <c r="H2497" s="115"/>
    </row>
    <row r="2498" spans="4:8" ht="15.6" x14ac:dyDescent="0.3">
      <c r="D2498" s="123"/>
      <c r="E2498" s="123"/>
      <c r="F2498" s="123"/>
      <c r="G2498" s="114"/>
      <c r="H2498" s="115"/>
    </row>
    <row r="2499" spans="4:8" ht="15.6" x14ac:dyDescent="0.3">
      <c r="D2499" s="123"/>
      <c r="E2499" s="123"/>
      <c r="F2499" s="123"/>
      <c r="G2499" s="114"/>
      <c r="H2499" s="115"/>
    </row>
    <row r="2500" spans="4:8" ht="15.6" x14ac:dyDescent="0.3">
      <c r="D2500" s="123"/>
      <c r="E2500" s="123"/>
      <c r="F2500" s="123"/>
      <c r="G2500" s="114"/>
      <c r="H2500" s="115"/>
    </row>
    <row r="2501" spans="4:8" ht="15.6" x14ac:dyDescent="0.3">
      <c r="D2501" s="123"/>
      <c r="E2501" s="123"/>
      <c r="F2501" s="123"/>
      <c r="G2501" s="114"/>
      <c r="H2501" s="115"/>
    </row>
    <row r="2502" spans="4:8" ht="15.6" x14ac:dyDescent="0.3">
      <c r="D2502" s="123"/>
      <c r="E2502" s="123"/>
      <c r="F2502" s="123"/>
      <c r="G2502" s="114"/>
      <c r="H2502" s="115"/>
    </row>
    <row r="2503" spans="4:8" ht="15.6" x14ac:dyDescent="0.3">
      <c r="D2503" s="123"/>
      <c r="E2503" s="123"/>
      <c r="F2503" s="123"/>
      <c r="G2503" s="114"/>
      <c r="H2503" s="115"/>
    </row>
    <row r="2504" spans="4:8" ht="15.6" x14ac:dyDescent="0.3">
      <c r="D2504" s="123"/>
      <c r="E2504" s="123"/>
      <c r="F2504" s="123"/>
      <c r="G2504" s="114"/>
      <c r="H2504" s="114"/>
    </row>
    <row r="2505" spans="4:8" ht="15.6" x14ac:dyDescent="0.3">
      <c r="D2505" s="123"/>
      <c r="E2505" s="123"/>
      <c r="F2505" s="123"/>
      <c r="G2505" s="114"/>
      <c r="H2505" s="114"/>
    </row>
    <row r="2506" spans="4:8" ht="15.6" x14ac:dyDescent="0.3">
      <c r="D2506" s="123"/>
      <c r="E2506" s="123"/>
      <c r="F2506" s="123"/>
      <c r="G2506" s="114"/>
      <c r="H2506" s="114"/>
    </row>
    <row r="2507" spans="4:8" ht="15.6" x14ac:dyDescent="0.3">
      <c r="D2507" s="123"/>
      <c r="E2507" s="123"/>
      <c r="F2507" s="123"/>
      <c r="G2507" s="114"/>
      <c r="H2507" s="114"/>
    </row>
    <row r="2508" spans="4:8" ht="15.6" x14ac:dyDescent="0.3">
      <c r="D2508" s="123"/>
      <c r="E2508" s="123"/>
      <c r="F2508" s="123"/>
      <c r="G2508" s="114"/>
      <c r="H2508" s="114"/>
    </row>
    <row r="2509" spans="4:8" ht="15.6" x14ac:dyDescent="0.3">
      <c r="D2509" s="123"/>
      <c r="E2509" s="123"/>
      <c r="F2509" s="123"/>
      <c r="G2509" s="114"/>
      <c r="H2509" s="114"/>
    </row>
    <row r="2510" spans="4:8" ht="15.6" x14ac:dyDescent="0.3">
      <c r="D2510" s="123"/>
      <c r="E2510" s="123"/>
      <c r="F2510" s="123"/>
      <c r="G2510" s="114"/>
      <c r="H2510" s="114"/>
    </row>
    <row r="2511" spans="4:8" ht="15.6" x14ac:dyDescent="0.3">
      <c r="D2511" s="123"/>
      <c r="E2511" s="123"/>
      <c r="F2511" s="123"/>
      <c r="G2511" s="114"/>
      <c r="H2511" s="114"/>
    </row>
    <row r="2512" spans="4:8" ht="15.6" x14ac:dyDescent="0.3">
      <c r="D2512" s="123"/>
      <c r="E2512" s="123"/>
      <c r="F2512" s="123"/>
      <c r="G2512" s="114"/>
      <c r="H2512" s="114"/>
    </row>
    <row r="2513" spans="4:8" ht="15.6" x14ac:dyDescent="0.3">
      <c r="D2513" s="123"/>
      <c r="E2513" s="123"/>
      <c r="F2513" s="123"/>
      <c r="G2513" s="114"/>
      <c r="H2513" s="114"/>
    </row>
    <row r="2514" spans="4:8" ht="15.6" x14ac:dyDescent="0.3">
      <c r="D2514" s="123"/>
      <c r="E2514" s="123"/>
      <c r="F2514" s="123"/>
      <c r="G2514" s="114"/>
      <c r="H2514" s="114"/>
    </row>
    <row r="2515" spans="4:8" ht="15.6" x14ac:dyDescent="0.3">
      <c r="D2515" s="123"/>
      <c r="E2515" s="123"/>
      <c r="F2515" s="123"/>
      <c r="G2515" s="114"/>
      <c r="H2515" s="114"/>
    </row>
    <row r="2516" spans="4:8" ht="15.6" x14ac:dyDescent="0.3">
      <c r="D2516" s="123"/>
      <c r="E2516" s="123"/>
      <c r="F2516" s="123"/>
      <c r="G2516" s="114"/>
      <c r="H2516" s="114"/>
    </row>
    <row r="2517" spans="4:8" ht="15.6" x14ac:dyDescent="0.3">
      <c r="D2517" s="123"/>
      <c r="E2517" s="123"/>
      <c r="F2517" s="123"/>
      <c r="G2517" s="114"/>
      <c r="H2517" s="114"/>
    </row>
    <row r="2518" spans="4:8" ht="15.6" x14ac:dyDescent="0.3">
      <c r="D2518" s="123"/>
      <c r="E2518" s="123"/>
      <c r="F2518" s="123"/>
      <c r="G2518" s="114"/>
      <c r="H2518" s="114"/>
    </row>
    <row r="2519" spans="4:8" ht="15.6" x14ac:dyDescent="0.3">
      <c r="D2519" s="123"/>
      <c r="E2519" s="123"/>
      <c r="F2519" s="123"/>
      <c r="G2519" s="114"/>
      <c r="H2519" s="114"/>
    </row>
    <row r="2520" spans="4:8" ht="15.6" x14ac:dyDescent="0.3">
      <c r="D2520" s="123"/>
      <c r="E2520" s="123"/>
      <c r="F2520" s="123"/>
      <c r="G2520" s="114"/>
      <c r="H2520" s="114"/>
    </row>
    <row r="2521" spans="4:8" ht="15.6" x14ac:dyDescent="0.3">
      <c r="D2521" s="123"/>
      <c r="E2521" s="123"/>
      <c r="F2521" s="123"/>
      <c r="G2521" s="114"/>
      <c r="H2521" s="114"/>
    </row>
    <row r="2522" spans="4:8" ht="15.6" x14ac:dyDescent="0.3">
      <c r="D2522" s="123"/>
      <c r="E2522" s="123"/>
      <c r="F2522" s="123"/>
      <c r="G2522" s="114"/>
      <c r="H2522" s="114"/>
    </row>
    <row r="2523" spans="4:8" ht="15.6" x14ac:dyDescent="0.3">
      <c r="D2523" s="123"/>
      <c r="E2523" s="123"/>
      <c r="F2523" s="123"/>
      <c r="G2523" s="114"/>
      <c r="H2523" s="114"/>
    </row>
    <row r="2524" spans="4:8" ht="15.6" x14ac:dyDescent="0.3">
      <c r="D2524" s="123"/>
      <c r="E2524" s="123"/>
      <c r="F2524" s="123"/>
      <c r="G2524" s="114"/>
      <c r="H2524" s="114"/>
    </row>
    <row r="2525" spans="4:8" ht="15.6" x14ac:dyDescent="0.3">
      <c r="D2525" s="123"/>
      <c r="E2525" s="123"/>
      <c r="F2525" s="123"/>
      <c r="G2525" s="114"/>
      <c r="H2525" s="114"/>
    </row>
    <row r="2526" spans="4:8" ht="15.6" x14ac:dyDescent="0.3">
      <c r="D2526" s="123"/>
      <c r="E2526" s="123"/>
      <c r="F2526" s="123"/>
      <c r="G2526" s="114"/>
      <c r="H2526" s="114"/>
    </row>
    <row r="2527" spans="4:8" ht="15.6" x14ac:dyDescent="0.3">
      <c r="D2527" s="123"/>
      <c r="E2527" s="123"/>
      <c r="F2527" s="123"/>
      <c r="G2527" s="114"/>
      <c r="H2527" s="114"/>
    </row>
    <row r="2528" spans="4:8" ht="15.6" x14ac:dyDescent="0.3">
      <c r="D2528" s="123"/>
      <c r="E2528" s="123"/>
      <c r="F2528" s="123"/>
      <c r="G2528" s="114"/>
      <c r="H2528" s="114"/>
    </row>
  </sheetData>
  <mergeCells count="2">
    <mergeCell ref="D5:D6"/>
    <mergeCell ref="G5:G6"/>
  </mergeCells>
  <conditionalFormatting sqref="F7:F519">
    <cfRule type="cellIs" dxfId="10" priority="7" operator="greaterThan">
      <formula>0</formula>
    </cfRule>
    <cfRule type="cellIs" dxfId="9" priority="8" operator="lessThan">
      <formula>0</formula>
    </cfRule>
  </conditionalFormatting>
  <conditionalFormatting sqref="H7:H2502">
    <cfRule type="cellIs" dxfId="8" priority="5" operator="greaterThan">
      <formula>0</formula>
    </cfRule>
  </conditionalFormatting>
  <conditionalFormatting sqref="H7:H2503">
    <cfRule type="cellIs" dxfId="7" priority="6"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18DAB-4AE3-41E5-96E4-9FB219B79D0A}">
  <dimension ref="A1:R2528"/>
  <sheetViews>
    <sheetView showGridLines="0" zoomScale="88" workbookViewId="0">
      <pane ySplit="4" topLeftCell="A5" activePane="bottomLeft" state="frozen"/>
      <selection pane="bottomLeft" activeCell="I11" sqref="I11"/>
    </sheetView>
  </sheetViews>
  <sheetFormatPr defaultColWidth="11.77734375" defaultRowHeight="14.4" x14ac:dyDescent="0.3"/>
  <cols>
    <col min="1" max="3" width="1.33203125" style="1" customWidth="1"/>
    <col min="4" max="4" width="25" style="1" customWidth="1"/>
    <col min="5" max="5" width="18.109375" style="1" customWidth="1"/>
    <col min="6" max="6" width="12.77734375" style="1" customWidth="1"/>
    <col min="7" max="7" width="13" style="1" customWidth="1"/>
    <col min="8" max="8" width="17.77734375" style="15" bestFit="1" customWidth="1"/>
    <col min="9" max="10" width="12.88671875" style="15" bestFit="1" customWidth="1"/>
    <col min="11" max="12" width="11.88671875" style="15" bestFit="1" customWidth="1"/>
    <col min="13" max="16384" width="11.77734375" style="1"/>
  </cols>
  <sheetData>
    <row r="1" spans="1:17" ht="43.8" customHeight="1" x14ac:dyDescent="0.45">
      <c r="A1" s="2" t="s">
        <v>0</v>
      </c>
      <c r="B1" s="3"/>
      <c r="C1" s="3"/>
      <c r="D1" s="3"/>
      <c r="E1" s="3"/>
      <c r="F1" s="3"/>
      <c r="G1" s="3"/>
      <c r="H1" s="3"/>
      <c r="I1" s="3"/>
      <c r="J1" s="3"/>
      <c r="K1" s="3"/>
      <c r="L1" s="3"/>
      <c r="M1" s="7"/>
      <c r="N1" s="3"/>
      <c r="O1" s="3"/>
      <c r="P1" s="3"/>
      <c r="Q1" s="3"/>
    </row>
    <row r="2" spans="1:17" ht="17.399999999999999" customHeight="1" x14ac:dyDescent="0.35">
      <c r="A2" s="4" t="s">
        <v>304</v>
      </c>
      <c r="B2" s="3"/>
      <c r="C2" s="3"/>
      <c r="D2" s="3"/>
      <c r="E2" s="3"/>
      <c r="F2" s="3"/>
      <c r="G2" s="3"/>
      <c r="H2" s="93"/>
      <c r="I2" s="93"/>
      <c r="J2" s="93"/>
      <c r="K2" s="93"/>
      <c r="L2" s="93"/>
      <c r="M2" s="8"/>
      <c r="N2" s="9"/>
      <c r="O2" s="9"/>
      <c r="P2" s="9"/>
      <c r="Q2" s="9"/>
    </row>
    <row r="3" spans="1:17" s="11" customFormat="1" ht="17.399999999999999" customHeight="1" x14ac:dyDescent="0.35">
      <c r="A3" s="10"/>
      <c r="H3" s="12"/>
      <c r="I3" s="12"/>
      <c r="J3" s="12"/>
      <c r="K3" s="12"/>
      <c r="L3" s="12"/>
      <c r="M3" s="13"/>
      <c r="N3" s="13"/>
      <c r="O3" s="13"/>
      <c r="P3" s="13"/>
      <c r="Q3" s="13"/>
    </row>
    <row r="4" spans="1:17" s="11" customFormat="1" ht="17.399999999999999" customHeight="1" x14ac:dyDescent="0.35">
      <c r="A4" s="10"/>
      <c r="B4" s="10"/>
      <c r="D4" s="54"/>
      <c r="E4" s="54"/>
      <c r="F4" s="54"/>
      <c r="G4" s="54"/>
      <c r="H4" s="54"/>
      <c r="I4" s="54"/>
      <c r="J4" s="54"/>
      <c r="K4" s="54"/>
      <c r="L4" s="54"/>
      <c r="M4" s="13"/>
      <c r="N4" s="13"/>
      <c r="O4" s="13"/>
      <c r="P4" s="13"/>
      <c r="Q4" s="13"/>
    </row>
    <row r="5" spans="1:17" s="11" customFormat="1" ht="17.399999999999999" customHeight="1" x14ac:dyDescent="0.35">
      <c r="A5" s="10"/>
      <c r="B5" s="10"/>
      <c r="D5" s="303" t="s">
        <v>305</v>
      </c>
      <c r="E5" s="304" t="s">
        <v>306</v>
      </c>
      <c r="F5" s="113" t="s">
        <v>338</v>
      </c>
      <c r="G5" s="54"/>
      <c r="H5" s="54"/>
      <c r="I5" s="54"/>
      <c r="J5" s="54"/>
      <c r="K5" s="54"/>
      <c r="L5" s="54"/>
      <c r="M5" s="13"/>
      <c r="N5" s="13"/>
      <c r="O5" s="13"/>
      <c r="P5" s="13"/>
      <c r="Q5" s="13"/>
    </row>
    <row r="6" spans="1:17" ht="15.6" x14ac:dyDescent="0.3">
      <c r="C6" s="14"/>
      <c r="D6" s="303"/>
      <c r="E6" s="304"/>
      <c r="F6" s="113" t="s">
        <v>256</v>
      </c>
      <c r="G6" s="21"/>
      <c r="H6" s="31"/>
      <c r="I6" s="32"/>
      <c r="J6" s="32"/>
      <c r="K6" s="31"/>
      <c r="L6" s="31"/>
    </row>
    <row r="7" spans="1:17" ht="15.6" x14ac:dyDescent="0.3">
      <c r="C7" s="14"/>
      <c r="D7" s="145">
        <v>46206</v>
      </c>
      <c r="E7" s="187">
        <v>24270.85</v>
      </c>
      <c r="F7" s="146">
        <f t="shared" ref="F7:F12" si="0">E14/E15-1</f>
        <v>-1.1567072841857318E-2</v>
      </c>
      <c r="G7" s="21"/>
      <c r="H7" s="116" t="s">
        <v>307</v>
      </c>
      <c r="I7" s="117" t="s">
        <v>310</v>
      </c>
      <c r="J7" s="32"/>
      <c r="K7" s="31"/>
      <c r="L7" s="31"/>
    </row>
    <row r="8" spans="1:17" ht="15.6" x14ac:dyDescent="0.3">
      <c r="C8" s="14"/>
      <c r="D8" s="145">
        <v>46205</v>
      </c>
      <c r="E8" s="187">
        <v>24175.7</v>
      </c>
      <c r="F8" s="146">
        <f t="shared" si="0"/>
        <v>3.7396254544395102E-3</v>
      </c>
      <c r="G8" s="21"/>
      <c r="H8" s="118"/>
      <c r="I8" s="119"/>
      <c r="J8" s="32"/>
      <c r="K8" s="31"/>
      <c r="L8" s="31"/>
    </row>
    <row r="9" spans="1:17" ht="15.6" x14ac:dyDescent="0.3">
      <c r="C9" s="14"/>
      <c r="D9" s="145">
        <v>46204</v>
      </c>
      <c r="E9" s="187">
        <v>24005.85</v>
      </c>
      <c r="F9" s="146">
        <f t="shared" si="0"/>
        <v>-6.4093015557763477E-3</v>
      </c>
      <c r="G9" s="21"/>
      <c r="H9" s="118" t="s">
        <v>308</v>
      </c>
      <c r="I9" s="120">
        <f>YEARFRAC(D2483,D7)</f>
        <v>9.9972222222222218</v>
      </c>
      <c r="J9" s="32"/>
      <c r="K9" s="31"/>
      <c r="L9" s="31"/>
    </row>
    <row r="10" spans="1:17" ht="15.6" x14ac:dyDescent="0.3">
      <c r="C10" s="14"/>
      <c r="D10" s="145">
        <v>46203</v>
      </c>
      <c r="E10" s="187">
        <v>23865.75</v>
      </c>
      <c r="F10" s="146">
        <f t="shared" si="0"/>
        <v>3.4169652532414219E-3</v>
      </c>
      <c r="G10" s="21"/>
      <c r="H10" s="118"/>
      <c r="I10" s="119"/>
      <c r="J10" s="32"/>
      <c r="K10" s="31"/>
      <c r="L10" s="31"/>
    </row>
    <row r="11" spans="1:17" ht="15.6" x14ac:dyDescent="0.3">
      <c r="C11" s="14"/>
      <c r="D11" s="145">
        <v>46202</v>
      </c>
      <c r="E11" s="187">
        <v>23946.25</v>
      </c>
      <c r="F11" s="146">
        <f t="shared" si="0"/>
        <v>4.0247361828158468E-3</v>
      </c>
      <c r="G11" s="21"/>
      <c r="H11" s="121" t="s">
        <v>309</v>
      </c>
      <c r="I11" s="122">
        <f>_xlfn.RRI(I9,E2483,E7)</f>
        <v>0.11235949628409636</v>
      </c>
      <c r="J11" s="32"/>
      <c r="K11" s="31"/>
      <c r="L11" s="31"/>
    </row>
    <row r="12" spans="1:17" ht="15.6" x14ac:dyDescent="0.3">
      <c r="C12" s="14"/>
      <c r="D12" s="145">
        <v>46198</v>
      </c>
      <c r="E12" s="187">
        <v>24056</v>
      </c>
      <c r="F12" s="146">
        <f t="shared" si="0"/>
        <v>5.6699323800299961E-3</v>
      </c>
      <c r="G12" s="21"/>
      <c r="H12" s="31"/>
      <c r="I12" s="32"/>
      <c r="J12" s="32"/>
      <c r="K12" s="31"/>
      <c r="L12" s="31"/>
    </row>
    <row r="13" spans="1:17" ht="15.6" x14ac:dyDescent="0.3">
      <c r="C13" s="14"/>
      <c r="D13" s="145">
        <v>46197</v>
      </c>
      <c r="E13" s="187">
        <v>24021.65</v>
      </c>
      <c r="F13" s="146">
        <f t="shared" ref="F13:F19" si="1">E20/E21-1</f>
        <v>9.7786469908436313E-3</v>
      </c>
      <c r="G13" s="21"/>
      <c r="H13" s="31"/>
      <c r="I13" s="32"/>
      <c r="J13" s="32"/>
      <c r="K13" s="31"/>
      <c r="L13" s="31"/>
    </row>
    <row r="14" spans="1:17" ht="15.6" x14ac:dyDescent="0.3">
      <c r="C14" s="14"/>
      <c r="D14" s="145">
        <v>46196</v>
      </c>
      <c r="E14" s="187">
        <v>23824.1</v>
      </c>
      <c r="F14" s="146">
        <f t="shared" si="1"/>
        <v>1.9916586073501108E-2</v>
      </c>
      <c r="G14" s="21"/>
      <c r="H14" s="31"/>
      <c r="I14" s="32"/>
      <c r="J14" s="32"/>
      <c r="K14" s="31"/>
      <c r="L14" s="31"/>
    </row>
    <row r="15" spans="1:17" ht="15.6" x14ac:dyDescent="0.3">
      <c r="C15" s="14"/>
      <c r="D15" s="145">
        <v>46195</v>
      </c>
      <c r="E15" s="187">
        <v>24102.9</v>
      </c>
      <c r="F15" s="146">
        <f t="shared" si="1"/>
        <v>-2.2980880854794883E-3</v>
      </c>
      <c r="G15" s="21"/>
      <c r="H15" s="31"/>
      <c r="I15" s="32"/>
      <c r="J15" s="32"/>
      <c r="K15" s="31"/>
      <c r="L15" s="31"/>
    </row>
    <row r="16" spans="1:17" ht="15.6" x14ac:dyDescent="0.3">
      <c r="C16" s="14"/>
      <c r="D16" s="145">
        <v>46192</v>
      </c>
      <c r="E16" s="187">
        <v>24013.1</v>
      </c>
      <c r="F16" s="146">
        <f t="shared" si="1"/>
        <v>-1.1681388514805935E-3</v>
      </c>
      <c r="G16" s="21"/>
      <c r="H16" s="31"/>
      <c r="I16" s="32"/>
      <c r="J16" s="32"/>
      <c r="K16" s="31"/>
      <c r="L16" s="31"/>
    </row>
    <row r="17" spans="3:12" ht="15.6" x14ac:dyDescent="0.3">
      <c r="C17" s="14"/>
      <c r="D17" s="145">
        <v>46191</v>
      </c>
      <c r="E17" s="187">
        <v>24168</v>
      </c>
      <c r="F17" s="146">
        <f t="shared" si="1"/>
        <v>5.1507157375771939E-3</v>
      </c>
      <c r="G17" s="21"/>
      <c r="H17" s="31"/>
      <c r="I17" s="32"/>
      <c r="J17" s="32"/>
      <c r="K17" s="31"/>
      <c r="L17" s="31"/>
    </row>
    <row r="18" spans="3:12" ht="15.6" x14ac:dyDescent="0.3">
      <c r="C18" s="14"/>
      <c r="D18" s="145">
        <v>46190</v>
      </c>
      <c r="E18" s="187">
        <v>24085.7</v>
      </c>
      <c r="F18" s="146">
        <f t="shared" si="1"/>
        <v>-1.0429371712736502E-2</v>
      </c>
      <c r="G18" s="21"/>
      <c r="H18" s="31"/>
      <c r="I18" s="32"/>
      <c r="J18" s="32"/>
      <c r="K18" s="31"/>
      <c r="L18" s="31"/>
    </row>
    <row r="19" spans="3:12" ht="15.6" x14ac:dyDescent="0.3">
      <c r="C19" s="14"/>
      <c r="D19" s="145">
        <v>46189</v>
      </c>
      <c r="E19" s="187">
        <v>23989.15</v>
      </c>
      <c r="F19" s="146">
        <f t="shared" si="1"/>
        <v>-2.1288362290772245E-3</v>
      </c>
      <c r="G19" s="21"/>
      <c r="H19" s="31"/>
      <c r="I19" s="32"/>
      <c r="J19" s="32"/>
      <c r="K19" s="31"/>
      <c r="L19" s="31"/>
    </row>
    <row r="20" spans="3:12" ht="15.6" x14ac:dyDescent="0.3">
      <c r="C20" s="14"/>
      <c r="D20" s="145">
        <v>46188</v>
      </c>
      <c r="E20" s="187">
        <v>23853.9</v>
      </c>
      <c r="F20" s="146">
        <f t="shared" ref="F20" si="2">E20/E21-1</f>
        <v>9.7786469908436313E-3</v>
      </c>
      <c r="G20" s="21"/>
      <c r="H20" s="31"/>
      <c r="I20" s="32"/>
      <c r="J20" s="32"/>
      <c r="K20" s="31"/>
      <c r="L20" s="31"/>
    </row>
    <row r="21" spans="3:12" ht="15.6" x14ac:dyDescent="0.3">
      <c r="C21" s="14"/>
      <c r="D21" s="145">
        <v>46185</v>
      </c>
      <c r="E21" s="187">
        <v>23622.9</v>
      </c>
      <c r="F21" s="146">
        <f t="shared" ref="F21:F25" si="3">E21/E22-1</f>
        <v>1.9916586073501108E-2</v>
      </c>
      <c r="G21" s="21"/>
      <c r="H21" s="31"/>
      <c r="I21" s="32"/>
      <c r="J21" s="32"/>
      <c r="K21" s="31"/>
      <c r="L21" s="31"/>
    </row>
    <row r="22" spans="3:12" ht="15.6" x14ac:dyDescent="0.3">
      <c r="C22" s="14"/>
      <c r="D22" s="145">
        <v>46184</v>
      </c>
      <c r="E22" s="187">
        <v>23161.599999999999</v>
      </c>
      <c r="F22" s="146">
        <f t="shared" si="3"/>
        <v>-2.2980880854794883E-3</v>
      </c>
      <c r="G22" s="21"/>
      <c r="H22" s="31"/>
      <c r="I22" s="32"/>
      <c r="J22" s="32"/>
      <c r="K22" s="31"/>
      <c r="L22" s="31"/>
    </row>
    <row r="23" spans="3:12" ht="15.6" x14ac:dyDescent="0.3">
      <c r="C23" s="14"/>
      <c r="D23" s="145">
        <v>46183</v>
      </c>
      <c r="E23" s="187">
        <v>23214.95</v>
      </c>
      <c r="F23" s="146">
        <f t="shared" si="3"/>
        <v>-1.1681388514805935E-3</v>
      </c>
      <c r="G23" s="21"/>
      <c r="H23" s="31"/>
      <c r="I23" s="32"/>
      <c r="J23" s="32"/>
      <c r="K23" s="31"/>
      <c r="L23" s="31"/>
    </row>
    <row r="24" spans="3:12" ht="15.6" x14ac:dyDescent="0.3">
      <c r="C24" s="14"/>
      <c r="D24" s="145">
        <v>46182</v>
      </c>
      <c r="E24" s="187">
        <v>23242.1</v>
      </c>
      <c r="F24" s="146">
        <f t="shared" si="3"/>
        <v>5.1507157375771939E-3</v>
      </c>
      <c r="G24" s="21"/>
      <c r="H24" s="31"/>
      <c r="I24" s="32"/>
      <c r="J24" s="32"/>
      <c r="K24" s="31"/>
      <c r="L24" s="31"/>
    </row>
    <row r="25" spans="3:12" ht="15.6" x14ac:dyDescent="0.3">
      <c r="C25" s="14"/>
      <c r="D25" s="145">
        <v>46181</v>
      </c>
      <c r="E25" s="187">
        <v>23123</v>
      </c>
      <c r="F25" s="146">
        <f t="shared" si="3"/>
        <v>-1.0429371712736502E-2</v>
      </c>
      <c r="G25" s="21"/>
      <c r="H25" s="31"/>
      <c r="I25" s="32"/>
      <c r="J25" s="32"/>
      <c r="K25" s="31"/>
      <c r="L25" s="31"/>
    </row>
    <row r="26" spans="3:12" ht="15.6" x14ac:dyDescent="0.3">
      <c r="C26" s="22"/>
      <c r="D26" s="145">
        <v>46178</v>
      </c>
      <c r="E26" s="187">
        <v>23366.7</v>
      </c>
      <c r="F26" s="146">
        <f>E26/E27-1</f>
        <v>-2.1288362290772245E-3</v>
      </c>
      <c r="G26" s="21"/>
      <c r="J26" s="61"/>
      <c r="K26" s="61"/>
      <c r="L26" s="61"/>
    </row>
    <row r="27" spans="3:12" ht="15.6" x14ac:dyDescent="0.3">
      <c r="D27" s="145">
        <v>46177</v>
      </c>
      <c r="E27" s="187">
        <v>23416.55</v>
      </c>
      <c r="F27" s="146">
        <f t="shared" ref="F27:F90" si="4">E27/E28-1</f>
        <v>4.6783675701544958E-4</v>
      </c>
      <c r="G27" s="21"/>
      <c r="J27" s="65"/>
      <c r="K27" s="65"/>
      <c r="L27" s="65"/>
    </row>
    <row r="28" spans="3:12" ht="15.6" x14ac:dyDescent="0.3">
      <c r="D28" s="145">
        <v>46176</v>
      </c>
      <c r="E28" s="187">
        <v>23405.599999999999</v>
      </c>
      <c r="F28" s="146">
        <f t="shared" si="4"/>
        <v>-3.3193448179683616E-3</v>
      </c>
      <c r="G28" s="21"/>
      <c r="J28" s="57"/>
      <c r="K28" s="57"/>
      <c r="L28" s="57"/>
    </row>
    <row r="29" spans="3:12" ht="15.6" x14ac:dyDescent="0.3">
      <c r="C29" s="14"/>
      <c r="D29" s="145">
        <v>46175</v>
      </c>
      <c r="E29" s="187">
        <v>23483.55</v>
      </c>
      <c r="F29" s="146">
        <f t="shared" si="4"/>
        <v>4.3173128736753164E-3</v>
      </c>
      <c r="G29" s="21"/>
      <c r="J29" s="65"/>
      <c r="K29" s="65"/>
      <c r="L29" s="65"/>
    </row>
    <row r="30" spans="3:12" ht="15.6" x14ac:dyDescent="0.3">
      <c r="D30" s="145">
        <v>46174</v>
      </c>
      <c r="E30" s="187">
        <v>23382.6</v>
      </c>
      <c r="F30" s="146">
        <f t="shared" si="4"/>
        <v>-7.0134089244195952E-3</v>
      </c>
      <c r="G30" s="21"/>
      <c r="J30" s="31"/>
      <c r="K30" s="31"/>
      <c r="L30" s="31"/>
    </row>
    <row r="31" spans="3:12" ht="15.6" x14ac:dyDescent="0.3">
      <c r="D31" s="145">
        <v>46171</v>
      </c>
      <c r="E31" s="187">
        <v>23547.75</v>
      </c>
      <c r="F31" s="146">
        <f t="shared" si="4"/>
        <v>-1.5033159535954743E-2</v>
      </c>
      <c r="G31" s="21"/>
      <c r="H31" s="31"/>
      <c r="I31" s="31"/>
      <c r="J31" s="31"/>
      <c r="K31" s="31"/>
      <c r="L31" s="31"/>
    </row>
    <row r="32" spans="3:12" ht="15.6" x14ac:dyDescent="0.3">
      <c r="D32" s="145">
        <v>46169</v>
      </c>
      <c r="E32" s="187">
        <v>23907.15</v>
      </c>
      <c r="F32" s="146">
        <f t="shared" si="4"/>
        <v>-2.7390157106588209E-4</v>
      </c>
      <c r="G32" s="21"/>
      <c r="H32" s="31"/>
      <c r="I32" s="31"/>
      <c r="J32" s="31"/>
      <c r="K32" s="31"/>
      <c r="L32" s="31"/>
    </row>
    <row r="33" spans="4:12" ht="15.6" x14ac:dyDescent="0.3">
      <c r="D33" s="145">
        <v>46168</v>
      </c>
      <c r="E33" s="187">
        <v>23913.7</v>
      </c>
      <c r="F33" s="146">
        <f t="shared" si="4"/>
        <v>-4.9101811357498137E-3</v>
      </c>
      <c r="G33" s="21"/>
      <c r="H33" s="31"/>
      <c r="I33" s="31"/>
      <c r="J33" s="31"/>
      <c r="K33" s="31"/>
      <c r="L33" s="31"/>
    </row>
    <row r="34" spans="4:12" ht="15.6" x14ac:dyDescent="0.3">
      <c r="D34" s="145">
        <v>46167</v>
      </c>
      <c r="E34" s="187">
        <v>24031.7</v>
      </c>
      <c r="F34" s="146">
        <f t="shared" si="4"/>
        <v>1.3170709085006838E-2</v>
      </c>
      <c r="G34" s="21"/>
      <c r="H34" s="31"/>
      <c r="I34" s="31"/>
      <c r="J34" s="31"/>
      <c r="K34" s="31"/>
      <c r="L34" s="31"/>
    </row>
    <row r="35" spans="4:12" ht="15.6" x14ac:dyDescent="0.3">
      <c r="D35" s="145">
        <v>46164</v>
      </c>
      <c r="E35" s="187">
        <v>23719.3</v>
      </c>
      <c r="F35" s="146">
        <f t="shared" si="4"/>
        <v>2.7309583296342144E-3</v>
      </c>
      <c r="G35" s="21"/>
      <c r="H35" s="31"/>
      <c r="I35" s="31"/>
      <c r="J35" s="31"/>
      <c r="K35" s="31"/>
      <c r="L35" s="31"/>
    </row>
    <row r="36" spans="4:12" ht="15.6" x14ac:dyDescent="0.3">
      <c r="D36" s="145">
        <v>46163</v>
      </c>
      <c r="E36" s="187">
        <v>23654.7</v>
      </c>
      <c r="F36" s="146">
        <f t="shared" si="4"/>
        <v>-1.8174901728729154E-4</v>
      </c>
      <c r="G36" s="21"/>
      <c r="H36" s="31"/>
      <c r="I36" s="31"/>
      <c r="J36" s="31"/>
      <c r="K36" s="31"/>
      <c r="L36" s="31"/>
    </row>
    <row r="37" spans="4:12" ht="15.6" x14ac:dyDescent="0.3">
      <c r="D37" s="145">
        <v>46162</v>
      </c>
      <c r="E37" s="187">
        <v>23659</v>
      </c>
      <c r="F37" s="146">
        <f t="shared" si="4"/>
        <v>1.7359640951817301E-3</v>
      </c>
      <c r="G37" s="21"/>
      <c r="H37" s="31"/>
      <c r="I37" s="31"/>
      <c r="J37" s="31"/>
      <c r="K37" s="31"/>
      <c r="L37" s="31"/>
    </row>
    <row r="38" spans="4:12" ht="15.6" x14ac:dyDescent="0.3">
      <c r="D38" s="145">
        <v>46161</v>
      </c>
      <c r="E38" s="187">
        <v>23618</v>
      </c>
      <c r="F38" s="146">
        <f t="shared" si="4"/>
        <v>-1.3509542303472566E-3</v>
      </c>
      <c r="G38" s="21"/>
      <c r="H38" s="31"/>
      <c r="I38" s="31"/>
      <c r="J38" s="31"/>
      <c r="K38" s="31"/>
      <c r="L38" s="31"/>
    </row>
    <row r="39" spans="4:12" ht="15.6" x14ac:dyDescent="0.3">
      <c r="D39" s="145">
        <v>46160</v>
      </c>
      <c r="E39" s="187">
        <v>23649.95</v>
      </c>
      <c r="F39" s="146">
        <f t="shared" si="4"/>
        <v>2.7280225008996517E-4</v>
      </c>
      <c r="G39" s="21"/>
      <c r="H39" s="31"/>
      <c r="I39" s="31"/>
      <c r="J39" s="31"/>
      <c r="K39" s="31"/>
      <c r="L39" s="31"/>
    </row>
    <row r="40" spans="4:12" ht="15.6" x14ac:dyDescent="0.3">
      <c r="D40" s="145">
        <v>46157</v>
      </c>
      <c r="E40" s="187">
        <v>23643.5</v>
      </c>
      <c r="F40" s="146">
        <f t="shared" si="4"/>
        <v>-1.946001620964366E-3</v>
      </c>
      <c r="G40" s="21"/>
      <c r="H40" s="31"/>
      <c r="I40" s="31"/>
      <c r="J40" s="31"/>
      <c r="K40" s="31"/>
      <c r="L40" s="31"/>
    </row>
    <row r="41" spans="4:12" ht="15.6" x14ac:dyDescent="0.3">
      <c r="D41" s="145">
        <v>46156</v>
      </c>
      <c r="E41" s="187">
        <v>23689.599999999999</v>
      </c>
      <c r="F41" s="146">
        <f t="shared" si="4"/>
        <v>1.1831236171975679E-2</v>
      </c>
      <c r="G41" s="21"/>
      <c r="H41" s="31"/>
      <c r="I41" s="31"/>
      <c r="J41" s="31"/>
      <c r="K41" s="31"/>
      <c r="L41" s="31"/>
    </row>
    <row r="42" spans="4:12" ht="15.6" x14ac:dyDescent="0.3">
      <c r="D42" s="145">
        <v>46155</v>
      </c>
      <c r="E42" s="187">
        <v>23412.6</v>
      </c>
      <c r="F42" s="146">
        <f t="shared" si="4"/>
        <v>1.4136285771111368E-3</v>
      </c>
      <c r="G42" s="21"/>
      <c r="H42" s="31"/>
      <c r="I42" s="31"/>
      <c r="J42" s="31"/>
      <c r="K42" s="31"/>
      <c r="L42" s="31"/>
    </row>
    <row r="43" spans="4:12" ht="15.6" x14ac:dyDescent="0.3">
      <c r="D43" s="145">
        <v>46154</v>
      </c>
      <c r="E43" s="187">
        <v>23379.55</v>
      </c>
      <c r="F43" s="146">
        <f t="shared" si="4"/>
        <v>-1.8319732447088732E-2</v>
      </c>
      <c r="G43" s="21"/>
      <c r="H43" s="31"/>
      <c r="I43" s="31"/>
      <c r="J43" s="31"/>
      <c r="K43" s="31"/>
      <c r="L43" s="31"/>
    </row>
    <row r="44" spans="4:12" ht="15.6" x14ac:dyDescent="0.3">
      <c r="D44" s="145">
        <v>46153</v>
      </c>
      <c r="E44" s="187">
        <v>23815.85</v>
      </c>
      <c r="F44" s="146">
        <f t="shared" si="4"/>
        <v>-1.4903117328441629E-2</v>
      </c>
      <c r="G44" s="21"/>
      <c r="H44" s="31"/>
      <c r="I44" s="31"/>
      <c r="J44" s="31"/>
      <c r="K44" s="31"/>
      <c r="L44" s="31"/>
    </row>
    <row r="45" spans="4:12" ht="15.6" x14ac:dyDescent="0.3">
      <c r="D45" s="145">
        <v>46150</v>
      </c>
      <c r="E45" s="187">
        <v>24176.15</v>
      </c>
      <c r="F45" s="146">
        <f t="shared" si="4"/>
        <v>-6.1866307115858721E-3</v>
      </c>
      <c r="G45" s="21"/>
      <c r="H45" s="31"/>
      <c r="I45" s="31"/>
      <c r="J45" s="31"/>
      <c r="K45" s="31"/>
      <c r="L45" s="31"/>
    </row>
    <row r="46" spans="4:12" ht="15.6" x14ac:dyDescent="0.3">
      <c r="D46" s="145">
        <v>46149</v>
      </c>
      <c r="E46" s="187">
        <v>24326.65</v>
      </c>
      <c r="F46" s="146">
        <f t="shared" si="4"/>
        <v>-1.7672963858783586E-4</v>
      </c>
      <c r="G46" s="21"/>
      <c r="H46" s="31"/>
      <c r="I46" s="31"/>
      <c r="J46" s="31"/>
      <c r="K46" s="31"/>
      <c r="L46" s="31"/>
    </row>
    <row r="47" spans="4:12" ht="15.6" x14ac:dyDescent="0.3">
      <c r="D47" s="145">
        <v>46148</v>
      </c>
      <c r="E47" s="187">
        <v>24330.95</v>
      </c>
      <c r="F47" s="146">
        <f t="shared" si="4"/>
        <v>1.2405961852135494E-2</v>
      </c>
      <c r="G47" s="21"/>
      <c r="H47" s="31"/>
      <c r="I47" s="31"/>
      <c r="J47" s="31"/>
      <c r="K47" s="31"/>
      <c r="L47" s="31"/>
    </row>
    <row r="48" spans="4:12" ht="15.6" x14ac:dyDescent="0.3">
      <c r="D48" s="145">
        <v>46147</v>
      </c>
      <c r="E48" s="187">
        <v>24032.799999999999</v>
      </c>
      <c r="F48" s="146">
        <f t="shared" si="4"/>
        <v>-3.5863395703855661E-3</v>
      </c>
      <c r="G48" s="21"/>
      <c r="H48" s="31"/>
      <c r="I48" s="31"/>
      <c r="J48" s="31"/>
      <c r="K48" s="31"/>
      <c r="L48" s="31"/>
    </row>
    <row r="49" spans="4:15" ht="15.6" x14ac:dyDescent="0.3">
      <c r="D49" s="145">
        <v>46146</v>
      </c>
      <c r="E49" s="187">
        <v>24119.3</v>
      </c>
      <c r="F49" s="146">
        <f t="shared" si="4"/>
        <v>5.0734345797800451E-3</v>
      </c>
      <c r="G49" s="21"/>
      <c r="H49" s="31"/>
      <c r="I49" s="31"/>
      <c r="J49" s="31"/>
      <c r="K49" s="31"/>
      <c r="L49" s="31"/>
    </row>
    <row r="50" spans="4:15" ht="15.6" x14ac:dyDescent="0.3">
      <c r="D50" s="145">
        <v>46142</v>
      </c>
      <c r="E50" s="187">
        <v>23997.55</v>
      </c>
      <c r="F50" s="146">
        <f t="shared" si="4"/>
        <v>-7.4490283381554168E-3</v>
      </c>
      <c r="G50" s="21"/>
      <c r="H50" s="31"/>
      <c r="I50" s="31"/>
      <c r="J50" s="31"/>
      <c r="K50" s="31"/>
      <c r="L50" s="31"/>
    </row>
    <row r="51" spans="4:15" ht="15.6" x14ac:dyDescent="0.3">
      <c r="D51" s="145">
        <v>46141</v>
      </c>
      <c r="E51" s="187">
        <v>24177.65</v>
      </c>
      <c r="F51" s="146">
        <f t="shared" si="4"/>
        <v>7.5826085506986995E-3</v>
      </c>
      <c r="G51" s="21"/>
      <c r="H51" s="31"/>
      <c r="I51" s="31"/>
      <c r="J51" s="31"/>
      <c r="K51" s="31"/>
      <c r="L51" s="31"/>
    </row>
    <row r="52" spans="4:15" ht="15.6" x14ac:dyDescent="0.3">
      <c r="D52" s="145">
        <v>46140</v>
      </c>
      <c r="E52" s="187">
        <v>23995.7</v>
      </c>
      <c r="F52" s="146">
        <f t="shared" si="4"/>
        <v>-4.0261157944107007E-3</v>
      </c>
      <c r="G52" s="21"/>
      <c r="H52" s="31"/>
      <c r="I52" s="31"/>
      <c r="J52" s="31"/>
      <c r="K52" s="31"/>
      <c r="L52" s="31"/>
    </row>
    <row r="53" spans="4:15" ht="15.6" x14ac:dyDescent="0.3">
      <c r="D53" s="145">
        <v>46139</v>
      </c>
      <c r="E53" s="187">
        <v>24092.7</v>
      </c>
      <c r="F53" s="146">
        <f t="shared" si="4"/>
        <v>8.1492345577758307E-3</v>
      </c>
      <c r="G53" s="21"/>
      <c r="H53" s="31"/>
      <c r="I53" s="31"/>
      <c r="J53" s="31"/>
      <c r="K53" s="31"/>
      <c r="L53" s="31"/>
    </row>
    <row r="54" spans="4:15" ht="15.6" x14ac:dyDescent="0.3">
      <c r="D54" s="145">
        <v>46136</v>
      </c>
      <c r="E54" s="187">
        <v>23897.95</v>
      </c>
      <c r="F54" s="146">
        <f t="shared" si="4"/>
        <v>-1.1380442269386726E-2</v>
      </c>
      <c r="G54" s="21"/>
      <c r="H54" s="31"/>
      <c r="I54" s="31"/>
      <c r="J54" s="31"/>
      <c r="K54" s="31"/>
      <c r="L54" s="31"/>
    </row>
    <row r="55" spans="4:15" ht="15.6" x14ac:dyDescent="0.3">
      <c r="D55" s="145">
        <v>46135</v>
      </c>
      <c r="E55" s="187">
        <v>24173.05</v>
      </c>
      <c r="F55" s="146">
        <f t="shared" si="4"/>
        <v>-8.4112379553779038E-3</v>
      </c>
      <c r="G55" s="21"/>
      <c r="H55" s="31"/>
      <c r="I55" s="31"/>
      <c r="J55" s="31"/>
      <c r="K55" s="31"/>
      <c r="L55" s="31"/>
    </row>
    <row r="56" spans="4:15" ht="15.6" x14ac:dyDescent="0.3">
      <c r="D56" s="145">
        <v>46134</v>
      </c>
      <c r="E56" s="187">
        <v>24378.1</v>
      </c>
      <c r="F56" s="146">
        <f t="shared" si="4"/>
        <v>-8.0767884898643727E-3</v>
      </c>
      <c r="G56" s="21"/>
      <c r="H56" s="31"/>
      <c r="I56" s="31"/>
      <c r="J56" s="31"/>
      <c r="K56" s="31"/>
      <c r="L56" s="31"/>
    </row>
    <row r="57" spans="4:15" ht="15.6" x14ac:dyDescent="0.3">
      <c r="D57" s="145">
        <v>46133</v>
      </c>
      <c r="E57" s="187">
        <v>24576.6</v>
      </c>
      <c r="F57" s="146">
        <f t="shared" si="4"/>
        <v>8.690798424779933E-3</v>
      </c>
      <c r="G57" s="21"/>
      <c r="H57" s="31"/>
      <c r="I57" s="31"/>
      <c r="J57" s="31"/>
      <c r="K57" s="31"/>
      <c r="L57" s="31"/>
    </row>
    <row r="58" spans="4:15" ht="15.6" x14ac:dyDescent="0.3">
      <c r="D58" s="145">
        <v>46132</v>
      </c>
      <c r="E58" s="187">
        <v>24364.85</v>
      </c>
      <c r="F58" s="146">
        <f t="shared" si="4"/>
        <v>4.6399806188412995E-4</v>
      </c>
      <c r="G58" s="21"/>
      <c r="H58" s="31"/>
      <c r="I58" s="31"/>
      <c r="J58" s="31"/>
      <c r="K58" s="31"/>
      <c r="L58" s="31"/>
      <c r="N58" s="24"/>
      <c r="O58" s="24"/>
    </row>
    <row r="59" spans="4:15" ht="15.6" x14ac:dyDescent="0.3">
      <c r="D59" s="145">
        <v>46129</v>
      </c>
      <c r="E59" s="187">
        <v>24353.55</v>
      </c>
      <c r="F59" s="146">
        <f t="shared" si="4"/>
        <v>6.4802091189932742E-3</v>
      </c>
      <c r="G59" s="21"/>
      <c r="H59" s="59"/>
      <c r="I59" s="59"/>
      <c r="J59" s="59"/>
      <c r="K59" s="59"/>
      <c r="L59" s="59"/>
    </row>
    <row r="60" spans="4:15" ht="15.6" x14ac:dyDescent="0.3">
      <c r="D60" s="145">
        <v>46128</v>
      </c>
      <c r="E60" s="187">
        <v>24196.75</v>
      </c>
      <c r="F60" s="146">
        <f t="shared" si="4"/>
        <v>-1.4258417831481962E-3</v>
      </c>
      <c r="H60" s="27"/>
      <c r="I60" s="27"/>
      <c r="J60" s="27"/>
      <c r="K60" s="27"/>
      <c r="L60" s="27"/>
    </row>
    <row r="61" spans="4:15" ht="15.6" x14ac:dyDescent="0.3">
      <c r="D61" s="145">
        <v>46127</v>
      </c>
      <c r="E61" s="187">
        <v>24231.3</v>
      </c>
      <c r="F61" s="146">
        <f t="shared" si="4"/>
        <v>1.6300620946077649E-2</v>
      </c>
      <c r="H61" s="24"/>
      <c r="I61" s="24"/>
      <c r="J61" s="24"/>
      <c r="K61" s="24"/>
      <c r="L61" s="24"/>
    </row>
    <row r="62" spans="4:15" ht="15.6" x14ac:dyDescent="0.3">
      <c r="D62" s="145">
        <v>46125</v>
      </c>
      <c r="E62" s="187">
        <v>23842.65</v>
      </c>
      <c r="F62" s="146">
        <f t="shared" si="4"/>
        <v>-8.6463539371157694E-3</v>
      </c>
      <c r="H62" s="24"/>
      <c r="I62" s="24"/>
      <c r="J62" s="24"/>
      <c r="K62" s="24"/>
      <c r="L62" s="26"/>
    </row>
    <row r="63" spans="4:15" ht="15.6" x14ac:dyDescent="0.3">
      <c r="D63" s="145">
        <v>46122</v>
      </c>
      <c r="E63" s="187">
        <v>24050.6</v>
      </c>
      <c r="F63" s="146">
        <f t="shared" si="4"/>
        <v>1.1587753574117565E-2</v>
      </c>
      <c r="H63" s="24"/>
      <c r="I63" s="24"/>
      <c r="J63" s="24"/>
      <c r="K63" s="24"/>
      <c r="L63" s="24"/>
    </row>
    <row r="64" spans="4:15" ht="15.6" x14ac:dyDescent="0.3">
      <c r="D64" s="145">
        <v>46121</v>
      </c>
      <c r="E64" s="187">
        <v>23775.1</v>
      </c>
      <c r="F64" s="146">
        <f t="shared" si="4"/>
        <v>-9.2614392839209803E-3</v>
      </c>
      <c r="H64" s="24"/>
      <c r="I64" s="24"/>
      <c r="J64" s="24"/>
      <c r="K64" s="24"/>
      <c r="L64" s="24"/>
    </row>
    <row r="65" spans="4:12" ht="15.6" x14ac:dyDescent="0.3">
      <c r="D65" s="145">
        <v>46120</v>
      </c>
      <c r="E65" s="187">
        <v>23997.35</v>
      </c>
      <c r="F65" s="146">
        <f t="shared" si="4"/>
        <v>3.7783827380192925E-2</v>
      </c>
      <c r="H65" s="24"/>
      <c r="I65" s="24"/>
      <c r="J65" s="24"/>
      <c r="K65" s="24"/>
      <c r="L65" s="24"/>
    </row>
    <row r="66" spans="4:12" ht="15.6" x14ac:dyDescent="0.3">
      <c r="D66" s="145">
        <v>46119</v>
      </c>
      <c r="E66" s="187">
        <v>23123.65</v>
      </c>
      <c r="F66" s="146">
        <f t="shared" si="4"/>
        <v>6.7658615697756552E-3</v>
      </c>
      <c r="H66" s="27"/>
      <c r="I66" s="27"/>
      <c r="J66" s="27"/>
      <c r="K66" s="27"/>
      <c r="L66" s="27"/>
    </row>
    <row r="67" spans="4:12" ht="15.6" x14ac:dyDescent="0.3">
      <c r="D67" s="145">
        <v>46118</v>
      </c>
      <c r="E67" s="187">
        <v>22968.25</v>
      </c>
      <c r="F67" s="146">
        <f t="shared" si="4"/>
        <v>1.123360527625028E-2</v>
      </c>
      <c r="H67" s="27"/>
      <c r="I67" s="27"/>
      <c r="J67" s="27"/>
      <c r="K67" s="27"/>
      <c r="L67" s="27"/>
    </row>
    <row r="68" spans="4:12" ht="15.6" x14ac:dyDescent="0.3">
      <c r="D68" s="145">
        <v>46114</v>
      </c>
      <c r="E68" s="187">
        <v>22713.1</v>
      </c>
      <c r="F68" s="146">
        <f t="shared" si="4"/>
        <v>1.4859299628737777E-3</v>
      </c>
      <c r="H68" s="27"/>
      <c r="I68" s="27"/>
      <c r="J68" s="27"/>
      <c r="K68" s="27"/>
      <c r="L68" s="27"/>
    </row>
    <row r="69" spans="4:12" ht="15.6" x14ac:dyDescent="0.3">
      <c r="D69" s="145">
        <v>46113</v>
      </c>
      <c r="E69" s="187">
        <v>22679.4</v>
      </c>
      <c r="F69" s="146">
        <f t="shared" si="4"/>
        <v>1.5583438566323604E-2</v>
      </c>
      <c r="H69" s="24"/>
      <c r="I69" s="24"/>
      <c r="J69" s="24"/>
      <c r="K69" s="24"/>
      <c r="L69" s="27"/>
    </row>
    <row r="70" spans="4:12" ht="15.6" x14ac:dyDescent="0.3">
      <c r="D70" s="145">
        <v>46111</v>
      </c>
      <c r="E70" s="187">
        <v>22331.4</v>
      </c>
      <c r="F70" s="146">
        <f t="shared" si="4"/>
        <v>-2.1393889463443561E-2</v>
      </c>
      <c r="H70" s="27"/>
      <c r="I70" s="27"/>
      <c r="J70" s="27"/>
      <c r="K70" s="27"/>
      <c r="L70" s="27"/>
    </row>
    <row r="71" spans="4:12" ht="15.6" x14ac:dyDescent="0.3">
      <c r="D71" s="145">
        <v>46108</v>
      </c>
      <c r="E71" s="187">
        <v>22819.599999999999</v>
      </c>
      <c r="F71" s="146">
        <f t="shared" si="4"/>
        <v>-2.0889067189554966E-2</v>
      </c>
      <c r="H71" s="24"/>
      <c r="I71" s="24"/>
      <c r="J71" s="24"/>
      <c r="K71" s="24"/>
      <c r="L71" s="26"/>
    </row>
    <row r="72" spans="4:12" ht="15.6" x14ac:dyDescent="0.3">
      <c r="D72" s="145">
        <v>46106</v>
      </c>
      <c r="E72" s="187">
        <v>23306.45</v>
      </c>
      <c r="F72" s="146">
        <f t="shared" si="4"/>
        <v>1.7198111066496713E-2</v>
      </c>
      <c r="H72" s="24"/>
      <c r="I72" s="24"/>
      <c r="J72" s="24"/>
      <c r="K72" s="24"/>
      <c r="L72" s="24"/>
    </row>
    <row r="73" spans="4:12" ht="15.6" x14ac:dyDescent="0.3">
      <c r="D73" s="145">
        <v>46105</v>
      </c>
      <c r="E73" s="187">
        <v>22912.400000000001</v>
      </c>
      <c r="F73" s="146">
        <f t="shared" si="4"/>
        <v>1.7756683464629885E-2</v>
      </c>
      <c r="H73" s="27"/>
      <c r="I73" s="24"/>
      <c r="J73" s="24"/>
      <c r="K73" s="24"/>
      <c r="L73" s="24"/>
    </row>
    <row r="74" spans="4:12" ht="15.6" x14ac:dyDescent="0.3">
      <c r="D74" s="145">
        <v>46104</v>
      </c>
      <c r="E74" s="187">
        <v>22512.65</v>
      </c>
      <c r="F74" s="146">
        <f t="shared" si="4"/>
        <v>-2.6037768500291936E-2</v>
      </c>
      <c r="H74" s="24"/>
      <c r="I74" s="24"/>
      <c r="J74" s="24"/>
      <c r="K74" s="24"/>
      <c r="L74" s="24"/>
    </row>
    <row r="75" spans="4:12" ht="15.6" x14ac:dyDescent="0.3">
      <c r="D75" s="145">
        <v>46101</v>
      </c>
      <c r="E75" s="187">
        <v>23114.5</v>
      </c>
      <c r="F75" s="146">
        <f t="shared" si="4"/>
        <v>4.8843260303927938E-3</v>
      </c>
      <c r="H75" s="24"/>
      <c r="I75" s="24"/>
      <c r="J75" s="24"/>
      <c r="K75" s="24"/>
      <c r="L75" s="24"/>
    </row>
    <row r="76" spans="4:12" ht="15.6" x14ac:dyDescent="0.3">
      <c r="D76" s="145">
        <v>46100</v>
      </c>
      <c r="E76" s="187">
        <v>23002.15</v>
      </c>
      <c r="F76" s="146">
        <f t="shared" si="4"/>
        <v>-3.2620763905828021E-2</v>
      </c>
      <c r="H76" s="24"/>
      <c r="I76" s="27"/>
      <c r="J76" s="28"/>
      <c r="K76" s="27"/>
      <c r="L76" s="27"/>
    </row>
    <row r="77" spans="4:12" ht="15.6" x14ac:dyDescent="0.3">
      <c r="D77" s="145">
        <v>46099</v>
      </c>
      <c r="E77" s="187">
        <v>23777.8</v>
      </c>
      <c r="F77" s="146">
        <f t="shared" si="4"/>
        <v>8.3392879482127036E-3</v>
      </c>
      <c r="H77" s="27"/>
      <c r="I77" s="27"/>
      <c r="J77" s="27"/>
      <c r="K77" s="27"/>
      <c r="L77" s="27"/>
    </row>
    <row r="78" spans="4:12" ht="15.6" x14ac:dyDescent="0.3">
      <c r="D78" s="145">
        <v>46098</v>
      </c>
      <c r="E78" s="187">
        <v>23581.15</v>
      </c>
      <c r="F78" s="146">
        <f t="shared" si="4"/>
        <v>7.3626157684290039E-3</v>
      </c>
      <c r="H78" s="24"/>
      <c r="I78" s="24"/>
      <c r="J78" s="24"/>
      <c r="K78" s="24"/>
      <c r="L78" s="24"/>
    </row>
    <row r="79" spans="4:12" ht="15.6" x14ac:dyDescent="0.3">
      <c r="D79" s="145">
        <v>46097</v>
      </c>
      <c r="E79" s="187">
        <v>23408.799999999999</v>
      </c>
      <c r="F79" s="146">
        <f t="shared" si="4"/>
        <v>1.1131220546755971E-2</v>
      </c>
      <c r="H79" s="24"/>
      <c r="I79" s="24"/>
      <c r="J79" s="24"/>
      <c r="K79" s="24"/>
      <c r="L79" s="24"/>
    </row>
    <row r="80" spans="4:12" ht="15.6" x14ac:dyDescent="0.3">
      <c r="D80" s="145">
        <v>46094</v>
      </c>
      <c r="E80" s="187">
        <v>23151.1</v>
      </c>
      <c r="F80" s="146">
        <f t="shared" si="4"/>
        <v>-2.0645835404403456E-2</v>
      </c>
      <c r="H80" s="24"/>
      <c r="I80" s="24"/>
      <c r="J80" s="24"/>
      <c r="K80" s="24"/>
      <c r="L80" s="24"/>
    </row>
    <row r="81" spans="4:12" ht="15.6" x14ac:dyDescent="0.3">
      <c r="D81" s="145">
        <v>46093</v>
      </c>
      <c r="E81" s="187">
        <v>23639.15</v>
      </c>
      <c r="F81" s="146">
        <f t="shared" si="4"/>
        <v>-9.5404295078738155E-3</v>
      </c>
    </row>
    <row r="82" spans="4:12" ht="15.6" x14ac:dyDescent="0.3">
      <c r="D82" s="145">
        <v>46092</v>
      </c>
      <c r="E82" s="187">
        <v>23866.85</v>
      </c>
      <c r="F82" s="146">
        <f t="shared" si="4"/>
        <v>-1.6270567481122433E-2</v>
      </c>
    </row>
    <row r="83" spans="4:12" ht="15.6" x14ac:dyDescent="0.3">
      <c r="D83" s="145">
        <v>46091</v>
      </c>
      <c r="E83" s="187">
        <v>24261.599999999999</v>
      </c>
      <c r="F83" s="146">
        <f t="shared" si="4"/>
        <v>9.7198898787043131E-3</v>
      </c>
      <c r="J83" s="1"/>
    </row>
    <row r="84" spans="4:12" ht="15.6" x14ac:dyDescent="0.3">
      <c r="D84" s="145">
        <v>46090</v>
      </c>
      <c r="E84" s="187">
        <v>24028.05</v>
      </c>
      <c r="F84" s="146">
        <f t="shared" si="4"/>
        <v>-1.7275755660938863E-2</v>
      </c>
      <c r="J84" s="1"/>
      <c r="L84" s="1"/>
    </row>
    <row r="85" spans="4:12" ht="15.6" x14ac:dyDescent="0.3">
      <c r="D85" s="145">
        <v>46087</v>
      </c>
      <c r="E85" s="187">
        <v>24450.45</v>
      </c>
      <c r="F85" s="146">
        <f t="shared" si="4"/>
        <v>-1.2737271813259343E-2</v>
      </c>
    </row>
    <row r="86" spans="4:12" ht="15.6" x14ac:dyDescent="0.3">
      <c r="D86" s="145">
        <v>46086</v>
      </c>
      <c r="E86" s="187">
        <v>24765.9</v>
      </c>
      <c r="F86" s="146">
        <f t="shared" si="4"/>
        <v>1.1658258613999051E-2</v>
      </c>
      <c r="H86" s="16"/>
      <c r="J86" s="16"/>
      <c r="K86" s="16"/>
      <c r="L86" s="16"/>
    </row>
    <row r="87" spans="4:12" ht="15.6" x14ac:dyDescent="0.3">
      <c r="D87" s="145">
        <v>46085</v>
      </c>
      <c r="E87" s="187">
        <v>24480.5</v>
      </c>
      <c r="F87" s="146">
        <f t="shared" si="4"/>
        <v>-1.5491218827541564E-2</v>
      </c>
      <c r="H87" s="16"/>
      <c r="I87" s="16"/>
      <c r="J87" s="16"/>
      <c r="K87" s="16"/>
      <c r="L87" s="16"/>
    </row>
    <row r="88" spans="4:12" ht="15.6" x14ac:dyDescent="0.3">
      <c r="D88" s="145">
        <v>46083</v>
      </c>
      <c r="E88" s="187">
        <v>24865.7</v>
      </c>
      <c r="F88" s="146">
        <f t="shared" si="4"/>
        <v>-1.2429181072059148E-2</v>
      </c>
      <c r="J88" s="1"/>
      <c r="L88" s="1"/>
    </row>
    <row r="89" spans="4:12" ht="15.6" x14ac:dyDescent="0.3">
      <c r="D89" s="145">
        <v>46080</v>
      </c>
      <c r="E89" s="187">
        <v>25178.65</v>
      </c>
      <c r="F89" s="146">
        <f t="shared" si="4"/>
        <v>-1.2468353561560175E-2</v>
      </c>
    </row>
    <row r="90" spans="4:12" ht="15.6" x14ac:dyDescent="0.3">
      <c r="D90" s="145">
        <v>46079</v>
      </c>
      <c r="E90" s="187">
        <v>25496.55</v>
      </c>
      <c r="F90" s="146">
        <f t="shared" si="4"/>
        <v>5.5135877563028401E-4</v>
      </c>
    </row>
    <row r="91" spans="4:12" ht="15.6" x14ac:dyDescent="0.3">
      <c r="D91" s="145">
        <v>46078</v>
      </c>
      <c r="E91" s="187">
        <v>25482.5</v>
      </c>
      <c r="F91" s="146">
        <f t="shared" ref="F91:F154" si="5">E91/E92-1</f>
        <v>2.275350889786143E-3</v>
      </c>
      <c r="J91" s="1"/>
      <c r="L91" s="1"/>
    </row>
    <row r="92" spans="4:12" ht="15.6" x14ac:dyDescent="0.3">
      <c r="D92" s="145">
        <v>46077</v>
      </c>
      <c r="E92" s="187">
        <v>25424.65</v>
      </c>
      <c r="F92" s="146">
        <f t="shared" si="5"/>
        <v>-1.1214171819702079E-2</v>
      </c>
    </row>
    <row r="93" spans="4:12" ht="15.6" x14ac:dyDescent="0.3">
      <c r="D93" s="145">
        <v>46076</v>
      </c>
      <c r="E93" s="187">
        <v>25713</v>
      </c>
      <c r="F93" s="146">
        <f t="shared" si="5"/>
        <v>5.5433347998239402E-3</v>
      </c>
    </row>
    <row r="94" spans="4:12" ht="15.6" x14ac:dyDescent="0.3">
      <c r="D94" s="145">
        <v>46073</v>
      </c>
      <c r="E94" s="187">
        <v>25571.25</v>
      </c>
      <c r="F94" s="146">
        <f t="shared" si="5"/>
        <v>4.5925352641100758E-3</v>
      </c>
      <c r="J94" s="1"/>
      <c r="L94" s="1"/>
    </row>
    <row r="95" spans="4:12" ht="15.6" x14ac:dyDescent="0.3">
      <c r="D95" s="145">
        <v>46072</v>
      </c>
      <c r="E95" s="187">
        <v>25454.35</v>
      </c>
      <c r="F95" s="146">
        <f t="shared" si="5"/>
        <v>-1.4136684308474035E-2</v>
      </c>
    </row>
    <row r="96" spans="4:12" ht="15.6" x14ac:dyDescent="0.3">
      <c r="D96" s="145">
        <v>46071</v>
      </c>
      <c r="E96" s="187">
        <v>25819.35</v>
      </c>
      <c r="F96" s="146">
        <f t="shared" si="5"/>
        <v>3.6520326214557475E-3</v>
      </c>
    </row>
    <row r="97" spans="2:12" ht="15.6" x14ac:dyDescent="0.3">
      <c r="D97" s="145">
        <v>46070</v>
      </c>
      <c r="E97" s="187">
        <v>25725.4</v>
      </c>
      <c r="F97" s="146">
        <f t="shared" si="5"/>
        <v>1.6606477110123752E-3</v>
      </c>
      <c r="J97" s="1"/>
      <c r="L97" s="1"/>
    </row>
    <row r="98" spans="2:12" ht="15.6" x14ac:dyDescent="0.3">
      <c r="D98" s="145">
        <v>46069</v>
      </c>
      <c r="E98" s="187">
        <v>25682.75</v>
      </c>
      <c r="F98" s="146">
        <f t="shared" si="5"/>
        <v>8.3094173396516258E-3</v>
      </c>
    </row>
    <row r="99" spans="2:12" ht="15.6" x14ac:dyDescent="0.3">
      <c r="D99" s="145">
        <v>46066</v>
      </c>
      <c r="E99" s="187">
        <v>25471.1</v>
      </c>
      <c r="F99" s="146">
        <f t="shared" si="5"/>
        <v>-1.3023497318577881E-2</v>
      </c>
    </row>
    <row r="100" spans="2:12" ht="15.6" x14ac:dyDescent="0.3">
      <c r="D100" s="145">
        <v>46065</v>
      </c>
      <c r="E100" s="187">
        <v>25807.200000000001</v>
      </c>
      <c r="F100" s="146">
        <f t="shared" si="5"/>
        <v>-5.6504141004127817E-3</v>
      </c>
    </row>
    <row r="101" spans="2:12" ht="15.6" x14ac:dyDescent="0.3">
      <c r="D101" s="145">
        <v>46064</v>
      </c>
      <c r="E101" s="187">
        <v>25953.85</v>
      </c>
      <c r="F101" s="146">
        <f t="shared" si="5"/>
        <v>7.2102918240291025E-4</v>
      </c>
    </row>
    <row r="102" spans="2:12" ht="15.6" x14ac:dyDescent="0.3">
      <c r="D102" s="145">
        <v>46063</v>
      </c>
      <c r="E102" s="187">
        <v>25935.15</v>
      </c>
      <c r="F102" s="146">
        <f t="shared" si="5"/>
        <v>2.6230027873028749E-3</v>
      </c>
    </row>
    <row r="103" spans="2:12" ht="18" x14ac:dyDescent="0.35">
      <c r="B103" s="10"/>
      <c r="D103" s="145">
        <v>46062</v>
      </c>
      <c r="E103" s="187">
        <v>25867.3</v>
      </c>
      <c r="F103" s="146">
        <f t="shared" si="5"/>
        <v>6.7565200807979675E-3</v>
      </c>
    </row>
    <row r="104" spans="2:12" ht="15.6" x14ac:dyDescent="0.3">
      <c r="C104" s="14"/>
      <c r="D104" s="145">
        <v>46059</v>
      </c>
      <c r="E104" s="187">
        <v>25693.7</v>
      </c>
      <c r="F104" s="146">
        <f t="shared" si="5"/>
        <v>1.9849626405852305E-3</v>
      </c>
    </row>
    <row r="105" spans="2:12" ht="15.6" x14ac:dyDescent="0.3">
      <c r="D105" s="145">
        <v>46058</v>
      </c>
      <c r="E105" s="187">
        <v>25642.799999999999</v>
      </c>
      <c r="F105" s="146">
        <f t="shared" si="5"/>
        <v>-5.16759776536313E-3</v>
      </c>
    </row>
    <row r="106" spans="2:12" ht="15.6" x14ac:dyDescent="0.3">
      <c r="D106" s="145">
        <v>46057</v>
      </c>
      <c r="E106" s="187">
        <v>25776</v>
      </c>
      <c r="F106" s="146">
        <f t="shared" si="5"/>
        <v>1.8831952517825989E-3</v>
      </c>
    </row>
    <row r="107" spans="2:12" ht="15.6" x14ac:dyDescent="0.3">
      <c r="D107" s="145">
        <v>46056</v>
      </c>
      <c r="E107" s="187">
        <v>25727.55</v>
      </c>
      <c r="F107" s="146">
        <f t="shared" si="5"/>
        <v>2.5475917156932981E-2</v>
      </c>
    </row>
    <row r="108" spans="2:12" ht="15.6" x14ac:dyDescent="0.3">
      <c r="D108" s="145">
        <v>46055</v>
      </c>
      <c r="E108" s="187">
        <v>25088.400000000001</v>
      </c>
      <c r="F108" s="146">
        <f t="shared" si="5"/>
        <v>1.05919530159575E-2</v>
      </c>
    </row>
    <row r="109" spans="2:12" ht="15.6" x14ac:dyDescent="0.3">
      <c r="D109" s="145">
        <v>46054</v>
      </c>
      <c r="E109" s="187">
        <v>24825.45</v>
      </c>
      <c r="F109" s="146">
        <f t="shared" si="5"/>
        <v>-1.955715986753892E-2</v>
      </c>
    </row>
    <row r="110" spans="2:12" ht="15.6" x14ac:dyDescent="0.3">
      <c r="D110" s="145">
        <v>46052</v>
      </c>
      <c r="E110" s="187">
        <v>25320.65</v>
      </c>
      <c r="F110" s="146">
        <f t="shared" si="5"/>
        <v>-3.8652341368037302E-3</v>
      </c>
    </row>
    <row r="111" spans="2:12" ht="15.6" x14ac:dyDescent="0.3">
      <c r="D111" s="145">
        <v>46051</v>
      </c>
      <c r="E111" s="187">
        <v>25418.9</v>
      </c>
      <c r="F111" s="146">
        <f t="shared" si="5"/>
        <v>3.004804135305017E-3</v>
      </c>
    </row>
    <row r="112" spans="2:12" ht="15.6" x14ac:dyDescent="0.3">
      <c r="D112" s="145">
        <v>46050</v>
      </c>
      <c r="E112" s="187">
        <v>25342.75</v>
      </c>
      <c r="F112" s="146">
        <f t="shared" si="5"/>
        <v>6.6473621074540912E-3</v>
      </c>
    </row>
    <row r="113" spans="4:12" ht="15.6" x14ac:dyDescent="0.3">
      <c r="D113" s="145">
        <v>46049</v>
      </c>
      <c r="E113" s="187">
        <v>25175.4</v>
      </c>
      <c r="F113" s="146">
        <f t="shared" si="5"/>
        <v>5.0601529423741631E-3</v>
      </c>
    </row>
    <row r="114" spans="4:12" ht="15.6" x14ac:dyDescent="0.3">
      <c r="D114" s="145">
        <v>46045</v>
      </c>
      <c r="E114" s="187">
        <v>25048.65</v>
      </c>
      <c r="F114" s="146">
        <f t="shared" si="5"/>
        <v>-9.5393813340503009E-3</v>
      </c>
    </row>
    <row r="115" spans="4:12" ht="15.6" x14ac:dyDescent="0.3">
      <c r="D115" s="145">
        <v>46044</v>
      </c>
      <c r="E115" s="187">
        <v>25289.9</v>
      </c>
      <c r="F115" s="146">
        <f t="shared" si="5"/>
        <v>5.2628440822817257E-3</v>
      </c>
    </row>
    <row r="116" spans="4:12" ht="15.6" x14ac:dyDescent="0.3">
      <c r="D116" s="145">
        <v>46043</v>
      </c>
      <c r="E116" s="187">
        <v>25157.5</v>
      </c>
      <c r="F116" s="146">
        <f t="shared" si="5"/>
        <v>-2.9723570791637677E-3</v>
      </c>
    </row>
    <row r="117" spans="4:12" ht="15.6" x14ac:dyDescent="0.3">
      <c r="D117" s="145">
        <v>46042</v>
      </c>
      <c r="E117" s="187">
        <v>25232.5</v>
      </c>
      <c r="F117" s="146">
        <f t="shared" si="5"/>
        <v>-1.3796877137441155E-2</v>
      </c>
    </row>
    <row r="118" spans="4:12" ht="15.6" x14ac:dyDescent="0.3">
      <c r="D118" s="145">
        <v>46041</v>
      </c>
      <c r="E118" s="187">
        <v>25585.5</v>
      </c>
      <c r="F118" s="146">
        <f t="shared" si="5"/>
        <v>-4.2363398957357967E-3</v>
      </c>
    </row>
    <row r="119" spans="4:12" ht="15.6" x14ac:dyDescent="0.3">
      <c r="D119" s="145">
        <v>46038</v>
      </c>
      <c r="E119" s="187">
        <v>25694.35</v>
      </c>
      <c r="F119" s="146">
        <f t="shared" si="5"/>
        <v>1.1201764229162858E-3</v>
      </c>
    </row>
    <row r="120" spans="4:12" ht="15.6" x14ac:dyDescent="0.3">
      <c r="D120" s="145">
        <v>46036</v>
      </c>
      <c r="E120" s="187">
        <v>25665.599999999999</v>
      </c>
      <c r="F120" s="146">
        <f t="shared" si="5"/>
        <v>-2.5920729977498835E-3</v>
      </c>
      <c r="H120" s="16"/>
      <c r="I120" s="16"/>
      <c r="J120" s="16"/>
      <c r="K120" s="16"/>
      <c r="L120" s="16"/>
    </row>
    <row r="121" spans="4:12" ht="15.6" x14ac:dyDescent="0.3">
      <c r="D121" s="145">
        <v>46035</v>
      </c>
      <c r="E121" s="187">
        <v>25732.3</v>
      </c>
      <c r="F121" s="146">
        <f t="shared" si="5"/>
        <v>-2.2469731778482771E-3</v>
      </c>
    </row>
    <row r="122" spans="4:12" ht="15.6" x14ac:dyDescent="0.3">
      <c r="D122" s="145">
        <v>46034</v>
      </c>
      <c r="E122" s="187">
        <v>25790.25</v>
      </c>
      <c r="F122" s="146">
        <f t="shared" si="5"/>
        <v>4.164184509000135E-3</v>
      </c>
    </row>
    <row r="123" spans="4:12" ht="15.6" x14ac:dyDescent="0.3">
      <c r="D123" s="145">
        <v>46031</v>
      </c>
      <c r="E123" s="187">
        <v>25683.3</v>
      </c>
      <c r="F123" s="146">
        <f t="shared" si="5"/>
        <v>-7.4796584592019544E-3</v>
      </c>
      <c r="L123" s="1"/>
    </row>
    <row r="124" spans="4:12" ht="15.6" x14ac:dyDescent="0.3">
      <c r="D124" s="145">
        <v>46030</v>
      </c>
      <c r="E124" s="187">
        <v>25876.85</v>
      </c>
      <c r="F124" s="146">
        <f t="shared" si="5"/>
        <v>-1.0095349215305638E-2</v>
      </c>
    </row>
    <row r="125" spans="4:12" ht="15.6" x14ac:dyDescent="0.3">
      <c r="D125" s="145">
        <v>46029</v>
      </c>
      <c r="E125" s="187">
        <v>26140.75</v>
      </c>
      <c r="F125" s="146">
        <f t="shared" si="5"/>
        <v>-1.4496518161711824E-3</v>
      </c>
    </row>
    <row r="126" spans="4:12" ht="15.6" x14ac:dyDescent="0.3">
      <c r="D126" s="145">
        <v>46028</v>
      </c>
      <c r="E126" s="187">
        <v>26178.7</v>
      </c>
      <c r="F126" s="146">
        <f t="shared" si="5"/>
        <v>-2.7275878751861216E-3</v>
      </c>
    </row>
    <row r="127" spans="4:12" ht="15.6" x14ac:dyDescent="0.3">
      <c r="D127" s="145">
        <v>46027</v>
      </c>
      <c r="E127" s="187">
        <v>26250.3</v>
      </c>
      <c r="F127" s="146">
        <f t="shared" si="5"/>
        <v>-2.9720588486642496E-3</v>
      </c>
    </row>
    <row r="128" spans="4:12" ht="15.6" x14ac:dyDescent="0.3">
      <c r="D128" s="145">
        <v>46024</v>
      </c>
      <c r="E128" s="187">
        <v>26328.55</v>
      </c>
      <c r="F128" s="146">
        <f t="shared" si="5"/>
        <v>6.9607653782239876E-3</v>
      </c>
    </row>
    <row r="129" spans="3:18" ht="15.6" x14ac:dyDescent="0.3">
      <c r="D129" s="145">
        <v>46023</v>
      </c>
      <c r="E129" s="187">
        <v>26146.55</v>
      </c>
      <c r="F129" s="146">
        <f t="shared" si="5"/>
        <v>6.4868960871966586E-4</v>
      </c>
    </row>
    <row r="130" spans="3:18" ht="15.6" x14ac:dyDescent="0.3">
      <c r="D130" s="145">
        <v>46022</v>
      </c>
      <c r="E130" s="187">
        <v>26129.599999999999</v>
      </c>
      <c r="F130" s="146">
        <f t="shared" si="5"/>
        <v>7.3538341136942798E-3</v>
      </c>
    </row>
    <row r="131" spans="3:18" ht="15.6" x14ac:dyDescent="0.3">
      <c r="D131" s="145">
        <v>46021</v>
      </c>
      <c r="E131" s="187">
        <v>25938.85</v>
      </c>
      <c r="F131" s="146">
        <f t="shared" si="5"/>
        <v>-1.2527898666647719E-4</v>
      </c>
    </row>
    <row r="132" spans="3:18" ht="15.6" x14ac:dyDescent="0.3">
      <c r="D132" s="145">
        <v>46020</v>
      </c>
      <c r="E132" s="187">
        <v>25942.1</v>
      </c>
      <c r="F132" s="146">
        <f t="shared" si="5"/>
        <v>-3.8475864266981352E-3</v>
      </c>
      <c r="H132" s="16"/>
      <c r="I132" s="16"/>
      <c r="J132" s="16"/>
      <c r="K132" s="16"/>
      <c r="L132" s="16"/>
    </row>
    <row r="133" spans="3:18" ht="15.6" x14ac:dyDescent="0.3">
      <c r="D133" s="145">
        <v>46017</v>
      </c>
      <c r="E133" s="187">
        <v>26042.3</v>
      </c>
      <c r="F133" s="146">
        <f t="shared" si="5"/>
        <v>-3.8175969030797008E-3</v>
      </c>
      <c r="H133" s="16"/>
      <c r="I133" s="16"/>
      <c r="J133" s="16"/>
      <c r="K133" s="16"/>
      <c r="L133" s="16"/>
    </row>
    <row r="134" spans="3:18" ht="15.6" x14ac:dyDescent="0.3">
      <c r="C134" s="14"/>
      <c r="D134" s="145">
        <v>46015</v>
      </c>
      <c r="E134" s="187">
        <v>26142.1</v>
      </c>
      <c r="F134" s="146">
        <f t="shared" si="5"/>
        <v>-1.3389540114184806E-3</v>
      </c>
    </row>
    <row r="135" spans="3:18" ht="15.6" x14ac:dyDescent="0.3">
      <c r="D135" s="145">
        <v>46014</v>
      </c>
      <c r="E135" s="187">
        <v>26177.15</v>
      </c>
      <c r="F135" s="146">
        <f t="shared" si="5"/>
        <v>1.8148889670044355E-4</v>
      </c>
    </row>
    <row r="136" spans="3:18" ht="15.6" x14ac:dyDescent="0.3">
      <c r="D136" s="145">
        <v>46013</v>
      </c>
      <c r="E136" s="187">
        <v>26172.400000000001</v>
      </c>
      <c r="F136" s="146">
        <f t="shared" si="5"/>
        <v>7.9333292254606391E-3</v>
      </c>
    </row>
    <row r="137" spans="3:18" ht="15.6" x14ac:dyDescent="0.3">
      <c r="D137" s="145">
        <v>46010</v>
      </c>
      <c r="E137" s="187">
        <v>25966.400000000001</v>
      </c>
      <c r="F137" s="146">
        <f t="shared" si="5"/>
        <v>5.8433773442752024E-3</v>
      </c>
      <c r="N137" s="15"/>
      <c r="O137" s="15"/>
      <c r="P137" s="15"/>
      <c r="Q137" s="15"/>
      <c r="R137" s="15"/>
    </row>
    <row r="138" spans="3:18" ht="15.6" x14ac:dyDescent="0.3">
      <c r="D138" s="145">
        <v>46009</v>
      </c>
      <c r="E138" s="187">
        <v>25815.55</v>
      </c>
      <c r="F138" s="146">
        <f t="shared" si="5"/>
        <v>-1.1619552608488348E-4</v>
      </c>
    </row>
    <row r="139" spans="3:18" ht="15.6" x14ac:dyDescent="0.3">
      <c r="D139" s="145">
        <v>46008</v>
      </c>
      <c r="E139" s="187">
        <v>25818.55</v>
      </c>
      <c r="F139" s="146">
        <f t="shared" si="5"/>
        <v>-1.6067223251263751E-3</v>
      </c>
    </row>
    <row r="140" spans="3:18" ht="15.6" x14ac:dyDescent="0.3">
      <c r="D140" s="145">
        <v>46007</v>
      </c>
      <c r="E140" s="187">
        <v>25860.1</v>
      </c>
      <c r="F140" s="146">
        <f t="shared" si="5"/>
        <v>-6.4240240055634112E-3</v>
      </c>
      <c r="H140" s="16"/>
      <c r="I140" s="16"/>
      <c r="J140" s="16"/>
      <c r="K140" s="16"/>
      <c r="L140" s="16"/>
    </row>
    <row r="141" spans="3:18" ht="15.6" x14ac:dyDescent="0.3">
      <c r="D141" s="145">
        <v>46006</v>
      </c>
      <c r="E141" s="187">
        <v>26027.3</v>
      </c>
      <c r="F141" s="146">
        <f t="shared" si="5"/>
        <v>-7.5440694591888402E-4</v>
      </c>
    </row>
    <row r="142" spans="3:18" ht="15.6" x14ac:dyDescent="0.3">
      <c r="D142" s="145">
        <v>46003</v>
      </c>
      <c r="E142" s="187">
        <v>26046.95</v>
      </c>
      <c r="F142" s="146">
        <f t="shared" si="5"/>
        <v>5.7300505240640565E-3</v>
      </c>
    </row>
    <row r="143" spans="3:18" ht="15.6" x14ac:dyDescent="0.3">
      <c r="D143" s="145">
        <v>46002</v>
      </c>
      <c r="E143" s="187">
        <v>25898.55</v>
      </c>
      <c r="F143" s="146">
        <f t="shared" si="5"/>
        <v>5.4565571861169282E-3</v>
      </c>
    </row>
    <row r="144" spans="3:18" ht="15.6" x14ac:dyDescent="0.3">
      <c r="D144" s="145">
        <v>46001</v>
      </c>
      <c r="E144" s="187">
        <v>25758</v>
      </c>
      <c r="F144" s="146">
        <f t="shared" si="5"/>
        <v>-3.15987252149319E-3</v>
      </c>
    </row>
    <row r="145" spans="4:12" ht="15.6" x14ac:dyDescent="0.3">
      <c r="D145" s="145">
        <v>46000</v>
      </c>
      <c r="E145" s="187">
        <v>25839.65</v>
      </c>
      <c r="F145" s="146">
        <f t="shared" si="5"/>
        <v>-4.6570662023723841E-3</v>
      </c>
    </row>
    <row r="146" spans="4:12" ht="15.6" x14ac:dyDescent="0.3">
      <c r="D146" s="145">
        <v>45999</v>
      </c>
      <c r="E146" s="187">
        <v>25960.55</v>
      </c>
      <c r="F146" s="146">
        <f t="shared" si="5"/>
        <v>-8.626598870790092E-3</v>
      </c>
    </row>
    <row r="147" spans="4:12" ht="15.6" x14ac:dyDescent="0.3">
      <c r="D147" s="145">
        <v>45996</v>
      </c>
      <c r="E147" s="187">
        <v>26186.45</v>
      </c>
      <c r="F147" s="146">
        <f t="shared" si="5"/>
        <v>5.8654631007826197E-3</v>
      </c>
    </row>
    <row r="148" spans="4:12" ht="15.6" x14ac:dyDescent="0.3">
      <c r="D148" s="145">
        <v>45995</v>
      </c>
      <c r="E148" s="187">
        <v>26033.75</v>
      </c>
      <c r="F148" s="146">
        <f t="shared" si="5"/>
        <v>1.8375278996383138E-3</v>
      </c>
    </row>
    <row r="149" spans="4:12" ht="15.6" x14ac:dyDescent="0.3">
      <c r="D149" s="145">
        <v>45994</v>
      </c>
      <c r="E149" s="187">
        <v>25986</v>
      </c>
      <c r="F149" s="146">
        <f t="shared" si="5"/>
        <v>-1.7747251480858539E-3</v>
      </c>
      <c r="H149" s="16"/>
      <c r="I149" s="16"/>
      <c r="J149" s="16"/>
      <c r="K149" s="16"/>
      <c r="L149" s="16"/>
    </row>
    <row r="150" spans="4:12" ht="15.6" x14ac:dyDescent="0.3">
      <c r="D150" s="145">
        <v>45993</v>
      </c>
      <c r="E150" s="187">
        <v>26032.2</v>
      </c>
      <c r="F150" s="146">
        <f t="shared" si="5"/>
        <v>-5.4840835506145824E-3</v>
      </c>
    </row>
    <row r="151" spans="4:12" ht="15.6" x14ac:dyDescent="0.3">
      <c r="D151" s="145">
        <v>45992</v>
      </c>
      <c r="E151" s="187">
        <v>26175.75</v>
      </c>
      <c r="F151" s="146">
        <f t="shared" si="5"/>
        <v>-1.0380510591364578E-3</v>
      </c>
    </row>
    <row r="152" spans="4:12" ht="15.6" x14ac:dyDescent="0.3">
      <c r="D152" s="145">
        <v>45989</v>
      </c>
      <c r="E152" s="187">
        <v>26202.95</v>
      </c>
      <c r="F152" s="146">
        <f t="shared" si="5"/>
        <v>-4.806307706685109E-4</v>
      </c>
    </row>
    <row r="153" spans="4:12" ht="15.6" x14ac:dyDescent="0.3">
      <c r="D153" s="145">
        <v>45988</v>
      </c>
      <c r="E153" s="187">
        <v>26215.55</v>
      </c>
      <c r="F153" s="146">
        <f t="shared" si="5"/>
        <v>3.9114224985015156E-4</v>
      </c>
    </row>
    <row r="154" spans="4:12" ht="15.6" x14ac:dyDescent="0.3">
      <c r="D154" s="145">
        <v>45987</v>
      </c>
      <c r="E154" s="187">
        <v>26205.3</v>
      </c>
      <c r="F154" s="146">
        <f t="shared" si="5"/>
        <v>1.238178390406719E-2</v>
      </c>
      <c r="L154" s="1"/>
    </row>
    <row r="155" spans="4:12" ht="15.6" x14ac:dyDescent="0.3">
      <c r="D155" s="145">
        <v>45986</v>
      </c>
      <c r="E155" s="187">
        <v>25884.799999999999</v>
      </c>
      <c r="F155" s="146">
        <f t="shared" ref="F155:F218" si="6">E155/E156-1</f>
        <v>-2.8775592750245327E-3</v>
      </c>
    </row>
    <row r="156" spans="4:12" ht="15.6" x14ac:dyDescent="0.3">
      <c r="D156" s="145">
        <v>45985</v>
      </c>
      <c r="E156" s="187">
        <v>25959.5</v>
      </c>
      <c r="F156" s="146">
        <f t="shared" si="6"/>
        <v>-4.1679213906625767E-3</v>
      </c>
    </row>
    <row r="157" spans="4:12" ht="15.6" x14ac:dyDescent="0.3">
      <c r="D157" s="145">
        <v>45982</v>
      </c>
      <c r="E157" s="187">
        <v>26068.15</v>
      </c>
      <c r="F157" s="146">
        <f t="shared" si="6"/>
        <v>-4.7342428933859759E-3</v>
      </c>
    </row>
    <row r="158" spans="4:12" ht="15.6" x14ac:dyDescent="0.3">
      <c r="D158" s="145">
        <v>45981</v>
      </c>
      <c r="E158" s="187">
        <v>26192.15</v>
      </c>
      <c r="F158" s="146">
        <f t="shared" si="6"/>
        <v>5.3545416685059077E-3</v>
      </c>
    </row>
    <row r="159" spans="4:12" ht="15.6" x14ac:dyDescent="0.3">
      <c r="D159" s="145">
        <v>45980</v>
      </c>
      <c r="E159" s="187">
        <v>26052.65</v>
      </c>
      <c r="F159" s="146">
        <f t="shared" si="6"/>
        <v>5.5036559172985111E-3</v>
      </c>
    </row>
    <row r="160" spans="4:12" ht="15.6" x14ac:dyDescent="0.3">
      <c r="D160" s="145">
        <v>45979</v>
      </c>
      <c r="E160" s="187">
        <v>25910.05</v>
      </c>
      <c r="F160" s="146">
        <f t="shared" si="6"/>
        <v>-3.9748668477268545E-3</v>
      </c>
    </row>
    <row r="161" spans="2:12" ht="15.6" x14ac:dyDescent="0.3">
      <c r="D161" s="145">
        <v>45978</v>
      </c>
      <c r="E161" s="187">
        <v>26013.45</v>
      </c>
      <c r="F161" s="146">
        <f t="shared" si="6"/>
        <v>3.9907294659795589E-3</v>
      </c>
      <c r="H161" s="16"/>
      <c r="I161" s="16"/>
      <c r="J161" s="16"/>
      <c r="K161" s="16"/>
      <c r="L161" s="16"/>
    </row>
    <row r="162" spans="2:12" ht="15.6" x14ac:dyDescent="0.3">
      <c r="D162" s="145">
        <v>45975</v>
      </c>
      <c r="E162" s="187">
        <v>25910.05</v>
      </c>
      <c r="F162" s="146">
        <f t="shared" si="6"/>
        <v>1.194011395273753E-3</v>
      </c>
      <c r="H162" s="16"/>
      <c r="I162" s="16"/>
      <c r="J162" s="16"/>
      <c r="K162" s="16"/>
      <c r="L162" s="16"/>
    </row>
    <row r="163" spans="2:12" ht="15.6" x14ac:dyDescent="0.3">
      <c r="D163" s="145">
        <v>45974</v>
      </c>
      <c r="E163" s="187">
        <v>25879.15</v>
      </c>
      <c r="F163" s="146">
        <f t="shared" si="6"/>
        <v>1.2946459626372864E-4</v>
      </c>
    </row>
    <row r="164" spans="2:12" ht="15.6" x14ac:dyDescent="0.3">
      <c r="D164" s="145">
        <v>45973</v>
      </c>
      <c r="E164" s="187">
        <v>25875.8</v>
      </c>
      <c r="F164" s="146">
        <f t="shared" si="6"/>
        <v>7.0383480022337963E-3</v>
      </c>
    </row>
    <row r="165" spans="2:12" ht="15.6" x14ac:dyDescent="0.3">
      <c r="D165" s="145">
        <v>45972</v>
      </c>
      <c r="E165" s="187">
        <v>25694.95</v>
      </c>
      <c r="F165" s="146">
        <f t="shared" si="6"/>
        <v>4.7156623726507529E-3</v>
      </c>
    </row>
    <row r="166" spans="2:12" ht="18" x14ac:dyDescent="0.35">
      <c r="B166" s="10"/>
      <c r="D166" s="145">
        <v>45971</v>
      </c>
      <c r="E166" s="187">
        <v>25574.35</v>
      </c>
      <c r="F166" s="146">
        <f t="shared" si="6"/>
        <v>3.2186189555276634E-3</v>
      </c>
    </row>
    <row r="167" spans="2:12" ht="15.6" x14ac:dyDescent="0.3">
      <c r="C167" s="14"/>
      <c r="D167" s="145">
        <v>45968</v>
      </c>
      <c r="E167" s="187">
        <v>25492.3</v>
      </c>
      <c r="F167" s="146">
        <f t="shared" si="6"/>
        <v>-6.8209347816716726E-4</v>
      </c>
    </row>
    <row r="168" spans="2:12" ht="15.6" x14ac:dyDescent="0.3">
      <c r="D168" s="145">
        <v>45967</v>
      </c>
      <c r="E168" s="187">
        <v>25509.7</v>
      </c>
      <c r="F168" s="146">
        <f t="shared" si="6"/>
        <v>-3.4358622764198987E-3</v>
      </c>
    </row>
    <row r="169" spans="2:12" ht="15.6" x14ac:dyDescent="0.3">
      <c r="D169" s="145">
        <v>45965</v>
      </c>
      <c r="E169" s="187">
        <v>25597.65</v>
      </c>
      <c r="F169" s="146">
        <f t="shared" si="6"/>
        <v>-6.4316170063286604E-3</v>
      </c>
    </row>
    <row r="170" spans="2:12" ht="15.6" x14ac:dyDescent="0.3">
      <c r="D170" s="145">
        <v>45964</v>
      </c>
      <c r="E170" s="187">
        <v>25763.35</v>
      </c>
      <c r="F170" s="146">
        <f t="shared" si="6"/>
        <v>1.6036793263380922E-3</v>
      </c>
    </row>
    <row r="171" spans="2:12" ht="15.6" x14ac:dyDescent="0.3">
      <c r="D171" s="145">
        <v>45961</v>
      </c>
      <c r="E171" s="187">
        <v>25722.1</v>
      </c>
      <c r="F171" s="146">
        <f t="shared" si="6"/>
        <v>-6.0186607465457787E-3</v>
      </c>
    </row>
    <row r="172" spans="2:12" ht="15.6" x14ac:dyDescent="0.3">
      <c r="D172" s="145">
        <v>45960</v>
      </c>
      <c r="E172" s="187">
        <v>25877.85</v>
      </c>
      <c r="F172" s="146">
        <f t="shared" si="6"/>
        <v>-6.7571457632064069E-3</v>
      </c>
    </row>
    <row r="173" spans="2:12" ht="15.6" x14ac:dyDescent="0.3">
      <c r="D173" s="145">
        <v>45959</v>
      </c>
      <c r="E173" s="187">
        <v>26053.9</v>
      </c>
      <c r="F173" s="146">
        <f t="shared" si="6"/>
        <v>4.5380587749941359E-3</v>
      </c>
    </row>
    <row r="174" spans="2:12" ht="15.6" x14ac:dyDescent="0.3">
      <c r="D174" s="145">
        <v>45958</v>
      </c>
      <c r="E174" s="187">
        <v>25936.2</v>
      </c>
      <c r="F174" s="146">
        <f t="shared" si="6"/>
        <v>-1.1495780066663741E-3</v>
      </c>
    </row>
    <row r="175" spans="2:12" ht="15.6" x14ac:dyDescent="0.3">
      <c r="D175" s="145">
        <v>45957</v>
      </c>
      <c r="E175" s="187">
        <v>25966.05</v>
      </c>
      <c r="F175" s="146">
        <f t="shared" si="6"/>
        <v>6.6252764570082778E-3</v>
      </c>
    </row>
    <row r="176" spans="2:12" ht="15.6" x14ac:dyDescent="0.3">
      <c r="D176" s="145">
        <v>45954</v>
      </c>
      <c r="E176" s="187">
        <v>25795.15</v>
      </c>
      <c r="F176" s="146">
        <f t="shared" si="6"/>
        <v>-3.7174505820465331E-3</v>
      </c>
    </row>
    <row r="177" spans="4:13" ht="15.6" x14ac:dyDescent="0.3">
      <c r="D177" s="145">
        <v>45953</v>
      </c>
      <c r="E177" s="187">
        <v>25891.4</v>
      </c>
      <c r="F177" s="146">
        <f t="shared" si="6"/>
        <v>8.8137742282157205E-4</v>
      </c>
    </row>
    <row r="178" spans="4:13" ht="15.6" x14ac:dyDescent="0.3">
      <c r="D178" s="145">
        <v>45951</v>
      </c>
      <c r="E178" s="187">
        <v>25868.6</v>
      </c>
      <c r="F178" s="146">
        <f t="shared" si="6"/>
        <v>9.8478707123539344E-4</v>
      </c>
      <c r="J178" s="17"/>
      <c r="K178" s="17"/>
      <c r="L178" s="17"/>
    </row>
    <row r="179" spans="4:13" ht="15.6" x14ac:dyDescent="0.3">
      <c r="D179" s="145">
        <v>45950</v>
      </c>
      <c r="E179" s="187">
        <v>25843.15</v>
      </c>
      <c r="F179" s="146">
        <f t="shared" si="6"/>
        <v>5.1847832640019575E-3</v>
      </c>
    </row>
    <row r="180" spans="4:13" ht="15.6" x14ac:dyDescent="0.3">
      <c r="D180" s="145">
        <v>45947</v>
      </c>
      <c r="E180" s="187">
        <v>25709.85</v>
      </c>
      <c r="F180" s="146">
        <f t="shared" si="6"/>
        <v>4.8680296889229702E-3</v>
      </c>
      <c r="J180" s="17"/>
    </row>
    <row r="181" spans="4:13" ht="15.6" x14ac:dyDescent="0.3">
      <c r="D181" s="145">
        <v>45946</v>
      </c>
      <c r="E181" s="187">
        <v>25585.3</v>
      </c>
      <c r="F181" s="146">
        <f t="shared" si="6"/>
        <v>1.0336228530360092E-2</v>
      </c>
      <c r="J181" s="17"/>
      <c r="K181" s="17"/>
      <c r="L181" s="18"/>
    </row>
    <row r="182" spans="4:13" ht="15.6" x14ac:dyDescent="0.3">
      <c r="D182" s="145">
        <v>45945</v>
      </c>
      <c r="E182" s="187">
        <v>25323.55</v>
      </c>
      <c r="F182" s="146">
        <f t="shared" si="6"/>
        <v>7.0807898033444783E-3</v>
      </c>
      <c r="K182" s="17"/>
      <c r="L182" s="18"/>
    </row>
    <row r="183" spans="4:13" ht="15.6" x14ac:dyDescent="0.3">
      <c r="D183" s="145">
        <v>45944</v>
      </c>
      <c r="E183" s="187">
        <v>25145.5</v>
      </c>
      <c r="F183" s="146">
        <f t="shared" si="6"/>
        <v>-3.2444945664129587E-3</v>
      </c>
      <c r="K183" s="17"/>
      <c r="L183" s="18"/>
    </row>
    <row r="184" spans="4:13" ht="15.6" x14ac:dyDescent="0.3">
      <c r="D184" s="145">
        <v>45943</v>
      </c>
      <c r="E184" s="187">
        <v>25227.35</v>
      </c>
      <c r="F184" s="146">
        <f t="shared" si="6"/>
        <v>-2.2938183572701609E-3</v>
      </c>
      <c r="J184" s="17"/>
    </row>
    <row r="185" spans="4:13" ht="15.6" x14ac:dyDescent="0.3">
      <c r="D185" s="145">
        <v>45940</v>
      </c>
      <c r="E185" s="187">
        <v>25285.35</v>
      </c>
      <c r="F185" s="146">
        <f t="shared" si="6"/>
        <v>4.1120968318388851E-3</v>
      </c>
      <c r="J185" s="17"/>
      <c r="K185" s="18"/>
      <c r="L185" s="17"/>
    </row>
    <row r="186" spans="4:13" ht="15.6" x14ac:dyDescent="0.3">
      <c r="D186" s="145">
        <v>45939</v>
      </c>
      <c r="E186" s="187">
        <v>25181.8</v>
      </c>
      <c r="F186" s="146">
        <f t="shared" si="6"/>
        <v>5.4160020601967673E-3</v>
      </c>
      <c r="K186" s="18"/>
      <c r="L186" s="18"/>
    </row>
    <row r="187" spans="4:13" ht="15.6" x14ac:dyDescent="0.3">
      <c r="D187" s="145">
        <v>45938</v>
      </c>
      <c r="E187" s="187">
        <v>25046.15</v>
      </c>
      <c r="F187" s="146">
        <f t="shared" si="6"/>
        <v>-2.4752770996043783E-3</v>
      </c>
      <c r="J187" s="17"/>
      <c r="L187" s="17"/>
    </row>
    <row r="188" spans="4:13" ht="15.6" x14ac:dyDescent="0.3">
      <c r="D188" s="145">
        <v>45937</v>
      </c>
      <c r="E188" s="187">
        <v>25108.3</v>
      </c>
      <c r="F188" s="146">
        <f t="shared" si="6"/>
        <v>1.222203834888802E-3</v>
      </c>
      <c r="H188" s="16"/>
      <c r="I188" s="16"/>
      <c r="J188" s="16"/>
      <c r="K188" s="16"/>
      <c r="L188" s="16"/>
      <c r="M188" s="16"/>
    </row>
    <row r="189" spans="4:13" ht="15.6" x14ac:dyDescent="0.3">
      <c r="D189" s="145">
        <v>45936</v>
      </c>
      <c r="E189" s="187">
        <v>25077.65</v>
      </c>
      <c r="F189" s="146">
        <f t="shared" si="6"/>
        <v>7.3671630999125881E-3</v>
      </c>
    </row>
    <row r="190" spans="4:13" ht="15.6" x14ac:dyDescent="0.3">
      <c r="D190" s="145">
        <v>45933</v>
      </c>
      <c r="E190" s="187">
        <v>24894.25</v>
      </c>
      <c r="F190" s="146">
        <f t="shared" si="6"/>
        <v>2.3332783063501061E-3</v>
      </c>
    </row>
    <row r="191" spans="4:13" ht="15.6" x14ac:dyDescent="0.3">
      <c r="D191" s="145">
        <v>45931</v>
      </c>
      <c r="E191" s="187">
        <v>24836.3</v>
      </c>
      <c r="F191" s="146">
        <f t="shared" si="6"/>
        <v>9.1503427315318131E-3</v>
      </c>
    </row>
    <row r="192" spans="4:13" ht="15.6" x14ac:dyDescent="0.3">
      <c r="D192" s="145">
        <v>45930</v>
      </c>
      <c r="E192" s="187">
        <v>24611.1</v>
      </c>
      <c r="F192" s="146">
        <f t="shared" si="6"/>
        <v>-9.6610905666361102E-4</v>
      </c>
    </row>
    <row r="193" spans="3:17" ht="15.6" x14ac:dyDescent="0.3">
      <c r="D193" s="145">
        <v>45929</v>
      </c>
      <c r="E193" s="187">
        <v>24634.9</v>
      </c>
      <c r="F193" s="146">
        <f t="shared" si="6"/>
        <v>-8.0309231099950917E-4</v>
      </c>
    </row>
    <row r="194" spans="3:17" ht="15.6" x14ac:dyDescent="0.3">
      <c r="D194" s="145">
        <v>45926</v>
      </c>
      <c r="E194" s="187">
        <v>24654.7</v>
      </c>
      <c r="F194" s="146">
        <f t="shared" si="6"/>
        <v>-9.4874220848222279E-3</v>
      </c>
    </row>
    <row r="195" spans="3:17" ht="15.6" x14ac:dyDescent="0.3">
      <c r="D195" s="145">
        <v>45925</v>
      </c>
      <c r="E195" s="187">
        <v>24890.85</v>
      </c>
      <c r="F195" s="146">
        <f t="shared" si="6"/>
        <v>-6.6269171365972435E-3</v>
      </c>
    </row>
    <row r="196" spans="3:17" ht="15.6" x14ac:dyDescent="0.3">
      <c r="D196" s="145">
        <v>45924</v>
      </c>
      <c r="E196" s="187">
        <v>25056.9</v>
      </c>
      <c r="F196" s="146">
        <f t="shared" si="6"/>
        <v>-4.4736685273842891E-3</v>
      </c>
    </row>
    <row r="197" spans="3:17" ht="15.6" x14ac:dyDescent="0.3">
      <c r="D197" s="145">
        <v>45923</v>
      </c>
      <c r="E197" s="187">
        <v>25169.5</v>
      </c>
      <c r="F197" s="146">
        <f t="shared" si="6"/>
        <v>-1.3034498766979485E-3</v>
      </c>
      <c r="H197" s="16"/>
      <c r="I197" s="16"/>
      <c r="J197" s="16"/>
      <c r="K197" s="16"/>
      <c r="L197" s="16"/>
    </row>
    <row r="198" spans="3:17" ht="15.6" x14ac:dyDescent="0.3">
      <c r="D198" s="145">
        <v>45922</v>
      </c>
      <c r="E198" s="187">
        <v>25202.35</v>
      </c>
      <c r="F198" s="146">
        <f t="shared" si="6"/>
        <v>-4.9235896008418267E-3</v>
      </c>
      <c r="H198" s="16"/>
      <c r="I198" s="16"/>
      <c r="J198" s="16"/>
      <c r="K198" s="16"/>
      <c r="L198" s="16"/>
    </row>
    <row r="199" spans="3:17" ht="15.6" x14ac:dyDescent="0.3">
      <c r="D199" s="145">
        <v>45919</v>
      </c>
      <c r="E199" s="187">
        <v>25327.05</v>
      </c>
      <c r="F199" s="146">
        <f t="shared" si="6"/>
        <v>-3.7976525747730472E-3</v>
      </c>
    </row>
    <row r="200" spans="3:17" ht="15.6" x14ac:dyDescent="0.3">
      <c r="D200" s="145">
        <v>45918</v>
      </c>
      <c r="E200" s="187">
        <v>25423.599999999999</v>
      </c>
      <c r="F200" s="146">
        <f t="shared" si="6"/>
        <v>3.685316962919849E-3</v>
      </c>
      <c r="H200" s="16"/>
      <c r="I200" s="16"/>
      <c r="J200" s="16"/>
      <c r="K200" s="16"/>
      <c r="L200" s="16"/>
    </row>
    <row r="201" spans="3:17" ht="15.6" x14ac:dyDescent="0.3">
      <c r="D201" s="145">
        <v>45917</v>
      </c>
      <c r="E201" s="187">
        <v>25330.25</v>
      </c>
      <c r="F201" s="146">
        <f t="shared" si="6"/>
        <v>3.6114599965926253E-3</v>
      </c>
    </row>
    <row r="202" spans="3:17" ht="15.6" x14ac:dyDescent="0.3">
      <c r="C202" s="14"/>
      <c r="D202" s="145">
        <v>45916</v>
      </c>
      <c r="E202" s="187">
        <v>25239.1</v>
      </c>
      <c r="F202" s="146">
        <f t="shared" si="6"/>
        <v>6.7772405980246475E-3</v>
      </c>
    </row>
    <row r="203" spans="3:17" ht="15.6" x14ac:dyDescent="0.3">
      <c r="D203" s="145">
        <v>45915</v>
      </c>
      <c r="E203" s="187">
        <v>25069.200000000001</v>
      </c>
      <c r="F203" s="146">
        <f t="shared" si="6"/>
        <v>-1.7838655729871533E-3</v>
      </c>
    </row>
    <row r="204" spans="3:17" ht="15.6" x14ac:dyDescent="0.3">
      <c r="D204" s="145">
        <v>45912</v>
      </c>
      <c r="E204" s="187">
        <v>25114</v>
      </c>
      <c r="F204" s="146">
        <f t="shared" si="6"/>
        <v>4.3390454100098452E-3</v>
      </c>
    </row>
    <row r="205" spans="3:17" ht="15.6" x14ac:dyDescent="0.3">
      <c r="D205" s="145">
        <v>45911</v>
      </c>
      <c r="E205" s="187">
        <v>25005.5</v>
      </c>
      <c r="F205" s="146">
        <f t="shared" si="6"/>
        <v>1.2973959980939753E-3</v>
      </c>
      <c r="N205" s="49"/>
    </row>
    <row r="206" spans="3:17" ht="15.6" x14ac:dyDescent="0.3">
      <c r="D206" s="145">
        <v>45910</v>
      </c>
      <c r="E206" s="187">
        <v>24973.1</v>
      </c>
      <c r="F206" s="146">
        <f t="shared" si="6"/>
        <v>4.2020861648826013E-3</v>
      </c>
      <c r="M206" s="15"/>
      <c r="N206" s="15"/>
      <c r="O206" s="15"/>
      <c r="P206" s="15"/>
      <c r="Q206" s="15"/>
    </row>
    <row r="207" spans="3:17" ht="15.6" x14ac:dyDescent="0.3">
      <c r="D207" s="145">
        <v>45909</v>
      </c>
      <c r="E207" s="187">
        <v>24868.6</v>
      </c>
      <c r="F207" s="146">
        <f t="shared" si="6"/>
        <v>3.8529617751474898E-3</v>
      </c>
      <c r="L207" s="17"/>
    </row>
    <row r="208" spans="3:17" ht="15.6" x14ac:dyDescent="0.3">
      <c r="D208" s="145">
        <v>45908</v>
      </c>
      <c r="E208" s="187">
        <v>24773.15</v>
      </c>
      <c r="F208" s="146">
        <f t="shared" si="6"/>
        <v>1.2994624307829383E-3</v>
      </c>
      <c r="H208" s="1"/>
      <c r="K208" s="17"/>
    </row>
    <row r="209" spans="3:12" ht="15.6" x14ac:dyDescent="0.3">
      <c r="D209" s="145">
        <v>45905</v>
      </c>
      <c r="E209" s="187">
        <v>24741</v>
      </c>
      <c r="F209" s="146">
        <f t="shared" si="6"/>
        <v>2.7087890095933709E-4</v>
      </c>
      <c r="K209" s="17"/>
    </row>
    <row r="210" spans="3:12" ht="15.6" x14ac:dyDescent="0.3">
      <c r="D210" s="145">
        <v>45904</v>
      </c>
      <c r="E210" s="187">
        <v>24734.3</v>
      </c>
      <c r="F210" s="146">
        <f t="shared" si="6"/>
        <v>7.7887764742534671E-4</v>
      </c>
      <c r="K210" s="17"/>
    </row>
    <row r="211" spans="3:12" ht="15.6" x14ac:dyDescent="0.3">
      <c r="D211" s="145">
        <v>45903</v>
      </c>
      <c r="E211" s="187">
        <v>24715.05</v>
      </c>
      <c r="F211" s="146">
        <f t="shared" si="6"/>
        <v>5.510667382707668E-3</v>
      </c>
    </row>
    <row r="212" spans="3:12" ht="15.6" x14ac:dyDescent="0.3">
      <c r="D212" s="145">
        <v>45902</v>
      </c>
      <c r="E212" s="187">
        <v>24579.599999999999</v>
      </c>
      <c r="F212" s="146">
        <f t="shared" si="6"/>
        <v>-1.8456815316111319E-3</v>
      </c>
    </row>
    <row r="213" spans="3:12" ht="15.6" x14ac:dyDescent="0.3">
      <c r="D213" s="145">
        <v>45901</v>
      </c>
      <c r="E213" s="187">
        <v>24625.05</v>
      </c>
      <c r="F213" s="146">
        <f t="shared" si="6"/>
        <v>8.1140220699762455E-3</v>
      </c>
    </row>
    <row r="214" spans="3:12" ht="15.6" x14ac:dyDescent="0.3">
      <c r="D214" s="145">
        <v>45898</v>
      </c>
      <c r="E214" s="187">
        <v>24426.85</v>
      </c>
      <c r="F214" s="146">
        <f t="shared" si="6"/>
        <v>-3.0223379549323415E-3</v>
      </c>
    </row>
    <row r="215" spans="3:12" ht="15.6" x14ac:dyDescent="0.3">
      <c r="D215" s="145">
        <v>45897</v>
      </c>
      <c r="E215" s="187">
        <v>24500.9</v>
      </c>
      <c r="F215" s="146">
        <f t="shared" si="6"/>
        <v>-8.5444145669824056E-3</v>
      </c>
    </row>
    <row r="216" spans="3:12" ht="15.6" x14ac:dyDescent="0.3">
      <c r="D216" s="145">
        <v>45895</v>
      </c>
      <c r="E216" s="187">
        <v>24712.05</v>
      </c>
      <c r="F216" s="146">
        <f t="shared" si="6"/>
        <v>-1.0241211162399511E-2</v>
      </c>
      <c r="L216" s="17"/>
    </row>
    <row r="217" spans="3:12" ht="15.6" x14ac:dyDescent="0.3">
      <c r="D217" s="145">
        <v>45894</v>
      </c>
      <c r="E217" s="187">
        <v>24967.75</v>
      </c>
      <c r="F217" s="146">
        <f t="shared" si="6"/>
        <v>3.9264015826234733E-3</v>
      </c>
    </row>
    <row r="218" spans="3:12" ht="15.6" x14ac:dyDescent="0.3">
      <c r="D218" s="145">
        <v>45891</v>
      </c>
      <c r="E218" s="187">
        <v>24870.1</v>
      </c>
      <c r="F218" s="146">
        <f t="shared" si="6"/>
        <v>-8.5174664872676997E-3</v>
      </c>
    </row>
    <row r="219" spans="3:12" ht="15.6" x14ac:dyDescent="0.3">
      <c r="D219" s="145">
        <v>45890</v>
      </c>
      <c r="E219" s="187">
        <v>25083.75</v>
      </c>
      <c r="F219" s="146">
        <f t="shared" ref="F219:F282" si="7">E219/E220-1</f>
        <v>1.3253202025504951E-3</v>
      </c>
      <c r="H219" s="16"/>
      <c r="I219" s="16"/>
      <c r="J219" s="16"/>
      <c r="K219" s="16"/>
      <c r="L219" s="16"/>
    </row>
    <row r="220" spans="3:12" ht="15.6" x14ac:dyDescent="0.3">
      <c r="D220" s="145">
        <v>45889</v>
      </c>
      <c r="E220" s="187">
        <v>25050.55</v>
      </c>
      <c r="F220" s="146">
        <f t="shared" si="7"/>
        <v>2.7981657803137772E-3</v>
      </c>
    </row>
    <row r="221" spans="3:12" ht="15.6" x14ac:dyDescent="0.3">
      <c r="C221" s="14"/>
      <c r="D221" s="145">
        <v>45888</v>
      </c>
      <c r="E221" s="187">
        <v>24980.65</v>
      </c>
      <c r="F221" s="146">
        <f t="shared" si="7"/>
        <v>4.1685174428538474E-3</v>
      </c>
    </row>
    <row r="222" spans="3:12" ht="15.6" x14ac:dyDescent="0.3">
      <c r="D222" s="145">
        <v>45887</v>
      </c>
      <c r="E222" s="187">
        <v>24876.95</v>
      </c>
      <c r="F222" s="146">
        <f t="shared" si="7"/>
        <v>9.9730830285045258E-3</v>
      </c>
    </row>
    <row r="223" spans="3:12" ht="15.6" x14ac:dyDescent="0.3">
      <c r="D223" s="145">
        <v>45883</v>
      </c>
      <c r="E223" s="187">
        <v>24631.3</v>
      </c>
      <c r="F223" s="146">
        <f t="shared" si="7"/>
        <v>4.8539055661511732E-4</v>
      </c>
    </row>
    <row r="224" spans="3:12" ht="15.6" x14ac:dyDescent="0.3">
      <c r="D224" s="145">
        <v>45882</v>
      </c>
      <c r="E224" s="187">
        <v>24619.35</v>
      </c>
      <c r="F224" s="146">
        <f t="shared" si="7"/>
        <v>5.3884855068320192E-3</v>
      </c>
      <c r="H224" s="1"/>
      <c r="K224" s="17"/>
    </row>
    <row r="225" spans="3:12" ht="15.6" x14ac:dyDescent="0.3">
      <c r="D225" s="145">
        <v>45881</v>
      </c>
      <c r="E225" s="187">
        <v>24487.4</v>
      </c>
      <c r="F225" s="146">
        <f t="shared" si="7"/>
        <v>-3.9719260282162772E-3</v>
      </c>
      <c r="L225" s="17"/>
    </row>
    <row r="226" spans="3:12" ht="15.6" x14ac:dyDescent="0.3">
      <c r="D226" s="145">
        <v>45880</v>
      </c>
      <c r="E226" s="187">
        <v>24585.05</v>
      </c>
      <c r="F226" s="146">
        <f t="shared" si="7"/>
        <v>9.1018047637225763E-3</v>
      </c>
    </row>
    <row r="227" spans="3:12" ht="15.6" x14ac:dyDescent="0.3">
      <c r="D227" s="145">
        <v>45877</v>
      </c>
      <c r="E227" s="187">
        <v>24363.3</v>
      </c>
      <c r="F227" s="146">
        <f t="shared" si="7"/>
        <v>-9.4669287673071478E-3</v>
      </c>
    </row>
    <row r="228" spans="3:12" ht="15.6" x14ac:dyDescent="0.3">
      <c r="D228" s="145">
        <v>45876</v>
      </c>
      <c r="E228" s="187">
        <v>24596.15</v>
      </c>
      <c r="F228" s="146">
        <f t="shared" si="7"/>
        <v>8.9321320734758736E-4</v>
      </c>
    </row>
    <row r="229" spans="3:12" ht="15.6" x14ac:dyDescent="0.3">
      <c r="D229" s="145">
        <v>45875</v>
      </c>
      <c r="E229" s="187">
        <v>24574.2</v>
      </c>
      <c r="F229" s="146">
        <f t="shared" si="7"/>
        <v>-3.0568509364268248E-3</v>
      </c>
    </row>
    <row r="230" spans="3:12" ht="15.6" x14ac:dyDescent="0.3">
      <c r="D230" s="145">
        <v>45874</v>
      </c>
      <c r="E230" s="187">
        <v>24649.55</v>
      </c>
      <c r="F230" s="146">
        <f t="shared" si="7"/>
        <v>-2.9608356675532299E-3</v>
      </c>
    </row>
    <row r="231" spans="3:12" ht="15.6" x14ac:dyDescent="0.3">
      <c r="D231" s="145">
        <v>45873</v>
      </c>
      <c r="E231" s="187">
        <v>24722.75</v>
      </c>
      <c r="F231" s="146">
        <f t="shared" si="7"/>
        <v>6.4073990397044422E-3</v>
      </c>
      <c r="H231" s="1"/>
      <c r="K231" s="17"/>
    </row>
    <row r="232" spans="3:12" ht="15.6" x14ac:dyDescent="0.3">
      <c r="D232" s="145">
        <v>45870</v>
      </c>
      <c r="E232" s="187">
        <v>24565.35</v>
      </c>
      <c r="F232" s="146">
        <f t="shared" si="7"/>
        <v>-8.195943613522938E-3</v>
      </c>
      <c r="L232" s="1"/>
    </row>
    <row r="233" spans="3:12" ht="15.6" x14ac:dyDescent="0.3">
      <c r="D233" s="145">
        <v>45869</v>
      </c>
      <c r="E233" s="187">
        <v>24768.35</v>
      </c>
      <c r="F233" s="146">
        <f t="shared" si="7"/>
        <v>-3.4882247269669708E-3</v>
      </c>
      <c r="H233" s="16"/>
      <c r="I233" s="16"/>
      <c r="J233" s="16"/>
      <c r="K233" s="16"/>
      <c r="L233" s="19"/>
    </row>
    <row r="234" spans="3:12" ht="15.6" x14ac:dyDescent="0.3">
      <c r="D234" s="145">
        <v>45868</v>
      </c>
      <c r="E234" s="187">
        <v>24855.05</v>
      </c>
      <c r="F234" s="146">
        <f t="shared" si="7"/>
        <v>1.3677878901419138E-3</v>
      </c>
    </row>
    <row r="235" spans="3:12" ht="15.6" x14ac:dyDescent="0.3">
      <c r="C235" s="14"/>
      <c r="D235" s="145">
        <v>45867</v>
      </c>
      <c r="E235" s="187">
        <v>24821.1</v>
      </c>
      <c r="F235" s="146">
        <f t="shared" si="7"/>
        <v>5.6805059783069378E-3</v>
      </c>
    </row>
    <row r="236" spans="3:12" ht="15.6" x14ac:dyDescent="0.3">
      <c r="D236" s="145">
        <v>45866</v>
      </c>
      <c r="E236" s="187">
        <v>24680.9</v>
      </c>
      <c r="F236" s="146">
        <f t="shared" si="7"/>
        <v>-6.2849780569311786E-3</v>
      </c>
      <c r="H236" s="16"/>
      <c r="I236" s="16"/>
      <c r="J236" s="16"/>
      <c r="K236" s="16"/>
      <c r="L236" s="16"/>
    </row>
    <row r="237" spans="3:12" ht="15.6" x14ac:dyDescent="0.3">
      <c r="D237" s="145">
        <v>45863</v>
      </c>
      <c r="E237" s="187">
        <v>24837</v>
      </c>
      <c r="F237" s="146">
        <f t="shared" si="7"/>
        <v>-8.9816894833233407E-3</v>
      </c>
    </row>
    <row r="238" spans="3:12" ht="15.6" x14ac:dyDescent="0.3">
      <c r="D238" s="145">
        <v>45862</v>
      </c>
      <c r="E238" s="187">
        <v>25062.1</v>
      </c>
      <c r="F238" s="146">
        <f t="shared" si="7"/>
        <v>-6.2569637468825601E-3</v>
      </c>
    </row>
    <row r="239" spans="3:12" ht="15.6" x14ac:dyDescent="0.3">
      <c r="D239" s="145">
        <v>45861</v>
      </c>
      <c r="E239" s="187">
        <v>25219.9</v>
      </c>
      <c r="F239" s="146">
        <f t="shared" si="7"/>
        <v>6.3445446891372548E-3</v>
      </c>
    </row>
    <row r="240" spans="3:12" ht="15.6" x14ac:dyDescent="0.3">
      <c r="D240" s="145">
        <v>45860</v>
      </c>
      <c r="E240" s="187">
        <v>25060.9</v>
      </c>
      <c r="F240" s="146">
        <f t="shared" si="7"/>
        <v>-1.1876910568456855E-3</v>
      </c>
      <c r="I240" s="1"/>
      <c r="J240" s="1"/>
    </row>
    <row r="241" spans="4:12" ht="15.6" x14ac:dyDescent="0.3">
      <c r="D241" s="145">
        <v>45859</v>
      </c>
      <c r="E241" s="187">
        <v>25090.7</v>
      </c>
      <c r="F241" s="146">
        <f t="shared" si="7"/>
        <v>4.8981913138206323E-3</v>
      </c>
    </row>
    <row r="242" spans="4:12" ht="15.6" x14ac:dyDescent="0.3">
      <c r="D242" s="145">
        <v>45856</v>
      </c>
      <c r="E242" s="187">
        <v>24968.400000000001</v>
      </c>
      <c r="F242" s="146">
        <f t="shared" si="7"/>
        <v>-5.6966045369741813E-3</v>
      </c>
    </row>
    <row r="243" spans="4:12" ht="15.6" x14ac:dyDescent="0.3">
      <c r="D243" s="145">
        <v>45855</v>
      </c>
      <c r="E243" s="187">
        <v>25111.45</v>
      </c>
      <c r="F243" s="146">
        <f t="shared" si="7"/>
        <v>-3.9901555010400935E-3</v>
      </c>
    </row>
    <row r="244" spans="4:12" ht="15.6" x14ac:dyDescent="0.3">
      <c r="D244" s="145">
        <v>45854</v>
      </c>
      <c r="E244" s="187">
        <v>25212.05</v>
      </c>
      <c r="F244" s="146">
        <f t="shared" si="7"/>
        <v>6.4494876130138934E-4</v>
      </c>
    </row>
    <row r="245" spans="4:12" ht="15.6" x14ac:dyDescent="0.3">
      <c r="D245" s="145">
        <v>45853</v>
      </c>
      <c r="E245" s="187">
        <v>25195.8</v>
      </c>
      <c r="F245" s="146">
        <f t="shared" si="7"/>
        <v>4.5251033597397683E-3</v>
      </c>
    </row>
    <row r="246" spans="4:12" ht="15.6" x14ac:dyDescent="0.3">
      <c r="D246" s="145">
        <v>45852</v>
      </c>
      <c r="E246" s="187">
        <v>25082.3</v>
      </c>
      <c r="F246" s="146">
        <f t="shared" si="7"/>
        <v>-2.68590071113739E-3</v>
      </c>
      <c r="H246" s="16"/>
      <c r="I246" s="16"/>
      <c r="J246" s="16"/>
      <c r="K246" s="16"/>
      <c r="L246" s="16"/>
    </row>
    <row r="247" spans="4:12" ht="15.6" x14ac:dyDescent="0.3">
      <c r="D247" s="145">
        <v>45849</v>
      </c>
      <c r="E247" s="187">
        <v>25149.85</v>
      </c>
      <c r="F247" s="146">
        <f t="shared" si="7"/>
        <v>-8.1008864041963724E-3</v>
      </c>
    </row>
    <row r="248" spans="4:12" ht="15.6" x14ac:dyDescent="0.3">
      <c r="D248" s="145">
        <v>45848</v>
      </c>
      <c r="E248" s="187">
        <v>25355.25</v>
      </c>
      <c r="F248" s="146">
        <f t="shared" si="7"/>
        <v>-4.7436617064621212E-3</v>
      </c>
    </row>
    <row r="249" spans="4:12" ht="15.6" x14ac:dyDescent="0.3">
      <c r="D249" s="145">
        <v>45847</v>
      </c>
      <c r="E249" s="187">
        <v>25476.1</v>
      </c>
      <c r="F249" s="146">
        <f t="shared" si="7"/>
        <v>-1.8180037222059742E-3</v>
      </c>
    </row>
    <row r="250" spans="4:12" ht="15.6" x14ac:dyDescent="0.3">
      <c r="D250" s="145">
        <v>45846</v>
      </c>
      <c r="E250" s="187">
        <v>25522.5</v>
      </c>
      <c r="F250" s="146">
        <f t="shared" si="7"/>
        <v>2.403647889149374E-3</v>
      </c>
    </row>
    <row r="251" spans="4:12" ht="15.6" x14ac:dyDescent="0.3">
      <c r="D251" s="145">
        <v>45845</v>
      </c>
      <c r="E251" s="187">
        <v>25461.3</v>
      </c>
      <c r="F251" s="146">
        <f t="shared" si="7"/>
        <v>1.1782726522913123E-5</v>
      </c>
    </row>
    <row r="252" spans="4:12" ht="15.6" x14ac:dyDescent="0.3">
      <c r="D252" s="145">
        <v>45842</v>
      </c>
      <c r="E252" s="187">
        <v>25461</v>
      </c>
      <c r="F252" s="146">
        <f t="shared" si="7"/>
        <v>2.1924559048702719E-3</v>
      </c>
    </row>
    <row r="253" spans="4:12" ht="15.6" x14ac:dyDescent="0.3">
      <c r="D253" s="145">
        <v>45841</v>
      </c>
      <c r="E253" s="187">
        <v>25405.3</v>
      </c>
      <c r="F253" s="146">
        <f t="shared" si="7"/>
        <v>-1.8897278948981633E-3</v>
      </c>
    </row>
    <row r="254" spans="4:12" ht="15.6" x14ac:dyDescent="0.3">
      <c r="D254" s="145">
        <v>45840</v>
      </c>
      <c r="E254" s="187">
        <v>25453.4</v>
      </c>
      <c r="F254" s="146">
        <f t="shared" si="7"/>
        <v>-3.4609933520737268E-3</v>
      </c>
    </row>
    <row r="255" spans="4:12" ht="15.6" x14ac:dyDescent="0.3">
      <c r="D255" s="145">
        <v>45839</v>
      </c>
      <c r="E255" s="187">
        <v>25541.8</v>
      </c>
      <c r="F255" s="146">
        <f t="shared" si="7"/>
        <v>9.6993970698022736E-4</v>
      </c>
    </row>
    <row r="256" spans="4:12" ht="15.6" x14ac:dyDescent="0.3">
      <c r="D256" s="145">
        <v>45838</v>
      </c>
      <c r="E256" s="187">
        <v>25517.05</v>
      </c>
      <c r="F256" s="146">
        <f t="shared" si="7"/>
        <v>-4.7098424981862896E-3</v>
      </c>
    </row>
    <row r="257" spans="4:6" ht="15.6" x14ac:dyDescent="0.3">
      <c r="D257" s="145">
        <v>45835</v>
      </c>
      <c r="E257" s="187">
        <v>25637.8</v>
      </c>
      <c r="F257" s="146">
        <f t="shared" si="7"/>
        <v>3.4756741946846414E-3</v>
      </c>
    </row>
    <row r="258" spans="4:6" ht="15.6" x14ac:dyDescent="0.3">
      <c r="D258" s="145">
        <v>45834</v>
      </c>
      <c r="E258" s="187">
        <v>25549</v>
      </c>
      <c r="F258" s="146">
        <f t="shared" si="7"/>
        <v>1.2052010814129765E-2</v>
      </c>
    </row>
    <row r="259" spans="4:6" ht="15.6" x14ac:dyDescent="0.3">
      <c r="D259" s="145">
        <v>45833</v>
      </c>
      <c r="E259" s="187">
        <v>25244.75</v>
      </c>
      <c r="F259" s="146">
        <f t="shared" si="7"/>
        <v>8.001804798287937E-3</v>
      </c>
    </row>
    <row r="260" spans="4:6" ht="15.6" x14ac:dyDescent="0.3">
      <c r="D260" s="145">
        <v>45832</v>
      </c>
      <c r="E260" s="187">
        <v>25044.35</v>
      </c>
      <c r="F260" s="146">
        <f t="shared" si="7"/>
        <v>2.9012610173835274E-3</v>
      </c>
    </row>
    <row r="261" spans="4:6" ht="15.6" x14ac:dyDescent="0.3">
      <c r="D261" s="145">
        <v>45831</v>
      </c>
      <c r="E261" s="187">
        <v>24971.9</v>
      </c>
      <c r="F261" s="146">
        <f t="shared" si="7"/>
        <v>-5.594845574297902E-3</v>
      </c>
    </row>
    <row r="262" spans="4:6" ht="15.6" x14ac:dyDescent="0.3">
      <c r="D262" s="145">
        <v>45828</v>
      </c>
      <c r="E262" s="187">
        <v>25112.400000000001</v>
      </c>
      <c r="F262" s="146">
        <f t="shared" si="7"/>
        <v>1.2872455204541611E-2</v>
      </c>
    </row>
    <row r="263" spans="4:6" ht="15.6" x14ac:dyDescent="0.3">
      <c r="D263" s="145">
        <v>45827</v>
      </c>
      <c r="E263" s="187">
        <v>24793.25</v>
      </c>
      <c r="F263" s="146">
        <f t="shared" si="7"/>
        <v>-7.5769636124378703E-4</v>
      </c>
    </row>
    <row r="264" spans="4:6" ht="15.6" x14ac:dyDescent="0.3">
      <c r="D264" s="145">
        <v>45826</v>
      </c>
      <c r="E264" s="187">
        <v>24812.05</v>
      </c>
      <c r="F264" s="146">
        <f t="shared" si="7"/>
        <v>-1.6637562667483063E-3</v>
      </c>
    </row>
    <row r="265" spans="4:6" ht="15.6" x14ac:dyDescent="0.3">
      <c r="D265" s="145">
        <v>45825</v>
      </c>
      <c r="E265" s="187">
        <v>24853.4</v>
      </c>
      <c r="F265" s="146">
        <f t="shared" si="7"/>
        <v>-3.7319864510051426E-3</v>
      </c>
    </row>
    <row r="266" spans="4:6" ht="15.6" x14ac:dyDescent="0.3">
      <c r="D266" s="145">
        <v>45824</v>
      </c>
      <c r="E266" s="187">
        <v>24946.5</v>
      </c>
      <c r="F266" s="146">
        <f t="shared" si="7"/>
        <v>9.2197778191323021E-3</v>
      </c>
    </row>
    <row r="267" spans="4:6" ht="15.6" x14ac:dyDescent="0.3">
      <c r="D267" s="145">
        <v>45821</v>
      </c>
      <c r="E267" s="187">
        <v>24718.6</v>
      </c>
      <c r="F267" s="146">
        <f t="shared" si="7"/>
        <v>-6.8144743292002374E-3</v>
      </c>
    </row>
    <row r="268" spans="4:6" ht="15.6" x14ac:dyDescent="0.3">
      <c r="D268" s="145">
        <v>45820</v>
      </c>
      <c r="E268" s="187">
        <v>24888.2</v>
      </c>
      <c r="F268" s="146">
        <f t="shared" si="7"/>
        <v>-1.0071038207896121E-2</v>
      </c>
    </row>
    <row r="269" spans="4:6" ht="15.6" x14ac:dyDescent="0.3">
      <c r="D269" s="145">
        <v>45819</v>
      </c>
      <c r="E269" s="187">
        <v>25141.4</v>
      </c>
      <c r="F269" s="146">
        <f t="shared" si="7"/>
        <v>1.4798291126005836E-3</v>
      </c>
    </row>
    <row r="270" spans="4:6" ht="15.6" x14ac:dyDescent="0.3">
      <c r="D270" s="145">
        <v>45818</v>
      </c>
      <c r="E270" s="187">
        <v>25104.25</v>
      </c>
      <c r="F270" s="146">
        <f t="shared" si="7"/>
        <v>4.1827336753952338E-5</v>
      </c>
    </row>
    <row r="271" spans="4:6" ht="15.6" x14ac:dyDescent="0.3">
      <c r="D271" s="145">
        <v>45817</v>
      </c>
      <c r="E271" s="187">
        <v>25103.200000000001</v>
      </c>
      <c r="F271" s="146">
        <f t="shared" si="7"/>
        <v>4.0055113276180609E-3</v>
      </c>
    </row>
    <row r="272" spans="4:6" ht="15.6" x14ac:dyDescent="0.3">
      <c r="D272" s="145">
        <v>45814</v>
      </c>
      <c r="E272" s="187">
        <v>25003.05</v>
      </c>
      <c r="F272" s="146">
        <f t="shared" si="7"/>
        <v>1.0187508333030282E-2</v>
      </c>
    </row>
    <row r="273" spans="4:6" ht="15.6" x14ac:dyDescent="0.3">
      <c r="D273" s="145">
        <v>45813</v>
      </c>
      <c r="E273" s="187">
        <v>24750.9</v>
      </c>
      <c r="F273" s="146">
        <f t="shared" si="7"/>
        <v>5.3086489955402882E-3</v>
      </c>
    </row>
    <row r="274" spans="4:6" ht="15.6" x14ac:dyDescent="0.3">
      <c r="D274" s="145">
        <v>45812</v>
      </c>
      <c r="E274" s="187">
        <v>24620.2</v>
      </c>
      <c r="F274" s="146">
        <f t="shared" si="7"/>
        <v>3.1659366405216716E-3</v>
      </c>
    </row>
    <row r="275" spans="4:6" ht="15.6" x14ac:dyDescent="0.3">
      <c r="D275" s="145">
        <v>45811</v>
      </c>
      <c r="E275" s="187">
        <v>24542.5</v>
      </c>
      <c r="F275" s="146">
        <f t="shared" si="7"/>
        <v>-7.0438490730925229E-3</v>
      </c>
    </row>
    <row r="276" spans="4:6" ht="15.6" x14ac:dyDescent="0.3">
      <c r="D276" s="145">
        <v>45810</v>
      </c>
      <c r="E276" s="187">
        <v>24716.6</v>
      </c>
      <c r="F276" s="146">
        <f t="shared" si="7"/>
        <v>-1.3777388114276645E-3</v>
      </c>
    </row>
    <row r="277" spans="4:6" ht="15.6" x14ac:dyDescent="0.3">
      <c r="D277" s="145">
        <v>45807</v>
      </c>
      <c r="E277" s="187">
        <v>24750.7</v>
      </c>
      <c r="F277" s="146">
        <f t="shared" si="7"/>
        <v>-3.3382191869080202E-3</v>
      </c>
    </row>
    <row r="278" spans="4:6" ht="15.6" x14ac:dyDescent="0.3">
      <c r="D278" s="145">
        <v>45806</v>
      </c>
      <c r="E278" s="187">
        <v>24833.599999999999</v>
      </c>
      <c r="F278" s="146">
        <f t="shared" si="7"/>
        <v>3.2784633440325894E-3</v>
      </c>
    </row>
    <row r="279" spans="4:6" ht="15.6" x14ac:dyDescent="0.3">
      <c r="D279" s="145">
        <v>45805</v>
      </c>
      <c r="E279" s="187">
        <v>24752.45</v>
      </c>
      <c r="F279" s="146">
        <f t="shared" si="7"/>
        <v>-2.9706519725128944E-3</v>
      </c>
    </row>
    <row r="280" spans="4:6" ht="15.6" x14ac:dyDescent="0.3">
      <c r="D280" s="145">
        <v>45804</v>
      </c>
      <c r="E280" s="187">
        <v>24826.2</v>
      </c>
      <c r="F280" s="146">
        <f t="shared" si="7"/>
        <v>-6.9976781068070704E-3</v>
      </c>
    </row>
    <row r="281" spans="4:6" ht="15.6" x14ac:dyDescent="0.3">
      <c r="D281" s="145">
        <v>45803</v>
      </c>
      <c r="E281" s="187">
        <v>25001.15</v>
      </c>
      <c r="F281" s="146">
        <f t="shared" si="7"/>
        <v>5.954979549875894E-3</v>
      </c>
    </row>
    <row r="282" spans="4:6" ht="15.6" x14ac:dyDescent="0.3">
      <c r="D282" s="145">
        <v>45800</v>
      </c>
      <c r="E282" s="187">
        <v>24853.15</v>
      </c>
      <c r="F282" s="146">
        <f t="shared" si="7"/>
        <v>9.8924407855438545E-3</v>
      </c>
    </row>
    <row r="283" spans="4:6" ht="15.6" x14ac:dyDescent="0.3">
      <c r="D283" s="145">
        <v>45799</v>
      </c>
      <c r="E283" s="187">
        <v>24609.7</v>
      </c>
      <c r="F283" s="146">
        <f t="shared" ref="F283:F346" si="8">E283/E284-1</f>
        <v>-8.2112725155107924E-3</v>
      </c>
    </row>
    <row r="284" spans="4:6" ht="15.6" x14ac:dyDescent="0.3">
      <c r="D284" s="145">
        <v>45798</v>
      </c>
      <c r="E284" s="187">
        <v>24813.45</v>
      </c>
      <c r="F284" s="146">
        <f t="shared" si="8"/>
        <v>5.2483602672186436E-3</v>
      </c>
    </row>
    <row r="285" spans="4:6" ht="15.6" x14ac:dyDescent="0.3">
      <c r="D285" s="145">
        <v>45797</v>
      </c>
      <c r="E285" s="187">
        <v>24683.9</v>
      </c>
      <c r="F285" s="146">
        <f t="shared" si="8"/>
        <v>-1.0484878003804265E-2</v>
      </c>
    </row>
    <row r="286" spans="4:6" ht="15.6" x14ac:dyDescent="0.3">
      <c r="D286" s="145">
        <v>45796</v>
      </c>
      <c r="E286" s="187">
        <v>24945.45</v>
      </c>
      <c r="F286" s="146">
        <f t="shared" si="8"/>
        <v>-2.9716464560067823E-3</v>
      </c>
    </row>
    <row r="287" spans="4:6" ht="15.6" x14ac:dyDescent="0.3">
      <c r="D287" s="145">
        <v>45793</v>
      </c>
      <c r="E287" s="187">
        <v>25019.8</v>
      </c>
      <c r="F287" s="146">
        <f t="shared" si="8"/>
        <v>-1.6878074862042292E-3</v>
      </c>
    </row>
    <row r="288" spans="4:6" ht="15.6" x14ac:dyDescent="0.3">
      <c r="D288" s="145">
        <v>45792</v>
      </c>
      <c r="E288" s="187">
        <v>25062.1</v>
      </c>
      <c r="F288" s="146">
        <f t="shared" si="8"/>
        <v>1.6021470067175025E-2</v>
      </c>
    </row>
    <row r="289" spans="4:6" ht="15.6" x14ac:dyDescent="0.3">
      <c r="D289" s="145">
        <v>45791</v>
      </c>
      <c r="E289" s="187">
        <v>24666.9</v>
      </c>
      <c r="F289" s="146">
        <f t="shared" si="8"/>
        <v>3.602764221357635E-3</v>
      </c>
    </row>
    <row r="290" spans="4:6" ht="15.6" x14ac:dyDescent="0.3">
      <c r="D290" s="145">
        <v>45790</v>
      </c>
      <c r="E290" s="187">
        <v>24578.35</v>
      </c>
      <c r="F290" s="146">
        <f t="shared" si="8"/>
        <v>-1.3895854313191403E-2</v>
      </c>
    </row>
    <row r="291" spans="4:6" ht="15.6" x14ac:dyDescent="0.3">
      <c r="D291" s="145">
        <v>45789</v>
      </c>
      <c r="E291" s="187">
        <v>24924.7</v>
      </c>
      <c r="F291" s="146">
        <f t="shared" si="8"/>
        <v>3.8183105631456105E-2</v>
      </c>
    </row>
    <row r="292" spans="4:6" ht="15.6" x14ac:dyDescent="0.3">
      <c r="D292" s="145">
        <v>45786</v>
      </c>
      <c r="E292" s="187">
        <v>24008</v>
      </c>
      <c r="F292" s="146">
        <f t="shared" si="8"/>
        <v>-1.0950077861727414E-2</v>
      </c>
    </row>
    <row r="293" spans="4:6" ht="15.6" x14ac:dyDescent="0.3">
      <c r="D293" s="145">
        <v>45785</v>
      </c>
      <c r="E293" s="187">
        <v>24273.8</v>
      </c>
      <c r="F293" s="146">
        <f t="shared" si="8"/>
        <v>-5.758896389016388E-3</v>
      </c>
    </row>
    <row r="294" spans="4:6" ht="15.6" x14ac:dyDescent="0.3">
      <c r="D294" s="145">
        <v>45784</v>
      </c>
      <c r="E294" s="187">
        <v>24414.400000000001</v>
      </c>
      <c r="F294" s="146">
        <f t="shared" si="8"/>
        <v>1.4274229273656402E-3</v>
      </c>
    </row>
    <row r="295" spans="4:6" ht="15.6" x14ac:dyDescent="0.3">
      <c r="D295" s="145">
        <v>45783</v>
      </c>
      <c r="E295" s="187">
        <v>24379.599999999999</v>
      </c>
      <c r="F295" s="146">
        <f t="shared" si="8"/>
        <v>-3.3338579747886898E-3</v>
      </c>
    </row>
    <row r="296" spans="4:6" ht="15.6" x14ac:dyDescent="0.3">
      <c r="D296" s="145">
        <v>45782</v>
      </c>
      <c r="E296" s="187">
        <v>24461.15</v>
      </c>
      <c r="F296" s="146">
        <f t="shared" si="8"/>
        <v>4.7008424139616256E-3</v>
      </c>
    </row>
    <row r="297" spans="4:6" ht="15.6" x14ac:dyDescent="0.3">
      <c r="D297" s="145">
        <v>45779</v>
      </c>
      <c r="E297" s="187">
        <v>24346.7</v>
      </c>
      <c r="F297" s="146">
        <f t="shared" si="8"/>
        <v>5.1368033467302787E-4</v>
      </c>
    </row>
    <row r="298" spans="4:6" ht="15.6" x14ac:dyDescent="0.3">
      <c r="D298" s="145">
        <v>45777</v>
      </c>
      <c r="E298" s="187">
        <v>24334.2</v>
      </c>
      <c r="F298" s="146">
        <f t="shared" si="8"/>
        <v>-7.1910075423398112E-5</v>
      </c>
    </row>
    <row r="299" spans="4:6" ht="15.6" x14ac:dyDescent="0.3">
      <c r="D299" s="145">
        <v>45776</v>
      </c>
      <c r="E299" s="187">
        <v>24335.95</v>
      </c>
      <c r="F299" s="146">
        <f t="shared" si="8"/>
        <v>3.0622520911682827E-4</v>
      </c>
    </row>
    <row r="300" spans="4:6" ht="15.6" x14ac:dyDescent="0.3">
      <c r="D300" s="145">
        <v>45775</v>
      </c>
      <c r="E300" s="187">
        <v>24328.5</v>
      </c>
      <c r="F300" s="146">
        <f t="shared" si="8"/>
        <v>1.2028195437896683E-2</v>
      </c>
    </row>
    <row r="301" spans="4:6" ht="15.6" x14ac:dyDescent="0.3">
      <c r="D301" s="145">
        <v>45772</v>
      </c>
      <c r="E301" s="187">
        <v>24039.35</v>
      </c>
      <c r="F301" s="146">
        <f t="shared" si="8"/>
        <v>-8.5516791975815964E-3</v>
      </c>
    </row>
    <row r="302" spans="4:6" ht="15.6" x14ac:dyDescent="0.3">
      <c r="D302" s="145">
        <v>45771</v>
      </c>
      <c r="E302" s="187">
        <v>24246.7</v>
      </c>
      <c r="F302" s="146">
        <f t="shared" si="8"/>
        <v>-3.380745983694311E-3</v>
      </c>
    </row>
    <row r="303" spans="4:6" ht="15.6" x14ac:dyDescent="0.3">
      <c r="D303" s="145">
        <v>45770</v>
      </c>
      <c r="E303" s="187">
        <v>24328.95</v>
      </c>
      <c r="F303" s="146">
        <f t="shared" si="8"/>
        <v>6.6908729789281196E-3</v>
      </c>
    </row>
    <row r="304" spans="4:6" ht="15.6" x14ac:dyDescent="0.3">
      <c r="D304" s="145">
        <v>45769</v>
      </c>
      <c r="E304" s="187">
        <v>24167.25</v>
      </c>
      <c r="F304" s="146">
        <f t="shared" si="8"/>
        <v>1.7284580040661801E-3</v>
      </c>
    </row>
    <row r="305" spans="4:6" ht="15.6" x14ac:dyDescent="0.3">
      <c r="D305" s="145">
        <v>45768</v>
      </c>
      <c r="E305" s="187">
        <v>24125.55</v>
      </c>
      <c r="F305" s="146">
        <f t="shared" si="8"/>
        <v>1.1483482274811108E-2</v>
      </c>
    </row>
    <row r="306" spans="4:6" ht="15.6" x14ac:dyDescent="0.3">
      <c r="D306" s="145">
        <v>45764</v>
      </c>
      <c r="E306" s="187">
        <v>23851.65</v>
      </c>
      <c r="F306" s="146">
        <f t="shared" si="8"/>
        <v>1.7683426347857356E-2</v>
      </c>
    </row>
    <row r="307" spans="4:6" ht="15.6" x14ac:dyDescent="0.3">
      <c r="D307" s="145">
        <v>45763</v>
      </c>
      <c r="E307" s="187">
        <v>23437.200000000001</v>
      </c>
      <c r="F307" s="146">
        <f t="shared" si="8"/>
        <v>4.6573833350123106E-3</v>
      </c>
    </row>
    <row r="308" spans="4:6" ht="15.6" x14ac:dyDescent="0.3">
      <c r="D308" s="145">
        <v>45762</v>
      </c>
      <c r="E308" s="187">
        <v>23328.55</v>
      </c>
      <c r="F308" s="146">
        <f t="shared" si="8"/>
        <v>2.1902398531663314E-2</v>
      </c>
    </row>
    <row r="309" spans="4:6" ht="15.6" x14ac:dyDescent="0.3">
      <c r="D309" s="145">
        <v>45758</v>
      </c>
      <c r="E309" s="187">
        <v>22828.55</v>
      </c>
      <c r="F309" s="146">
        <f t="shared" si="8"/>
        <v>1.91703703042303E-2</v>
      </c>
    </row>
    <row r="310" spans="4:6" ht="15.6" x14ac:dyDescent="0.3">
      <c r="D310" s="145">
        <v>45756</v>
      </c>
      <c r="E310" s="187">
        <v>22399.15</v>
      </c>
      <c r="F310" s="146">
        <f t="shared" si="8"/>
        <v>-6.0658905699140231E-3</v>
      </c>
    </row>
    <row r="311" spans="4:6" ht="15.6" x14ac:dyDescent="0.3">
      <c r="D311" s="145">
        <v>45755</v>
      </c>
      <c r="E311" s="187">
        <v>22535.85</v>
      </c>
      <c r="F311" s="146">
        <f t="shared" si="8"/>
        <v>1.68873186051548E-2</v>
      </c>
    </row>
    <row r="312" spans="4:6" ht="15.6" x14ac:dyDescent="0.3">
      <c r="D312" s="145">
        <v>45754</v>
      </c>
      <c r="E312" s="187">
        <v>22161.599999999999</v>
      </c>
      <c r="F312" s="146">
        <f t="shared" si="8"/>
        <v>-3.2432562231356932E-2</v>
      </c>
    </row>
    <row r="313" spans="4:6" ht="15.6" x14ac:dyDescent="0.3">
      <c r="D313" s="145">
        <v>45751</v>
      </c>
      <c r="E313" s="187">
        <v>22904.45</v>
      </c>
      <c r="F313" s="146">
        <f t="shared" si="8"/>
        <v>-1.4866602724289302E-2</v>
      </c>
    </row>
    <row r="314" spans="4:6" ht="15.6" x14ac:dyDescent="0.3">
      <c r="D314" s="145">
        <v>45750</v>
      </c>
      <c r="E314" s="187">
        <v>23250.1</v>
      </c>
      <c r="F314" s="146">
        <f t="shared" si="8"/>
        <v>-3.5251485598322141E-3</v>
      </c>
    </row>
    <row r="315" spans="4:6" ht="15.6" x14ac:dyDescent="0.3">
      <c r="D315" s="145">
        <v>45749</v>
      </c>
      <c r="E315" s="187">
        <v>23332.35</v>
      </c>
      <c r="F315" s="146">
        <f t="shared" si="8"/>
        <v>7.1938253538634811E-3</v>
      </c>
    </row>
    <row r="316" spans="4:6" ht="15.6" x14ac:dyDescent="0.3">
      <c r="D316" s="145">
        <v>45748</v>
      </c>
      <c r="E316" s="187">
        <v>23165.7</v>
      </c>
      <c r="F316" s="146">
        <f t="shared" si="8"/>
        <v>-1.5036555006834651E-2</v>
      </c>
    </row>
    <row r="317" spans="4:6" ht="15.6" x14ac:dyDescent="0.3">
      <c r="D317" s="145">
        <v>45744</v>
      </c>
      <c r="E317" s="187">
        <v>23519.35</v>
      </c>
      <c r="F317" s="146">
        <f t="shared" si="8"/>
        <v>-3.0773208658039231E-3</v>
      </c>
    </row>
    <row r="318" spans="4:6" ht="15.6" x14ac:dyDescent="0.3">
      <c r="D318" s="145">
        <v>45743</v>
      </c>
      <c r="E318" s="187">
        <v>23591.95</v>
      </c>
      <c r="F318" s="146">
        <f t="shared" si="8"/>
        <v>4.4748444342259663E-3</v>
      </c>
    </row>
    <row r="319" spans="4:6" ht="15.6" x14ac:dyDescent="0.3">
      <c r="D319" s="145">
        <v>45742</v>
      </c>
      <c r="E319" s="187">
        <v>23486.85</v>
      </c>
      <c r="F319" s="146">
        <f t="shared" si="8"/>
        <v>-7.6810464475161044E-3</v>
      </c>
    </row>
    <row r="320" spans="4:6" ht="15.6" x14ac:dyDescent="0.3">
      <c r="D320" s="145">
        <v>45741</v>
      </c>
      <c r="E320" s="187">
        <v>23668.65</v>
      </c>
      <c r="F320" s="146">
        <f t="shared" si="8"/>
        <v>4.353642582852757E-4</v>
      </c>
    </row>
    <row r="321" spans="4:6" ht="15.6" x14ac:dyDescent="0.3">
      <c r="D321" s="145">
        <v>45740</v>
      </c>
      <c r="E321" s="187">
        <v>23658.35</v>
      </c>
      <c r="F321" s="146">
        <f t="shared" si="8"/>
        <v>1.3188210908592346E-2</v>
      </c>
    </row>
    <row r="322" spans="4:6" ht="15.6" x14ac:dyDescent="0.3">
      <c r="D322" s="145">
        <v>45737</v>
      </c>
      <c r="E322" s="187">
        <v>23350.400000000001</v>
      </c>
      <c r="F322" s="146">
        <f t="shared" si="8"/>
        <v>6.8885520673203082E-3</v>
      </c>
    </row>
    <row r="323" spans="4:6" ht="15.6" x14ac:dyDescent="0.3">
      <c r="D323" s="145">
        <v>45736</v>
      </c>
      <c r="E323" s="187">
        <v>23190.65</v>
      </c>
      <c r="F323" s="146">
        <f t="shared" si="8"/>
        <v>1.2356161273987754E-2</v>
      </c>
    </row>
    <row r="324" spans="4:6" ht="15.6" x14ac:dyDescent="0.3">
      <c r="D324" s="145">
        <v>45735</v>
      </c>
      <c r="E324" s="187">
        <v>22907.599999999999</v>
      </c>
      <c r="F324" s="146">
        <f t="shared" si="8"/>
        <v>3.2100830767747279E-3</v>
      </c>
    </row>
    <row r="325" spans="4:6" ht="15.6" x14ac:dyDescent="0.3">
      <c r="D325" s="145">
        <v>45734</v>
      </c>
      <c r="E325" s="187">
        <v>22834.3</v>
      </c>
      <c r="F325" s="146">
        <f t="shared" si="8"/>
        <v>1.4463264286110888E-2</v>
      </c>
    </row>
    <row r="326" spans="4:6" ht="15.6" x14ac:dyDescent="0.3">
      <c r="D326" s="145">
        <v>45733</v>
      </c>
      <c r="E326" s="187">
        <v>22508.75</v>
      </c>
      <c r="F326" s="146">
        <f t="shared" si="8"/>
        <v>4.9805332809458314E-3</v>
      </c>
    </row>
    <row r="327" spans="4:6" ht="15.6" x14ac:dyDescent="0.3">
      <c r="D327" s="145">
        <v>45729</v>
      </c>
      <c r="E327" s="187">
        <v>22397.200000000001</v>
      </c>
      <c r="F327" s="146">
        <f t="shared" si="8"/>
        <v>-3.2620546939320372E-3</v>
      </c>
    </row>
    <row r="328" spans="4:6" ht="15.6" x14ac:dyDescent="0.3">
      <c r="D328" s="145">
        <v>45728</v>
      </c>
      <c r="E328" s="187">
        <v>22470.5</v>
      </c>
      <c r="F328" s="146">
        <f t="shared" si="8"/>
        <v>-1.2178914476462799E-3</v>
      </c>
    </row>
    <row r="329" spans="4:6" ht="15.6" x14ac:dyDescent="0.3">
      <c r="D329" s="145">
        <v>45727</v>
      </c>
      <c r="E329" s="187">
        <v>22497.9</v>
      </c>
      <c r="F329" s="146">
        <f t="shared" si="8"/>
        <v>1.6740649056334878E-3</v>
      </c>
    </row>
    <row r="330" spans="4:6" ht="15.6" x14ac:dyDescent="0.3">
      <c r="D330" s="145">
        <v>45726</v>
      </c>
      <c r="E330" s="187">
        <v>22460.3</v>
      </c>
      <c r="F330" s="146">
        <f t="shared" si="8"/>
        <v>-4.0882385544840361E-3</v>
      </c>
    </row>
    <row r="331" spans="4:6" ht="15.6" x14ac:dyDescent="0.3">
      <c r="D331" s="145">
        <v>45723</v>
      </c>
      <c r="E331" s="187">
        <v>22552.5</v>
      </c>
      <c r="F331" s="146">
        <f t="shared" si="8"/>
        <v>3.459793210820461E-4</v>
      </c>
    </row>
    <row r="332" spans="4:6" ht="15.6" x14ac:dyDescent="0.3">
      <c r="D332" s="145">
        <v>45722</v>
      </c>
      <c r="E332" s="187">
        <v>22544.7</v>
      </c>
      <c r="F332" s="146">
        <f t="shared" si="8"/>
        <v>9.2849180518683738E-3</v>
      </c>
    </row>
    <row r="333" spans="4:6" ht="15.6" x14ac:dyDescent="0.3">
      <c r="D333" s="145">
        <v>45721</v>
      </c>
      <c r="E333" s="187">
        <v>22337.3</v>
      </c>
      <c r="F333" s="146">
        <f t="shared" si="8"/>
        <v>1.1531677583985545E-2</v>
      </c>
    </row>
    <row r="334" spans="4:6" ht="15.6" x14ac:dyDescent="0.3">
      <c r="D334" s="145">
        <v>45720</v>
      </c>
      <c r="E334" s="187">
        <v>22082.65</v>
      </c>
      <c r="F334" s="146">
        <f t="shared" si="8"/>
        <v>-1.6569240437083188E-3</v>
      </c>
    </row>
    <row r="335" spans="4:6" ht="15.6" x14ac:dyDescent="0.3">
      <c r="D335" s="145">
        <v>45719</v>
      </c>
      <c r="E335" s="187">
        <v>22119.3</v>
      </c>
      <c r="F335" s="146">
        <f t="shared" si="8"/>
        <v>-2.4407110604895976E-4</v>
      </c>
    </row>
    <row r="336" spans="4:6" ht="15.6" x14ac:dyDescent="0.3">
      <c r="D336" s="145">
        <v>45716</v>
      </c>
      <c r="E336" s="187">
        <v>22124.7</v>
      </c>
      <c r="F336" s="146">
        <f t="shared" si="8"/>
        <v>-1.8644891007116748E-2</v>
      </c>
    </row>
    <row r="337" spans="4:6" ht="15.6" x14ac:dyDescent="0.3">
      <c r="D337" s="145">
        <v>45715</v>
      </c>
      <c r="E337" s="187">
        <v>22545.05</v>
      </c>
      <c r="F337" s="146">
        <f t="shared" si="8"/>
        <v>-1.1087679149179852E-4</v>
      </c>
    </row>
    <row r="338" spans="4:6" ht="15.6" x14ac:dyDescent="0.3">
      <c r="D338" s="145">
        <v>45713</v>
      </c>
      <c r="E338" s="187">
        <v>22547.55</v>
      </c>
      <c r="F338" s="146">
        <f t="shared" si="8"/>
        <v>-2.5716800386632599E-4</v>
      </c>
    </row>
    <row r="339" spans="4:6" ht="15.6" x14ac:dyDescent="0.3">
      <c r="D339" s="145">
        <v>45712</v>
      </c>
      <c r="E339" s="187">
        <v>22553.35</v>
      </c>
      <c r="F339" s="146">
        <f t="shared" si="8"/>
        <v>-1.0640071240881177E-2</v>
      </c>
    </row>
    <row r="340" spans="4:6" ht="15.6" x14ac:dyDescent="0.3">
      <c r="D340" s="145">
        <v>45709</v>
      </c>
      <c r="E340" s="187">
        <v>22795.9</v>
      </c>
      <c r="F340" s="146">
        <f t="shared" si="8"/>
        <v>-5.1171488861200265E-3</v>
      </c>
    </row>
    <row r="341" spans="4:6" ht="15.6" x14ac:dyDescent="0.3">
      <c r="D341" s="145">
        <v>45708</v>
      </c>
      <c r="E341" s="187">
        <v>22913.15</v>
      </c>
      <c r="F341" s="146">
        <f t="shared" si="8"/>
        <v>-8.6120813329326751E-4</v>
      </c>
    </row>
    <row r="342" spans="4:6" ht="15.6" x14ac:dyDescent="0.3">
      <c r="D342" s="145">
        <v>45707</v>
      </c>
      <c r="E342" s="187">
        <v>22932.9</v>
      </c>
      <c r="F342" s="146">
        <f t="shared" si="8"/>
        <v>-5.4041568425766684E-4</v>
      </c>
    </row>
    <row r="343" spans="4:6" ht="15.6" x14ac:dyDescent="0.3">
      <c r="D343" s="145">
        <v>45706</v>
      </c>
      <c r="E343" s="187">
        <v>22945.3</v>
      </c>
      <c r="F343" s="146">
        <f t="shared" si="8"/>
        <v>-6.1848036760381309E-4</v>
      </c>
    </row>
    <row r="344" spans="4:6" ht="15.6" x14ac:dyDescent="0.3">
      <c r="D344" s="145">
        <v>45705</v>
      </c>
      <c r="E344" s="187">
        <v>22959.5</v>
      </c>
      <c r="F344" s="146">
        <f t="shared" si="8"/>
        <v>1.3192755977626813E-3</v>
      </c>
    </row>
    <row r="345" spans="4:6" ht="15.6" x14ac:dyDescent="0.3">
      <c r="D345" s="145">
        <v>45702</v>
      </c>
      <c r="E345" s="187">
        <v>22929.25</v>
      </c>
      <c r="F345" s="146">
        <f t="shared" si="8"/>
        <v>-4.4352492683902289E-3</v>
      </c>
    </row>
    <row r="346" spans="4:6" ht="15.6" x14ac:dyDescent="0.3">
      <c r="D346" s="145">
        <v>45701</v>
      </c>
      <c r="E346" s="187">
        <v>23031.4</v>
      </c>
      <c r="F346" s="146">
        <f t="shared" si="8"/>
        <v>-6.0099152753811946E-4</v>
      </c>
    </row>
    <row r="347" spans="4:6" ht="15.6" x14ac:dyDescent="0.3">
      <c r="D347" s="145">
        <v>45700</v>
      </c>
      <c r="E347" s="187">
        <v>23045.25</v>
      </c>
      <c r="F347" s="146">
        <f t="shared" ref="F347:F410" si="9">E347/E348-1</f>
        <v>-1.1507554677138154E-3</v>
      </c>
    </row>
    <row r="348" spans="4:6" ht="15.6" x14ac:dyDescent="0.3">
      <c r="D348" s="145">
        <v>45699</v>
      </c>
      <c r="E348" s="187">
        <v>23071.8</v>
      </c>
      <c r="F348" s="146">
        <f t="shared" si="9"/>
        <v>-1.3249734834228644E-2</v>
      </c>
    </row>
    <row r="349" spans="4:6" ht="15.6" x14ac:dyDescent="0.3">
      <c r="D349" s="145">
        <v>45698</v>
      </c>
      <c r="E349" s="187">
        <v>23381.599999999999</v>
      </c>
      <c r="F349" s="146">
        <f t="shared" si="9"/>
        <v>-7.5700500213287114E-3</v>
      </c>
    </row>
    <row r="350" spans="4:6" ht="15.6" x14ac:dyDescent="0.3">
      <c r="D350" s="145">
        <v>45695</v>
      </c>
      <c r="E350" s="187">
        <v>23559.95</v>
      </c>
      <c r="F350" s="146">
        <f t="shared" si="9"/>
        <v>-1.8387220458111475E-3</v>
      </c>
    </row>
    <row r="351" spans="4:6" ht="15.6" x14ac:dyDescent="0.3">
      <c r="D351" s="145">
        <v>45694</v>
      </c>
      <c r="E351" s="187">
        <v>23603.35</v>
      </c>
      <c r="F351" s="146">
        <f t="shared" si="9"/>
        <v>-3.922553310010457E-3</v>
      </c>
    </row>
    <row r="352" spans="4:6" ht="15.6" x14ac:dyDescent="0.3">
      <c r="D352" s="145">
        <v>45693</v>
      </c>
      <c r="E352" s="187">
        <v>23696.3</v>
      </c>
      <c r="F352" s="146">
        <f t="shared" si="9"/>
        <v>-1.8092399717767327E-3</v>
      </c>
    </row>
    <row r="353" spans="4:6" ht="15.6" x14ac:dyDescent="0.3">
      <c r="D353" s="145">
        <v>45692</v>
      </c>
      <c r="E353" s="187">
        <v>23739.25</v>
      </c>
      <c r="F353" s="146">
        <f t="shared" si="9"/>
        <v>1.6189340804458663E-2</v>
      </c>
    </row>
    <row r="354" spans="4:6" ht="15.6" x14ac:dyDescent="0.3">
      <c r="D354" s="145">
        <v>45691</v>
      </c>
      <c r="E354" s="187">
        <v>23361.05</v>
      </c>
      <c r="F354" s="146">
        <f t="shared" si="9"/>
        <v>-5.1571086974575575E-3</v>
      </c>
    </row>
    <row r="355" spans="4:6" ht="15.6" x14ac:dyDescent="0.3">
      <c r="D355" s="145">
        <v>45689</v>
      </c>
      <c r="E355" s="187">
        <v>23482.15</v>
      </c>
      <c r="F355" s="146">
        <f t="shared" si="9"/>
        <v>-1.1166221435742196E-3</v>
      </c>
    </row>
    <row r="356" spans="4:6" ht="15.6" x14ac:dyDescent="0.3">
      <c r="D356" s="145">
        <v>45688</v>
      </c>
      <c r="E356" s="187">
        <v>23508.400000000001</v>
      </c>
      <c r="F356" s="146">
        <f t="shared" si="9"/>
        <v>1.1135723348889348E-2</v>
      </c>
    </row>
    <row r="357" spans="4:6" ht="15.6" x14ac:dyDescent="0.3">
      <c r="D357" s="145">
        <v>45687</v>
      </c>
      <c r="E357" s="187">
        <v>23249.5</v>
      </c>
      <c r="F357" s="146">
        <f t="shared" si="9"/>
        <v>3.7300706727512178E-3</v>
      </c>
    </row>
    <row r="358" spans="4:6" ht="15.6" x14ac:dyDescent="0.3">
      <c r="D358" s="145">
        <v>45686</v>
      </c>
      <c r="E358" s="187">
        <v>23163.1</v>
      </c>
      <c r="F358" s="146">
        <f t="shared" si="9"/>
        <v>8.9666663036731542E-3</v>
      </c>
    </row>
    <row r="359" spans="4:6" ht="15.6" x14ac:dyDescent="0.3">
      <c r="D359" s="145">
        <v>45685</v>
      </c>
      <c r="E359" s="187">
        <v>22957.25</v>
      </c>
      <c r="F359" s="146">
        <f t="shared" si="9"/>
        <v>5.6112470240896606E-3</v>
      </c>
    </row>
    <row r="360" spans="4:6" ht="15.6" x14ac:dyDescent="0.3">
      <c r="D360" s="145">
        <v>45684</v>
      </c>
      <c r="E360" s="187">
        <v>22829.15</v>
      </c>
      <c r="F360" s="146">
        <f t="shared" si="9"/>
        <v>-1.139129229783209E-2</v>
      </c>
    </row>
    <row r="361" spans="4:6" ht="15.6" x14ac:dyDescent="0.3">
      <c r="D361" s="145">
        <v>45681</v>
      </c>
      <c r="E361" s="187">
        <v>23092.2</v>
      </c>
      <c r="F361" s="146">
        <f t="shared" si="9"/>
        <v>-4.876030742910431E-3</v>
      </c>
    </row>
    <row r="362" spans="4:6" ht="15.6" x14ac:dyDescent="0.3">
      <c r="D362" s="145">
        <v>45680</v>
      </c>
      <c r="E362" s="187">
        <v>23205.35</v>
      </c>
      <c r="F362" s="146">
        <f t="shared" si="9"/>
        <v>2.1593281898135697E-3</v>
      </c>
    </row>
    <row r="363" spans="4:6" ht="15.6" x14ac:dyDescent="0.3">
      <c r="D363" s="145">
        <v>45679</v>
      </c>
      <c r="E363" s="187">
        <v>23155.35</v>
      </c>
      <c r="F363" s="146">
        <f t="shared" si="9"/>
        <v>5.6765249417471964E-3</v>
      </c>
    </row>
    <row r="364" spans="4:6" ht="15.6" x14ac:dyDescent="0.3">
      <c r="D364" s="145">
        <v>45678</v>
      </c>
      <c r="E364" s="187">
        <v>23024.65</v>
      </c>
      <c r="F364" s="146">
        <f t="shared" si="9"/>
        <v>-1.3711862410177855E-2</v>
      </c>
    </row>
    <row r="365" spans="4:6" ht="15.6" x14ac:dyDescent="0.3">
      <c r="D365" s="145">
        <v>45677</v>
      </c>
      <c r="E365" s="187">
        <v>23344.75</v>
      </c>
      <c r="F365" s="146">
        <f t="shared" si="9"/>
        <v>6.1004516618397009E-3</v>
      </c>
    </row>
    <row r="366" spans="4:6" ht="15.6" x14ac:dyDescent="0.3">
      <c r="D366" s="145">
        <v>45674</v>
      </c>
      <c r="E366" s="187">
        <v>23203.200000000001</v>
      </c>
      <c r="F366" s="146">
        <f t="shared" si="9"/>
        <v>-4.6585849226571385E-3</v>
      </c>
    </row>
    <row r="367" spans="4:6" ht="15.6" x14ac:dyDescent="0.3">
      <c r="D367" s="145">
        <v>45673</v>
      </c>
      <c r="E367" s="187">
        <v>23311.8</v>
      </c>
      <c r="F367" s="146">
        <f t="shared" si="9"/>
        <v>4.2475832715866968E-3</v>
      </c>
    </row>
    <row r="368" spans="4:6" ht="15.6" x14ac:dyDescent="0.3">
      <c r="D368" s="145">
        <v>45672</v>
      </c>
      <c r="E368" s="187">
        <v>23213.200000000001</v>
      </c>
      <c r="F368" s="146">
        <f t="shared" si="9"/>
        <v>1.6029478707546563E-3</v>
      </c>
    </row>
    <row r="369" spans="4:6" ht="15.6" x14ac:dyDescent="0.3">
      <c r="D369" s="145">
        <v>45671</v>
      </c>
      <c r="E369" s="187">
        <v>23176.05</v>
      </c>
      <c r="F369" s="146">
        <f t="shared" si="9"/>
        <v>3.9028066854513987E-3</v>
      </c>
    </row>
    <row r="370" spans="4:6" ht="15.6" x14ac:dyDescent="0.3">
      <c r="D370" s="145">
        <v>45670</v>
      </c>
      <c r="E370" s="187">
        <v>23085.95</v>
      </c>
      <c r="F370" s="146">
        <f t="shared" si="9"/>
        <v>-1.4747241960608504E-2</v>
      </c>
    </row>
    <row r="371" spans="4:6" ht="15.6" x14ac:dyDescent="0.3">
      <c r="D371" s="145">
        <v>45667</v>
      </c>
      <c r="E371" s="187">
        <v>23431.5</v>
      </c>
      <c r="F371" s="146">
        <f t="shared" si="9"/>
        <v>-4.037999702463213E-3</v>
      </c>
    </row>
    <row r="372" spans="4:6" ht="15.6" x14ac:dyDescent="0.3">
      <c r="D372" s="145">
        <v>45666</v>
      </c>
      <c r="E372" s="187">
        <v>23526.5</v>
      </c>
      <c r="F372" s="146">
        <f t="shared" si="9"/>
        <v>-6.8576277124988705E-3</v>
      </c>
    </row>
    <row r="373" spans="4:6" ht="15.6" x14ac:dyDescent="0.3">
      <c r="D373" s="145">
        <v>45665</v>
      </c>
      <c r="E373" s="187">
        <v>23688.95</v>
      </c>
      <c r="F373" s="146">
        <f t="shared" si="9"/>
        <v>-7.9931162186441806E-4</v>
      </c>
    </row>
    <row r="374" spans="4:6" ht="15.6" x14ac:dyDescent="0.3">
      <c r="D374" s="145">
        <v>45664</v>
      </c>
      <c r="E374" s="187">
        <v>23707.9</v>
      </c>
      <c r="F374" s="146">
        <f t="shared" si="9"/>
        <v>3.8893040961549552E-3</v>
      </c>
    </row>
    <row r="375" spans="4:6" ht="15.6" x14ac:dyDescent="0.3">
      <c r="D375" s="145">
        <v>45663</v>
      </c>
      <c r="E375" s="187">
        <v>23616.05</v>
      </c>
      <c r="F375" s="146">
        <f t="shared" si="9"/>
        <v>-1.6192628542267662E-2</v>
      </c>
    </row>
    <row r="376" spans="4:6" ht="15.6" x14ac:dyDescent="0.3">
      <c r="D376" s="145">
        <v>45660</v>
      </c>
      <c r="E376" s="187">
        <v>24004.75</v>
      </c>
      <c r="F376" s="146">
        <f t="shared" si="9"/>
        <v>-7.6027393012839672E-3</v>
      </c>
    </row>
    <row r="377" spans="4:6" ht="15.6" x14ac:dyDescent="0.3">
      <c r="D377" s="145">
        <v>45659</v>
      </c>
      <c r="E377" s="187">
        <v>24188.65</v>
      </c>
      <c r="F377" s="146">
        <f t="shared" si="9"/>
        <v>1.8774033500541298E-2</v>
      </c>
    </row>
    <row r="378" spans="4:6" ht="15.6" x14ac:dyDescent="0.3">
      <c r="D378" s="145">
        <v>45658</v>
      </c>
      <c r="E378" s="187">
        <v>23742.9</v>
      </c>
      <c r="F378" s="146">
        <f t="shared" si="9"/>
        <v>4.1489037758830616E-3</v>
      </c>
    </row>
    <row r="379" spans="4:6" ht="15.6" x14ac:dyDescent="0.3">
      <c r="D379" s="145">
        <v>45657</v>
      </c>
      <c r="E379" s="187">
        <v>23644.799999999999</v>
      </c>
      <c r="F379" s="146">
        <f t="shared" si="9"/>
        <v>-4.2292418238609741E-6</v>
      </c>
    </row>
    <row r="380" spans="4:6" ht="15.6" x14ac:dyDescent="0.3">
      <c r="D380" s="145">
        <v>45656</v>
      </c>
      <c r="E380" s="187">
        <v>23644.9</v>
      </c>
      <c r="F380" s="146">
        <f t="shared" si="9"/>
        <v>-7.0758480519371725E-3</v>
      </c>
    </row>
    <row r="381" spans="4:6" ht="15.6" x14ac:dyDescent="0.3">
      <c r="D381" s="145">
        <v>45653</v>
      </c>
      <c r="E381" s="187">
        <v>23813.4</v>
      </c>
      <c r="F381" s="146">
        <f t="shared" si="9"/>
        <v>2.6610302229033156E-3</v>
      </c>
    </row>
    <row r="382" spans="4:6" ht="15.6" x14ac:dyDescent="0.3">
      <c r="D382" s="145">
        <v>45652</v>
      </c>
      <c r="E382" s="187">
        <v>23750.2</v>
      </c>
      <c r="F382" s="146">
        <f t="shared" si="9"/>
        <v>9.5036803054671104E-4</v>
      </c>
    </row>
    <row r="383" spans="4:6" ht="15.6" x14ac:dyDescent="0.3">
      <c r="D383" s="145">
        <v>45650</v>
      </c>
      <c r="E383" s="187">
        <v>23727.65</v>
      </c>
      <c r="F383" s="146">
        <f t="shared" si="9"/>
        <v>-1.0861580107310864E-3</v>
      </c>
    </row>
    <row r="384" spans="4:6" ht="15.6" x14ac:dyDescent="0.3">
      <c r="D384" s="145">
        <v>45649</v>
      </c>
      <c r="E384" s="187">
        <v>23753.45</v>
      </c>
      <c r="F384" s="146">
        <f t="shared" si="9"/>
        <v>7.0355060943296799E-3</v>
      </c>
    </row>
    <row r="385" spans="4:6" ht="15.6" x14ac:dyDescent="0.3">
      <c r="D385" s="145">
        <v>45646</v>
      </c>
      <c r="E385" s="187">
        <v>23587.5</v>
      </c>
      <c r="F385" s="146">
        <f t="shared" si="9"/>
        <v>-1.5205601272561098E-2</v>
      </c>
    </row>
    <row r="386" spans="4:6" ht="15.6" x14ac:dyDescent="0.3">
      <c r="D386" s="145">
        <v>45645</v>
      </c>
      <c r="E386" s="187">
        <v>23951.7</v>
      </c>
      <c r="F386" s="146">
        <f t="shared" si="9"/>
        <v>-1.0213295259898669E-2</v>
      </c>
    </row>
    <row r="387" spans="4:6" ht="15.6" x14ac:dyDescent="0.3">
      <c r="D387" s="145">
        <v>45644</v>
      </c>
      <c r="E387" s="187">
        <v>24198.85</v>
      </c>
      <c r="F387" s="146">
        <f t="shared" si="9"/>
        <v>-5.6356837606837962E-3</v>
      </c>
    </row>
    <row r="388" spans="4:6" ht="15.6" x14ac:dyDescent="0.3">
      <c r="D388" s="145">
        <v>45643</v>
      </c>
      <c r="E388" s="187">
        <v>24336</v>
      </c>
      <c r="F388" s="146">
        <f t="shared" si="9"/>
        <v>-1.3468730047733413E-2</v>
      </c>
    </row>
    <row r="389" spans="4:6" ht="15.6" x14ac:dyDescent="0.3">
      <c r="D389" s="145">
        <v>45642</v>
      </c>
      <c r="E389" s="187">
        <v>24668.25</v>
      </c>
      <c r="F389" s="146">
        <f t="shared" si="9"/>
        <v>-4.0394375068131261E-3</v>
      </c>
    </row>
    <row r="390" spans="4:6" ht="15.6" x14ac:dyDescent="0.3">
      <c r="D390" s="145">
        <v>45639</v>
      </c>
      <c r="E390" s="187">
        <v>24768.3</v>
      </c>
      <c r="F390" s="146">
        <f t="shared" si="9"/>
        <v>8.9454838749098986E-3</v>
      </c>
    </row>
    <row r="391" spans="4:6" ht="15.6" x14ac:dyDescent="0.3">
      <c r="D391" s="145">
        <v>45638</v>
      </c>
      <c r="E391" s="187">
        <v>24548.7</v>
      </c>
      <c r="F391" s="146">
        <f t="shared" si="9"/>
        <v>-3.778133090926783E-3</v>
      </c>
    </row>
    <row r="392" spans="4:6" ht="15.6" x14ac:dyDescent="0.3">
      <c r="D392" s="145">
        <v>45637</v>
      </c>
      <c r="E392" s="187">
        <v>24641.8</v>
      </c>
      <c r="F392" s="146">
        <f t="shared" si="9"/>
        <v>1.2901233439184256E-3</v>
      </c>
    </row>
    <row r="393" spans="4:6" ht="15.6" x14ac:dyDescent="0.3">
      <c r="D393" s="145">
        <v>45636</v>
      </c>
      <c r="E393" s="187">
        <v>24610.05</v>
      </c>
      <c r="F393" s="146">
        <f t="shared" si="9"/>
        <v>-3.6354035501040549E-4</v>
      </c>
    </row>
    <row r="394" spans="4:6" ht="15.6" x14ac:dyDescent="0.3">
      <c r="D394" s="145">
        <v>45635</v>
      </c>
      <c r="E394" s="187">
        <v>24619</v>
      </c>
      <c r="F394" s="146">
        <f t="shared" si="9"/>
        <v>-2.3827083451523068E-3</v>
      </c>
    </row>
    <row r="395" spans="4:6" ht="15.6" x14ac:dyDescent="0.3">
      <c r="D395" s="145">
        <v>45632</v>
      </c>
      <c r="E395" s="187">
        <v>24677.8</v>
      </c>
      <c r="F395" s="146">
        <f t="shared" si="9"/>
        <v>-1.2384452251057443E-3</v>
      </c>
    </row>
    <row r="396" spans="4:6" ht="15.6" x14ac:dyDescent="0.3">
      <c r="D396" s="145">
        <v>45631</v>
      </c>
      <c r="E396" s="187">
        <v>24708.400000000001</v>
      </c>
      <c r="F396" s="146">
        <f t="shared" si="9"/>
        <v>9.8477773531773227E-3</v>
      </c>
    </row>
    <row r="397" spans="4:6" ht="15.6" x14ac:dyDescent="0.3">
      <c r="D397" s="145">
        <v>45630</v>
      </c>
      <c r="E397" s="187">
        <v>24467.45</v>
      </c>
      <c r="F397" s="146">
        <f t="shared" si="9"/>
        <v>4.2114473681520437E-4</v>
      </c>
    </row>
    <row r="398" spans="4:6" ht="15.6" x14ac:dyDescent="0.3">
      <c r="D398" s="145">
        <v>45629</v>
      </c>
      <c r="E398" s="187">
        <v>24457.15</v>
      </c>
      <c r="F398" s="146">
        <f t="shared" si="9"/>
        <v>7.4600274756395635E-3</v>
      </c>
    </row>
    <row r="399" spans="4:6" ht="15.6" x14ac:dyDescent="0.3">
      <c r="D399" s="145">
        <v>45628</v>
      </c>
      <c r="E399" s="187">
        <v>24276.05</v>
      </c>
      <c r="F399" s="146">
        <f t="shared" si="9"/>
        <v>6.0067713448621607E-3</v>
      </c>
    </row>
    <row r="400" spans="4:6" ht="15.6" x14ac:dyDescent="0.3">
      <c r="D400" s="145">
        <v>45625</v>
      </c>
      <c r="E400" s="187">
        <v>24131.1</v>
      </c>
      <c r="F400" s="146">
        <f t="shared" si="9"/>
        <v>9.0720347576642713E-3</v>
      </c>
    </row>
    <row r="401" spans="4:6" ht="15.6" x14ac:dyDescent="0.3">
      <c r="D401" s="145">
        <v>45624</v>
      </c>
      <c r="E401" s="187">
        <v>23914.15</v>
      </c>
      <c r="F401" s="146">
        <f t="shared" si="9"/>
        <v>-1.4861029293632533E-2</v>
      </c>
    </row>
    <row r="402" spans="4:6" ht="15.6" x14ac:dyDescent="0.3">
      <c r="D402" s="145">
        <v>45623</v>
      </c>
      <c r="E402" s="187">
        <v>24274.9</v>
      </c>
      <c r="F402" s="146">
        <f t="shared" si="9"/>
        <v>3.3230692926078387E-3</v>
      </c>
    </row>
    <row r="403" spans="4:6" ht="15.6" x14ac:dyDescent="0.3">
      <c r="D403" s="145">
        <v>45622</v>
      </c>
      <c r="E403" s="187">
        <v>24194.5</v>
      </c>
      <c r="F403" s="146">
        <f t="shared" si="9"/>
        <v>-1.1312077087264338E-3</v>
      </c>
    </row>
    <row r="404" spans="4:6" ht="15.6" x14ac:dyDescent="0.3">
      <c r="D404" s="145">
        <v>45621</v>
      </c>
      <c r="E404" s="187">
        <v>24221.9</v>
      </c>
      <c r="F404" s="146">
        <f t="shared" si="9"/>
        <v>1.3161279528176584E-2</v>
      </c>
    </row>
    <row r="405" spans="4:6" ht="15.6" x14ac:dyDescent="0.3">
      <c r="D405" s="145">
        <v>45618</v>
      </c>
      <c r="E405" s="187">
        <v>23907.25</v>
      </c>
      <c r="F405" s="146">
        <f t="shared" si="9"/>
        <v>2.3869481239748191E-2</v>
      </c>
    </row>
    <row r="406" spans="4:6" ht="15.6" x14ac:dyDescent="0.3">
      <c r="D406" s="145">
        <v>45617</v>
      </c>
      <c r="E406" s="187">
        <v>23349.9</v>
      </c>
      <c r="F406" s="146">
        <f t="shared" si="9"/>
        <v>-7.1688245423814356E-3</v>
      </c>
    </row>
    <row r="407" spans="4:6" ht="15.6" x14ac:dyDescent="0.3">
      <c r="D407" s="145">
        <v>45615</v>
      </c>
      <c r="E407" s="187">
        <v>23518.5</v>
      </c>
      <c r="F407" s="146">
        <f t="shared" si="9"/>
        <v>2.758614808687776E-3</v>
      </c>
    </row>
    <row r="408" spans="4:6" ht="15.6" x14ac:dyDescent="0.3">
      <c r="D408" s="145">
        <v>45614</v>
      </c>
      <c r="E408" s="187">
        <v>23453.8</v>
      </c>
      <c r="F408" s="146">
        <f t="shared" si="9"/>
        <v>-3.3527814487925856E-3</v>
      </c>
    </row>
    <row r="409" spans="4:6" ht="15.6" x14ac:dyDescent="0.3">
      <c r="D409" s="145">
        <v>45610</v>
      </c>
      <c r="E409" s="187">
        <v>23532.7</v>
      </c>
      <c r="F409" s="146">
        <f t="shared" si="9"/>
        <v>-1.1184661520731165E-3</v>
      </c>
    </row>
    <row r="410" spans="4:6" ht="15.6" x14ac:dyDescent="0.3">
      <c r="D410" s="145">
        <v>45609</v>
      </c>
      <c r="E410" s="187">
        <v>23559.05</v>
      </c>
      <c r="F410" s="146">
        <f t="shared" si="9"/>
        <v>-1.3582627300494754E-2</v>
      </c>
    </row>
    <row r="411" spans="4:6" ht="15.6" x14ac:dyDescent="0.3">
      <c r="D411" s="145">
        <v>45608</v>
      </c>
      <c r="E411" s="187">
        <v>23883.45</v>
      </c>
      <c r="F411" s="146">
        <f t="shared" ref="F411:F474" si="10">E411/E412-1</f>
        <v>-1.0680866399075395E-2</v>
      </c>
    </row>
    <row r="412" spans="4:6" ht="15.6" x14ac:dyDescent="0.3">
      <c r="D412" s="145">
        <v>45607</v>
      </c>
      <c r="E412" s="187">
        <v>24141.3</v>
      </c>
      <c r="F412" s="146">
        <f t="shared" si="10"/>
        <v>-2.8573558277644739E-4</v>
      </c>
    </row>
    <row r="413" spans="4:6" ht="15.6" x14ac:dyDescent="0.3">
      <c r="D413" s="145">
        <v>45604</v>
      </c>
      <c r="E413" s="187">
        <v>24148.2</v>
      </c>
      <c r="F413" s="146">
        <f t="shared" si="10"/>
        <v>-2.1136931363857636E-3</v>
      </c>
    </row>
    <row r="414" spans="4:6" ht="15.6" x14ac:dyDescent="0.3">
      <c r="D414" s="145">
        <v>45603</v>
      </c>
      <c r="E414" s="187">
        <v>24199.35</v>
      </c>
      <c r="F414" s="146">
        <f t="shared" si="10"/>
        <v>-1.1627978214388546E-2</v>
      </c>
    </row>
    <row r="415" spans="4:6" ht="15.6" x14ac:dyDescent="0.3">
      <c r="D415" s="145">
        <v>45602</v>
      </c>
      <c r="E415" s="187">
        <v>24484.05</v>
      </c>
      <c r="F415" s="146">
        <f t="shared" si="10"/>
        <v>1.1181871120417242E-2</v>
      </c>
    </row>
    <row r="416" spans="4:6" ht="15.6" x14ac:dyDescent="0.3">
      <c r="D416" s="145">
        <v>45601</v>
      </c>
      <c r="E416" s="187">
        <v>24213.3</v>
      </c>
      <c r="F416" s="146">
        <f t="shared" si="10"/>
        <v>9.0830098331551312E-3</v>
      </c>
    </row>
    <row r="417" spans="4:6" ht="15.6" x14ac:dyDescent="0.3">
      <c r="D417" s="145">
        <v>45600</v>
      </c>
      <c r="E417" s="187">
        <v>23995.35</v>
      </c>
      <c r="F417" s="146">
        <f t="shared" si="10"/>
        <v>-1.2713773460306443E-2</v>
      </c>
    </row>
    <row r="418" spans="4:6" ht="15.6" x14ac:dyDescent="0.3">
      <c r="D418" s="145">
        <v>45597</v>
      </c>
      <c r="E418" s="187">
        <v>24304.35</v>
      </c>
      <c r="F418" s="146">
        <f t="shared" si="10"/>
        <v>4.0900048956118429E-3</v>
      </c>
    </row>
    <row r="419" spans="4:6" ht="15.6" x14ac:dyDescent="0.3">
      <c r="D419" s="145">
        <v>45596</v>
      </c>
      <c r="E419" s="187">
        <v>24205.35</v>
      </c>
      <c r="F419" s="146">
        <f t="shared" si="10"/>
        <v>-5.5667735514577377E-3</v>
      </c>
    </row>
    <row r="420" spans="4:6" ht="15.6" x14ac:dyDescent="0.3">
      <c r="D420" s="145">
        <v>45595</v>
      </c>
      <c r="E420" s="187">
        <v>24340.85</v>
      </c>
      <c r="F420" s="146">
        <f t="shared" si="10"/>
        <v>-5.1498251716097787E-3</v>
      </c>
    </row>
    <row r="421" spans="4:6" ht="15.6" x14ac:dyDescent="0.3">
      <c r="D421" s="145">
        <v>45594</v>
      </c>
      <c r="E421" s="187">
        <v>24466.85</v>
      </c>
      <c r="F421" s="146">
        <f t="shared" si="10"/>
        <v>5.2466910307056303E-3</v>
      </c>
    </row>
    <row r="422" spans="4:6" ht="15.6" x14ac:dyDescent="0.3">
      <c r="D422" s="145">
        <v>45593</v>
      </c>
      <c r="E422" s="187">
        <v>24339.15</v>
      </c>
      <c r="F422" s="146">
        <f t="shared" si="10"/>
        <v>6.5485840005294893E-3</v>
      </c>
    </row>
    <row r="423" spans="4:6" ht="15.6" x14ac:dyDescent="0.3">
      <c r="D423" s="145">
        <v>45590</v>
      </c>
      <c r="E423" s="187">
        <v>24180.799999999999</v>
      </c>
      <c r="F423" s="146">
        <f t="shared" si="10"/>
        <v>-8.9592367025419506E-3</v>
      </c>
    </row>
    <row r="424" spans="4:6" ht="15.6" x14ac:dyDescent="0.3">
      <c r="D424" s="145">
        <v>45589</v>
      </c>
      <c r="E424" s="187">
        <v>24399.4</v>
      </c>
      <c r="F424" s="146">
        <f t="shared" si="10"/>
        <v>-1.4773587608192251E-3</v>
      </c>
    </row>
    <row r="425" spans="4:6" ht="15.6" x14ac:dyDescent="0.3">
      <c r="D425" s="145">
        <v>45588</v>
      </c>
      <c r="E425" s="187">
        <v>24435.5</v>
      </c>
      <c r="F425" s="146">
        <f t="shared" si="10"/>
        <v>-1.4955806816742134E-3</v>
      </c>
    </row>
    <row r="426" spans="4:6" ht="15.6" x14ac:dyDescent="0.3">
      <c r="D426" s="145">
        <v>45587</v>
      </c>
      <c r="E426" s="187">
        <v>24472.1</v>
      </c>
      <c r="F426" s="146">
        <f t="shared" si="10"/>
        <v>-1.2469180141317371E-2</v>
      </c>
    </row>
    <row r="427" spans="4:6" ht="15.6" x14ac:dyDescent="0.3">
      <c r="D427" s="145">
        <v>45586</v>
      </c>
      <c r="E427" s="187">
        <v>24781.1</v>
      </c>
      <c r="F427" s="146">
        <f t="shared" si="10"/>
        <v>-2.9351353199982277E-3</v>
      </c>
    </row>
    <row r="428" spans="4:6" ht="15.6" x14ac:dyDescent="0.3">
      <c r="D428" s="145">
        <v>45583</v>
      </c>
      <c r="E428" s="187">
        <v>24854.05</v>
      </c>
      <c r="F428" s="146">
        <f t="shared" si="10"/>
        <v>4.2101265260194864E-3</v>
      </c>
    </row>
    <row r="429" spans="4:6" ht="15.6" x14ac:dyDescent="0.3">
      <c r="D429" s="145">
        <v>45582</v>
      </c>
      <c r="E429" s="187">
        <v>24749.85</v>
      </c>
      <c r="F429" s="146">
        <f t="shared" si="10"/>
        <v>-8.8681806714108191E-3</v>
      </c>
    </row>
    <row r="430" spans="4:6" ht="15.6" x14ac:dyDescent="0.3">
      <c r="D430" s="145">
        <v>45581</v>
      </c>
      <c r="E430" s="187">
        <v>24971.3</v>
      </c>
      <c r="F430" s="146">
        <f t="shared" si="10"/>
        <v>-3.4341221238478603E-3</v>
      </c>
    </row>
    <row r="431" spans="4:6" ht="15.6" x14ac:dyDescent="0.3">
      <c r="D431" s="145">
        <v>45580</v>
      </c>
      <c r="E431" s="187">
        <v>25057.35</v>
      </c>
      <c r="F431" s="146">
        <f t="shared" si="10"/>
        <v>-2.809620362982379E-3</v>
      </c>
    </row>
    <row r="432" spans="4:6" ht="15.6" x14ac:dyDescent="0.3">
      <c r="D432" s="145">
        <v>45579</v>
      </c>
      <c r="E432" s="187">
        <v>25127.95</v>
      </c>
      <c r="F432" s="146">
        <f t="shared" si="10"/>
        <v>6.5573770491802463E-3</v>
      </c>
    </row>
    <row r="433" spans="4:6" ht="15.6" x14ac:dyDescent="0.3">
      <c r="D433" s="145">
        <v>45576</v>
      </c>
      <c r="E433" s="187">
        <v>24964.25</v>
      </c>
      <c r="F433" s="146">
        <f t="shared" si="10"/>
        <v>-1.3680848212589414E-3</v>
      </c>
    </row>
    <row r="434" spans="4:6" ht="15.6" x14ac:dyDescent="0.3">
      <c r="D434" s="145">
        <v>45575</v>
      </c>
      <c r="E434" s="187">
        <v>24998.45</v>
      </c>
      <c r="F434" s="146">
        <f t="shared" si="10"/>
        <v>6.6047686429593355E-4</v>
      </c>
    </row>
    <row r="435" spans="4:6" ht="15.6" x14ac:dyDescent="0.3">
      <c r="D435" s="145">
        <v>45574</v>
      </c>
      <c r="E435" s="187">
        <v>24981.95</v>
      </c>
      <c r="F435" s="146">
        <f t="shared" si="10"/>
        <v>-1.2473438971101203E-3</v>
      </c>
    </row>
    <row r="436" spans="4:6" ht="15.6" x14ac:dyDescent="0.3">
      <c r="D436" s="145">
        <v>45573</v>
      </c>
      <c r="E436" s="187">
        <v>25013.15</v>
      </c>
      <c r="F436" s="146">
        <f t="shared" si="10"/>
        <v>8.7676315497615676E-3</v>
      </c>
    </row>
    <row r="437" spans="4:6" ht="15.6" x14ac:dyDescent="0.3">
      <c r="D437" s="145">
        <v>45572</v>
      </c>
      <c r="E437" s="187">
        <v>24795.75</v>
      </c>
      <c r="F437" s="146">
        <f t="shared" si="10"/>
        <v>-8.7488906478615514E-3</v>
      </c>
    </row>
    <row r="438" spans="4:6" ht="15.6" x14ac:dyDescent="0.3">
      <c r="D438" s="145">
        <v>45569</v>
      </c>
      <c r="E438" s="187">
        <v>25014.6</v>
      </c>
      <c r="F438" s="146">
        <f t="shared" si="10"/>
        <v>-9.3266957358584257E-3</v>
      </c>
    </row>
    <row r="439" spans="4:6" ht="15.6" x14ac:dyDescent="0.3">
      <c r="D439" s="145">
        <v>45568</v>
      </c>
      <c r="E439" s="187">
        <v>25250.1</v>
      </c>
      <c r="F439" s="146">
        <f t="shared" si="10"/>
        <v>-2.1196345297303298E-2</v>
      </c>
    </row>
    <row r="440" spans="4:6" ht="15.6" x14ac:dyDescent="0.3">
      <c r="D440" s="145">
        <v>45566</v>
      </c>
      <c r="E440" s="187">
        <v>25796.9</v>
      </c>
      <c r="F440" s="146">
        <f t="shared" si="10"/>
        <v>-5.4047038357885047E-4</v>
      </c>
    </row>
    <row r="441" spans="4:6" ht="15.6" x14ac:dyDescent="0.3">
      <c r="D441" s="145">
        <v>45565</v>
      </c>
      <c r="E441" s="187">
        <v>25810.85</v>
      </c>
      <c r="F441" s="146">
        <f t="shared" si="10"/>
        <v>-1.4060915353747983E-2</v>
      </c>
    </row>
    <row r="442" spans="4:6" ht="15.6" x14ac:dyDescent="0.3">
      <c r="D442" s="145">
        <v>45562</v>
      </c>
      <c r="E442" s="187">
        <v>26178.95</v>
      </c>
      <c r="F442" s="146">
        <f t="shared" si="10"/>
        <v>-1.4151636116043198E-3</v>
      </c>
    </row>
    <row r="443" spans="4:6" ht="15.6" x14ac:dyDescent="0.3">
      <c r="D443" s="145">
        <v>45561</v>
      </c>
      <c r="E443" s="187">
        <v>26216.05</v>
      </c>
      <c r="F443" s="146">
        <f t="shared" si="10"/>
        <v>8.1486993422204002E-3</v>
      </c>
    </row>
    <row r="444" spans="4:6" ht="15.6" x14ac:dyDescent="0.3">
      <c r="D444" s="145">
        <v>45560</v>
      </c>
      <c r="E444" s="187">
        <v>26004.15</v>
      </c>
      <c r="F444" s="146">
        <f t="shared" si="10"/>
        <v>2.4575565527131804E-3</v>
      </c>
    </row>
    <row r="445" spans="4:6" ht="15.6" x14ac:dyDescent="0.3">
      <c r="D445" s="145">
        <v>45559</v>
      </c>
      <c r="E445" s="187">
        <v>25940.400000000001</v>
      </c>
      <c r="F445" s="146">
        <f t="shared" si="10"/>
        <v>5.2045082607143911E-5</v>
      </c>
    </row>
    <row r="446" spans="4:6" ht="15.6" x14ac:dyDescent="0.3">
      <c r="D446" s="145">
        <v>45558</v>
      </c>
      <c r="E446" s="187">
        <v>25939.05</v>
      </c>
      <c r="F446" s="146">
        <f t="shared" si="10"/>
        <v>5.7423243424534753E-3</v>
      </c>
    </row>
    <row r="447" spans="4:6" ht="15.6" x14ac:dyDescent="0.3">
      <c r="D447" s="145">
        <v>45555</v>
      </c>
      <c r="E447" s="187">
        <v>25790.95</v>
      </c>
      <c r="F447" s="146">
        <f t="shared" si="10"/>
        <v>1.4760503308965278E-2</v>
      </c>
    </row>
    <row r="448" spans="4:6" ht="15.6" x14ac:dyDescent="0.3">
      <c r="D448" s="145">
        <v>45554</v>
      </c>
      <c r="E448" s="187">
        <v>25415.8</v>
      </c>
      <c r="F448" s="146">
        <f t="shared" si="10"/>
        <v>1.5072376963103373E-3</v>
      </c>
    </row>
    <row r="449" spans="4:6" ht="15.6" x14ac:dyDescent="0.3">
      <c r="D449" s="145">
        <v>45553</v>
      </c>
      <c r="E449" s="187">
        <v>25377.55</v>
      </c>
      <c r="F449" s="146">
        <f t="shared" si="10"/>
        <v>-1.6129952337957665E-3</v>
      </c>
    </row>
    <row r="450" spans="4:6" ht="15.6" x14ac:dyDescent="0.3">
      <c r="D450" s="145">
        <v>45552</v>
      </c>
      <c r="E450" s="187">
        <v>25418.55</v>
      </c>
      <c r="F450" s="146">
        <f t="shared" si="10"/>
        <v>1.3709558280394774E-3</v>
      </c>
    </row>
    <row r="451" spans="4:6" ht="15.6" x14ac:dyDescent="0.3">
      <c r="D451" s="145">
        <v>45551</v>
      </c>
      <c r="E451" s="187">
        <v>25383.75</v>
      </c>
      <c r="F451" s="146">
        <f t="shared" si="10"/>
        <v>1.0746751326089488E-3</v>
      </c>
    </row>
    <row r="452" spans="4:6" ht="15.6" x14ac:dyDescent="0.3">
      <c r="D452" s="145">
        <v>45548</v>
      </c>
      <c r="E452" s="187">
        <v>25356.5</v>
      </c>
      <c r="F452" s="146">
        <f t="shared" si="10"/>
        <v>-1.276148238009589E-3</v>
      </c>
    </row>
    <row r="453" spans="4:6" ht="15.6" x14ac:dyDescent="0.3">
      <c r="D453" s="145">
        <v>45547</v>
      </c>
      <c r="E453" s="187">
        <v>25388.9</v>
      </c>
      <c r="F453" s="146">
        <f t="shared" si="10"/>
        <v>1.8879585206944993E-2</v>
      </c>
    </row>
    <row r="454" spans="4:6" ht="15.6" x14ac:dyDescent="0.3">
      <c r="D454" s="145">
        <v>45546</v>
      </c>
      <c r="E454" s="187">
        <v>24918.45</v>
      </c>
      <c r="F454" s="146">
        <f t="shared" si="10"/>
        <v>-4.8979477738596566E-3</v>
      </c>
    </row>
    <row r="455" spans="4:6" ht="15.6" x14ac:dyDescent="0.3">
      <c r="D455" s="145">
        <v>45545</v>
      </c>
      <c r="E455" s="187">
        <v>25041.1</v>
      </c>
      <c r="F455" s="146">
        <f t="shared" si="10"/>
        <v>4.1986814455974297E-3</v>
      </c>
    </row>
    <row r="456" spans="4:6" ht="15.6" x14ac:dyDescent="0.3">
      <c r="D456" s="145">
        <v>45544</v>
      </c>
      <c r="E456" s="187">
        <v>24936.400000000001</v>
      </c>
      <c r="F456" s="146">
        <f t="shared" si="10"/>
        <v>3.3900487482974029E-3</v>
      </c>
    </row>
    <row r="457" spans="4:6" ht="15.6" x14ac:dyDescent="0.3">
      <c r="D457" s="145">
        <v>45541</v>
      </c>
      <c r="E457" s="187">
        <v>24852.15</v>
      </c>
      <c r="F457" s="146">
        <f t="shared" si="10"/>
        <v>-1.16503811875871E-2</v>
      </c>
    </row>
    <row r="458" spans="4:6" ht="15.6" x14ac:dyDescent="0.3">
      <c r="D458" s="145">
        <v>45540</v>
      </c>
      <c r="E458" s="187">
        <v>25145.1</v>
      </c>
      <c r="F458" s="146">
        <f t="shared" si="10"/>
        <v>-2.127093858016571E-3</v>
      </c>
    </row>
    <row r="459" spans="4:6" ht="15.6" x14ac:dyDescent="0.3">
      <c r="D459" s="145">
        <v>45539</v>
      </c>
      <c r="E459" s="187">
        <v>25198.7</v>
      </c>
      <c r="F459" s="146">
        <f t="shared" si="10"/>
        <v>-3.2100665154262131E-3</v>
      </c>
    </row>
    <row r="460" spans="4:6" ht="15.6" x14ac:dyDescent="0.3">
      <c r="D460" s="145">
        <v>45538</v>
      </c>
      <c r="E460" s="187">
        <v>25279.85</v>
      </c>
      <c r="F460" s="146">
        <f t="shared" si="10"/>
        <v>4.5492845755390476E-5</v>
      </c>
    </row>
    <row r="461" spans="4:6" ht="15.6" x14ac:dyDescent="0.3">
      <c r="D461" s="145">
        <v>45537</v>
      </c>
      <c r="E461" s="187">
        <v>25278.7</v>
      </c>
      <c r="F461" s="146">
        <f t="shared" si="10"/>
        <v>1.6959965763059248E-3</v>
      </c>
    </row>
    <row r="462" spans="4:6" ht="15.6" x14ac:dyDescent="0.3">
      <c r="D462" s="145">
        <v>45534</v>
      </c>
      <c r="E462" s="187">
        <v>25235.9</v>
      </c>
      <c r="F462" s="146">
        <f t="shared" si="10"/>
        <v>3.3377133780880808E-3</v>
      </c>
    </row>
    <row r="463" spans="4:6" ht="15.6" x14ac:dyDescent="0.3">
      <c r="D463" s="145">
        <v>45533</v>
      </c>
      <c r="E463" s="187">
        <v>25151.95</v>
      </c>
      <c r="F463" s="146">
        <f t="shared" si="10"/>
        <v>3.975674936682605E-3</v>
      </c>
    </row>
    <row r="464" spans="4:6" ht="15.6" x14ac:dyDescent="0.3">
      <c r="D464" s="145">
        <v>45532</v>
      </c>
      <c r="E464" s="187">
        <v>25052.35</v>
      </c>
      <c r="F464" s="146">
        <f t="shared" si="10"/>
        <v>1.3830180571794415E-3</v>
      </c>
    </row>
    <row r="465" spans="4:6" ht="15.6" x14ac:dyDescent="0.3">
      <c r="D465" s="145">
        <v>45531</v>
      </c>
      <c r="E465" s="187">
        <v>25017.75</v>
      </c>
      <c r="F465" s="146">
        <f t="shared" si="10"/>
        <v>2.8587878739427808E-4</v>
      </c>
    </row>
    <row r="466" spans="4:6" ht="15.6" x14ac:dyDescent="0.3">
      <c r="D466" s="145">
        <v>45530</v>
      </c>
      <c r="E466" s="187">
        <v>25010.6</v>
      </c>
      <c r="F466" s="146">
        <f t="shared" si="10"/>
        <v>7.5514187361394036E-3</v>
      </c>
    </row>
    <row r="467" spans="4:6" ht="15.6" x14ac:dyDescent="0.3">
      <c r="D467" s="145">
        <v>45527</v>
      </c>
      <c r="E467" s="187">
        <v>24823.15</v>
      </c>
      <c r="F467" s="146">
        <f t="shared" si="10"/>
        <v>4.6954033411927831E-4</v>
      </c>
    </row>
    <row r="468" spans="4:6" ht="15.6" x14ac:dyDescent="0.3">
      <c r="D468" s="145">
        <v>45526</v>
      </c>
      <c r="E468" s="187">
        <v>24811.5</v>
      </c>
      <c r="F468" s="146">
        <f t="shared" si="10"/>
        <v>1.6673260611541618E-3</v>
      </c>
    </row>
    <row r="469" spans="4:6" ht="15.6" x14ac:dyDescent="0.3">
      <c r="D469" s="145">
        <v>45525</v>
      </c>
      <c r="E469" s="187">
        <v>24770.2</v>
      </c>
      <c r="F469" s="146">
        <f t="shared" si="10"/>
        <v>2.888798466325504E-3</v>
      </c>
    </row>
    <row r="470" spans="4:6" ht="15.6" x14ac:dyDescent="0.3">
      <c r="D470" s="145">
        <v>45524</v>
      </c>
      <c r="E470" s="187">
        <v>24698.85</v>
      </c>
      <c r="F470" s="146">
        <f t="shared" si="10"/>
        <v>5.1357912150296059E-3</v>
      </c>
    </row>
    <row r="471" spans="4:6" ht="15.6" x14ac:dyDescent="0.3">
      <c r="D471" s="145">
        <v>45523</v>
      </c>
      <c r="E471" s="187">
        <v>24572.65</v>
      </c>
      <c r="F471" s="146">
        <f t="shared" si="10"/>
        <v>1.283558431450782E-3</v>
      </c>
    </row>
    <row r="472" spans="4:6" ht="15.6" x14ac:dyDescent="0.3">
      <c r="D472" s="145">
        <v>45520</v>
      </c>
      <c r="E472" s="187">
        <v>24541.15</v>
      </c>
      <c r="F472" s="146">
        <f t="shared" si="10"/>
        <v>1.6459746311157097E-2</v>
      </c>
    </row>
    <row r="473" spans="4:6" ht="15.6" x14ac:dyDescent="0.3">
      <c r="D473" s="145">
        <v>45518</v>
      </c>
      <c r="E473" s="187">
        <v>24143.75</v>
      </c>
      <c r="F473" s="146">
        <f t="shared" si="10"/>
        <v>1.9677699987563635E-4</v>
      </c>
    </row>
    <row r="474" spans="4:6" ht="15.6" x14ac:dyDescent="0.3">
      <c r="D474" s="145">
        <v>45517</v>
      </c>
      <c r="E474" s="187">
        <v>24139</v>
      </c>
      <c r="F474" s="146">
        <f t="shared" si="10"/>
        <v>-8.5431469996303244E-3</v>
      </c>
    </row>
    <row r="475" spans="4:6" ht="15.6" x14ac:dyDescent="0.3">
      <c r="D475" s="145">
        <v>45516</v>
      </c>
      <c r="E475" s="187">
        <v>24347</v>
      </c>
      <c r="F475" s="146">
        <f t="shared" ref="F475:F538" si="11">E475/E476-1</f>
        <v>-8.4128449779419245E-4</v>
      </c>
    </row>
    <row r="476" spans="4:6" ht="15.6" x14ac:dyDescent="0.3">
      <c r="D476" s="145">
        <v>45513</v>
      </c>
      <c r="E476" s="187">
        <v>24367.5</v>
      </c>
      <c r="F476" s="146">
        <f t="shared" si="11"/>
        <v>1.0386864037815746E-2</v>
      </c>
    </row>
    <row r="477" spans="4:6" ht="15.6" x14ac:dyDescent="0.3">
      <c r="D477" s="145">
        <v>45512</v>
      </c>
      <c r="E477" s="187">
        <v>24117</v>
      </c>
      <c r="F477" s="146">
        <f t="shared" si="11"/>
        <v>-7.4287478135610652E-3</v>
      </c>
    </row>
    <row r="478" spans="4:6" ht="15.6" x14ac:dyDescent="0.3">
      <c r="D478" s="145">
        <v>45511</v>
      </c>
      <c r="E478" s="187">
        <v>24297.5</v>
      </c>
      <c r="F478" s="146">
        <f t="shared" si="11"/>
        <v>1.2710195456506312E-2</v>
      </c>
    </row>
    <row r="479" spans="4:6" ht="15.6" x14ac:dyDescent="0.3">
      <c r="D479" s="145">
        <v>45510</v>
      </c>
      <c r="E479" s="187">
        <v>23992.55</v>
      </c>
      <c r="F479" s="146">
        <f t="shared" si="11"/>
        <v>-2.6210113237665755E-3</v>
      </c>
    </row>
    <row r="480" spans="4:6" ht="15.6" x14ac:dyDescent="0.3">
      <c r="D480" s="145">
        <v>45509</v>
      </c>
      <c r="E480" s="187">
        <v>24055.599999999999</v>
      </c>
      <c r="F480" s="146">
        <f t="shared" si="11"/>
        <v>-2.6786472851438536E-2</v>
      </c>
    </row>
    <row r="481" spans="4:6" ht="15.6" x14ac:dyDescent="0.3">
      <c r="D481" s="145">
        <v>45506</v>
      </c>
      <c r="E481" s="187">
        <v>24717.7</v>
      </c>
      <c r="F481" s="146">
        <f t="shared" si="11"/>
        <v>-1.1722888820474342E-2</v>
      </c>
    </row>
    <row r="482" spans="4:6" ht="15.6" x14ac:dyDescent="0.3">
      <c r="D482" s="145">
        <v>45505</v>
      </c>
      <c r="E482" s="187">
        <v>25010.9</v>
      </c>
      <c r="F482" s="146">
        <f t="shared" si="11"/>
        <v>2.3946792031630526E-3</v>
      </c>
    </row>
    <row r="483" spans="4:6" ht="15.6" x14ac:dyDescent="0.3">
      <c r="D483" s="145">
        <v>45504</v>
      </c>
      <c r="E483" s="187">
        <v>24951.15</v>
      </c>
      <c r="F483" s="146">
        <f t="shared" si="11"/>
        <v>3.7755508442189889E-3</v>
      </c>
    </row>
    <row r="484" spans="4:6" ht="15.6" x14ac:dyDescent="0.3">
      <c r="D484" s="145">
        <v>45503</v>
      </c>
      <c r="E484" s="187">
        <v>24857.3</v>
      </c>
      <c r="F484" s="146">
        <f t="shared" si="11"/>
        <v>8.5359617653346653E-4</v>
      </c>
    </row>
    <row r="485" spans="4:6" ht="15.6" x14ac:dyDescent="0.3">
      <c r="D485" s="145">
        <v>45502</v>
      </c>
      <c r="E485" s="187">
        <v>24836.1</v>
      </c>
      <c r="F485" s="146">
        <f t="shared" si="11"/>
        <v>5.0332496471794386E-5</v>
      </c>
    </row>
    <row r="486" spans="4:6" ht="15.6" x14ac:dyDescent="0.3">
      <c r="D486" s="145">
        <v>45499</v>
      </c>
      <c r="E486" s="187">
        <v>24834.85</v>
      </c>
      <c r="F486" s="146">
        <f t="shared" si="11"/>
        <v>1.7567329479105664E-2</v>
      </c>
    </row>
    <row r="487" spans="4:6" ht="15.6" x14ac:dyDescent="0.3">
      <c r="D487" s="145">
        <v>45498</v>
      </c>
      <c r="E487" s="187">
        <v>24406.1</v>
      </c>
      <c r="F487" s="146">
        <f t="shared" si="11"/>
        <v>-3.0311098367707956E-4</v>
      </c>
    </row>
    <row r="488" spans="4:6" ht="15.6" x14ac:dyDescent="0.3">
      <c r="D488" s="145">
        <v>45497</v>
      </c>
      <c r="E488" s="187">
        <v>24413.5</v>
      </c>
      <c r="F488" s="146">
        <f t="shared" si="11"/>
        <v>-2.6777999963233379E-3</v>
      </c>
    </row>
    <row r="489" spans="4:6" ht="15.6" x14ac:dyDescent="0.3">
      <c r="D489" s="145">
        <v>45496</v>
      </c>
      <c r="E489" s="187">
        <v>24479.05</v>
      </c>
      <c r="F489" s="146">
        <f t="shared" si="11"/>
        <v>-1.2321878474453873E-3</v>
      </c>
    </row>
    <row r="490" spans="4:6" ht="15.6" x14ac:dyDescent="0.3">
      <c r="D490" s="145">
        <v>45495</v>
      </c>
      <c r="E490" s="187">
        <v>24509.25</v>
      </c>
      <c r="F490" s="146">
        <f t="shared" si="11"/>
        <v>-8.8256036264466875E-4</v>
      </c>
    </row>
    <row r="491" spans="4:6" ht="15.6" x14ac:dyDescent="0.3">
      <c r="D491" s="145">
        <v>45492</v>
      </c>
      <c r="E491" s="187">
        <v>24530.9</v>
      </c>
      <c r="F491" s="146">
        <f t="shared" si="11"/>
        <v>-1.0884707580586794E-2</v>
      </c>
    </row>
    <row r="492" spans="4:6" ht="15.6" x14ac:dyDescent="0.3">
      <c r="D492" s="145">
        <v>45491</v>
      </c>
      <c r="E492" s="187">
        <v>24800.85</v>
      </c>
      <c r="F492" s="146">
        <f t="shared" si="11"/>
        <v>7.6321456141064115E-3</v>
      </c>
    </row>
    <row r="493" spans="4:6" ht="15.6" x14ac:dyDescent="0.3">
      <c r="D493" s="145">
        <v>45489</v>
      </c>
      <c r="E493" s="187">
        <v>24613</v>
      </c>
      <c r="F493" s="146">
        <f t="shared" si="11"/>
        <v>1.0696840161550369E-3</v>
      </c>
    </row>
    <row r="494" spans="4:6" ht="15.6" x14ac:dyDescent="0.3">
      <c r="D494" s="145">
        <v>45488</v>
      </c>
      <c r="E494" s="187">
        <v>24586.7</v>
      </c>
      <c r="F494" s="146">
        <f t="shared" si="11"/>
        <v>3.4507175900890807E-3</v>
      </c>
    </row>
    <row r="495" spans="4:6" ht="15.6" x14ac:dyDescent="0.3">
      <c r="D495" s="145">
        <v>45485</v>
      </c>
      <c r="E495" s="187">
        <v>24502.15</v>
      </c>
      <c r="F495" s="146">
        <f t="shared" si="11"/>
        <v>7.6575252046495734E-3</v>
      </c>
    </row>
    <row r="496" spans="4:6" ht="15.6" x14ac:dyDescent="0.3">
      <c r="D496" s="145">
        <v>45484</v>
      </c>
      <c r="E496" s="187">
        <v>24315.95</v>
      </c>
      <c r="F496" s="146">
        <f t="shared" si="11"/>
        <v>-3.4944263899083783E-4</v>
      </c>
    </row>
    <row r="497" spans="4:6" ht="15.6" x14ac:dyDescent="0.3">
      <c r="D497" s="145">
        <v>45483</v>
      </c>
      <c r="E497" s="187">
        <v>24324.45</v>
      </c>
      <c r="F497" s="146">
        <f t="shared" si="11"/>
        <v>-4.4509110554491471E-3</v>
      </c>
    </row>
    <row r="498" spans="4:6" ht="15.6" x14ac:dyDescent="0.3">
      <c r="D498" s="145">
        <v>45482</v>
      </c>
      <c r="E498" s="187">
        <v>24433.200000000001</v>
      </c>
      <c r="F498" s="146">
        <f t="shared" si="11"/>
        <v>4.6318853808815508E-3</v>
      </c>
    </row>
    <row r="499" spans="4:6" ht="15.6" x14ac:dyDescent="0.3">
      <c r="D499" s="145">
        <v>45481</v>
      </c>
      <c r="E499" s="187">
        <v>24320.55</v>
      </c>
      <c r="F499" s="146">
        <f t="shared" si="11"/>
        <v>-1.3566931221820067E-4</v>
      </c>
    </row>
    <row r="500" spans="4:6" ht="15.6" x14ac:dyDescent="0.3">
      <c r="D500" s="145">
        <v>45478</v>
      </c>
      <c r="E500" s="187">
        <v>24323.85</v>
      </c>
      <c r="F500" s="146">
        <f t="shared" si="11"/>
        <v>8.9292511156413568E-4</v>
      </c>
    </row>
    <row r="501" spans="4:6" ht="15.6" x14ac:dyDescent="0.3">
      <c r="D501" s="145">
        <v>45477</v>
      </c>
      <c r="E501" s="187">
        <v>24302.15</v>
      </c>
      <c r="F501" s="146">
        <f t="shared" si="11"/>
        <v>6.4439091676460336E-4</v>
      </c>
    </row>
    <row r="502" spans="4:6" ht="15.6" x14ac:dyDescent="0.3">
      <c r="D502" s="145">
        <v>45476</v>
      </c>
      <c r="E502" s="187">
        <v>24286.5</v>
      </c>
      <c r="F502" s="146">
        <f t="shared" si="11"/>
        <v>6.7422903060665451E-3</v>
      </c>
    </row>
    <row r="503" spans="4:6" ht="15.6" x14ac:dyDescent="0.3">
      <c r="D503" s="145">
        <v>45475</v>
      </c>
      <c r="E503" s="187">
        <v>24123.85</v>
      </c>
      <c r="F503" s="146">
        <f t="shared" si="11"/>
        <v>-7.4973231242725369E-4</v>
      </c>
    </row>
    <row r="504" spans="4:6" ht="15.6" x14ac:dyDescent="0.3">
      <c r="D504" s="145">
        <v>45474</v>
      </c>
      <c r="E504" s="187">
        <v>24141.95</v>
      </c>
      <c r="F504" s="146">
        <f t="shared" si="11"/>
        <v>5.4705005289330533E-3</v>
      </c>
    </row>
    <row r="505" spans="4:6" ht="15.6" x14ac:dyDescent="0.3">
      <c r="D505" s="145">
        <v>45471</v>
      </c>
      <c r="E505" s="187">
        <v>24010.6</v>
      </c>
      <c r="F505" s="146">
        <f t="shared" si="11"/>
        <v>-1.4098858366778932E-3</v>
      </c>
    </row>
    <row r="506" spans="4:6" ht="15.6" x14ac:dyDescent="0.3">
      <c r="D506" s="145">
        <v>45470</v>
      </c>
      <c r="E506" s="187">
        <v>24044.5</v>
      </c>
      <c r="F506" s="146">
        <f t="shared" si="11"/>
        <v>7.3610738704921186E-3</v>
      </c>
    </row>
    <row r="507" spans="4:6" ht="15.6" x14ac:dyDescent="0.3">
      <c r="D507" s="145">
        <v>45469</v>
      </c>
      <c r="E507" s="187">
        <v>23868.799999999999</v>
      </c>
      <c r="F507" s="146">
        <f t="shared" si="11"/>
        <v>6.2180403266263173E-3</v>
      </c>
    </row>
    <row r="508" spans="4:6" ht="15.6" x14ac:dyDescent="0.3">
      <c r="D508" s="145">
        <v>45468</v>
      </c>
      <c r="E508" s="187">
        <v>23721.3</v>
      </c>
      <c r="F508" s="146">
        <f t="shared" si="11"/>
        <v>7.7938299377386944E-3</v>
      </c>
    </row>
    <row r="509" spans="4:6" ht="15.6" x14ac:dyDescent="0.3">
      <c r="D509" s="145">
        <v>45467</v>
      </c>
      <c r="E509" s="187">
        <v>23537.85</v>
      </c>
      <c r="F509" s="146">
        <f t="shared" si="11"/>
        <v>1.5637565901169825E-3</v>
      </c>
    </row>
    <row r="510" spans="4:6" ht="15.6" x14ac:dyDescent="0.3">
      <c r="D510" s="145">
        <v>45464</v>
      </c>
      <c r="E510" s="187">
        <v>23501.1</v>
      </c>
      <c r="F510" s="146">
        <f t="shared" si="11"/>
        <v>-2.7962829380066001E-3</v>
      </c>
    </row>
    <row r="511" spans="4:6" ht="15.6" x14ac:dyDescent="0.3">
      <c r="D511" s="145">
        <v>45463</v>
      </c>
      <c r="E511" s="187">
        <v>23567</v>
      </c>
      <c r="F511" s="146">
        <f t="shared" si="11"/>
        <v>2.1687361796223215E-3</v>
      </c>
    </row>
    <row r="512" spans="4:6" ht="15.6" x14ac:dyDescent="0.3">
      <c r="D512" s="145">
        <v>45462</v>
      </c>
      <c r="E512" s="187">
        <v>23516</v>
      </c>
      <c r="F512" s="146">
        <f t="shared" si="11"/>
        <v>-1.7785965642099777E-3</v>
      </c>
    </row>
    <row r="513" spans="4:6" ht="15.6" x14ac:dyDescent="0.3">
      <c r="D513" s="145">
        <v>45461</v>
      </c>
      <c r="E513" s="187">
        <v>23557.9</v>
      </c>
      <c r="F513" s="146">
        <f t="shared" si="11"/>
        <v>3.933417428064967E-3</v>
      </c>
    </row>
    <row r="514" spans="4:6" ht="15.6" x14ac:dyDescent="0.3">
      <c r="D514" s="145">
        <v>45457</v>
      </c>
      <c r="E514" s="187">
        <v>23465.599999999999</v>
      </c>
      <c r="F514" s="146">
        <f t="shared" si="11"/>
        <v>2.8505613511744521E-3</v>
      </c>
    </row>
    <row r="515" spans="4:6" ht="15.6" x14ac:dyDescent="0.3">
      <c r="D515" s="145">
        <v>45456</v>
      </c>
      <c r="E515" s="187">
        <v>23398.9</v>
      </c>
      <c r="F515" s="146">
        <f t="shared" si="11"/>
        <v>3.2564491198583401E-3</v>
      </c>
    </row>
    <row r="516" spans="4:6" ht="15.6" x14ac:dyDescent="0.3">
      <c r="D516" s="145">
        <v>45455</v>
      </c>
      <c r="E516" s="187">
        <v>23322.95</v>
      </c>
      <c r="F516" s="146">
        <f t="shared" si="11"/>
        <v>2.4973296625596664E-3</v>
      </c>
    </row>
    <row r="517" spans="4:6" ht="15.6" x14ac:dyDescent="0.3">
      <c r="D517" s="145">
        <v>45454</v>
      </c>
      <c r="E517" s="187">
        <v>23264.85</v>
      </c>
      <c r="F517" s="146">
        <f t="shared" si="11"/>
        <v>2.4291463162962046E-4</v>
      </c>
    </row>
    <row r="518" spans="4:6" ht="15.6" x14ac:dyDescent="0.3">
      <c r="D518" s="145">
        <v>45453</v>
      </c>
      <c r="E518" s="187">
        <v>23259.200000000001</v>
      </c>
      <c r="F518" s="146">
        <f t="shared" si="11"/>
        <v>-1.3288879633664985E-3</v>
      </c>
    </row>
    <row r="519" spans="4:6" ht="15.6" x14ac:dyDescent="0.3">
      <c r="D519" s="145">
        <v>45450</v>
      </c>
      <c r="E519" s="187">
        <v>23290.15</v>
      </c>
      <c r="F519" s="146">
        <f t="shared" si="11"/>
        <v>2.0539931818380985E-2</v>
      </c>
    </row>
    <row r="520" spans="4:6" ht="15.6" x14ac:dyDescent="0.3">
      <c r="D520" s="145">
        <v>45449</v>
      </c>
      <c r="E520" s="187">
        <v>22821.4</v>
      </c>
      <c r="F520" s="146">
        <f t="shared" si="11"/>
        <v>8.888014553267487E-3</v>
      </c>
    </row>
    <row r="521" spans="4:6" ht="15.6" x14ac:dyDescent="0.3">
      <c r="D521" s="145">
        <v>45448</v>
      </c>
      <c r="E521" s="187">
        <v>22620.35</v>
      </c>
      <c r="F521" s="146">
        <f t="shared" si="11"/>
        <v>3.3624254609426751E-2</v>
      </c>
    </row>
    <row r="522" spans="4:6" ht="15.6" x14ac:dyDescent="0.3">
      <c r="D522" s="145">
        <v>45447</v>
      </c>
      <c r="E522" s="187">
        <v>21884.5</v>
      </c>
      <c r="F522" s="146">
        <f t="shared" si="11"/>
        <v>-5.9293583620975032E-2</v>
      </c>
    </row>
    <row r="523" spans="4:6" ht="15.6" x14ac:dyDescent="0.3">
      <c r="D523" s="145">
        <v>45446</v>
      </c>
      <c r="E523" s="187">
        <v>23263.9</v>
      </c>
      <c r="F523" s="146">
        <f t="shared" si="11"/>
        <v>3.2542264554585643E-2</v>
      </c>
    </row>
    <row r="524" spans="4:6" ht="15.6" x14ac:dyDescent="0.3">
      <c r="D524" s="145">
        <v>45443</v>
      </c>
      <c r="E524" s="187">
        <v>22530.7</v>
      </c>
      <c r="F524" s="146">
        <f t="shared" si="11"/>
        <v>1.8698321153114428E-3</v>
      </c>
    </row>
    <row r="525" spans="4:6" ht="15.6" x14ac:dyDescent="0.3">
      <c r="D525" s="145">
        <v>45442</v>
      </c>
      <c r="E525" s="187">
        <v>22488.65</v>
      </c>
      <c r="F525" s="146">
        <f t="shared" si="11"/>
        <v>-9.515650944518117E-3</v>
      </c>
    </row>
    <row r="526" spans="4:6" ht="15.6" x14ac:dyDescent="0.3">
      <c r="D526" s="145">
        <v>45441</v>
      </c>
      <c r="E526" s="187">
        <v>22704.7</v>
      </c>
      <c r="F526" s="146">
        <f t="shared" si="11"/>
        <v>-8.015064563977492E-3</v>
      </c>
    </row>
    <row r="527" spans="4:6" ht="15.6" x14ac:dyDescent="0.3">
      <c r="D527" s="145">
        <v>45440</v>
      </c>
      <c r="E527" s="187">
        <v>22888.15</v>
      </c>
      <c r="F527" s="146">
        <f t="shared" si="11"/>
        <v>-1.9317604529824894E-3</v>
      </c>
    </row>
    <row r="528" spans="4:6" ht="15.6" x14ac:dyDescent="0.3">
      <c r="D528" s="145">
        <v>45439</v>
      </c>
      <c r="E528" s="187">
        <v>22932.45</v>
      </c>
      <c r="F528" s="146">
        <f t="shared" si="11"/>
        <v>-1.073741892486324E-3</v>
      </c>
    </row>
    <row r="529" spans="4:6" ht="15.6" x14ac:dyDescent="0.3">
      <c r="D529" s="145">
        <v>45436</v>
      </c>
      <c r="E529" s="187">
        <v>22957.1</v>
      </c>
      <c r="F529" s="146">
        <f t="shared" si="11"/>
        <v>-4.5934172629780168E-4</v>
      </c>
    </row>
    <row r="530" spans="4:6" ht="15.6" x14ac:dyDescent="0.3">
      <c r="D530" s="145">
        <v>45435</v>
      </c>
      <c r="E530" s="187">
        <v>22967.65</v>
      </c>
      <c r="F530" s="146">
        <f t="shared" si="11"/>
        <v>1.6366637460283773E-2</v>
      </c>
    </row>
    <row r="531" spans="4:6" ht="15.6" x14ac:dyDescent="0.3">
      <c r="D531" s="145">
        <v>45434</v>
      </c>
      <c r="E531" s="187">
        <v>22597.8</v>
      </c>
      <c r="F531" s="146">
        <f t="shared" si="11"/>
        <v>3.0516155807722711E-3</v>
      </c>
    </row>
    <row r="532" spans="4:6" ht="15.6" x14ac:dyDescent="0.3">
      <c r="D532" s="145">
        <v>45433</v>
      </c>
      <c r="E532" s="187">
        <v>22529.05</v>
      </c>
      <c r="F532" s="146">
        <f t="shared" si="11"/>
        <v>1.2021153675227936E-3</v>
      </c>
    </row>
    <row r="533" spans="4:6" ht="15.6" x14ac:dyDescent="0.3">
      <c r="D533" s="145">
        <v>45430</v>
      </c>
      <c r="E533" s="187">
        <v>22502</v>
      </c>
      <c r="F533" s="146">
        <f t="shared" si="11"/>
        <v>1.5979631533733496E-3</v>
      </c>
    </row>
    <row r="534" spans="4:6" ht="15.6" x14ac:dyDescent="0.3">
      <c r="D534" s="145">
        <v>45429</v>
      </c>
      <c r="E534" s="187">
        <v>22466.1</v>
      </c>
      <c r="F534" s="146">
        <f t="shared" si="11"/>
        <v>2.7785402955295968E-3</v>
      </c>
    </row>
    <row r="535" spans="4:6" ht="15.6" x14ac:dyDescent="0.3">
      <c r="D535" s="145">
        <v>45428</v>
      </c>
      <c r="E535" s="187">
        <v>22403.85</v>
      </c>
      <c r="F535" s="146">
        <f t="shared" si="11"/>
        <v>9.1574307843724778E-3</v>
      </c>
    </row>
    <row r="536" spans="4:6" ht="15.6" x14ac:dyDescent="0.3">
      <c r="D536" s="145">
        <v>45427</v>
      </c>
      <c r="E536" s="187">
        <v>22200.55</v>
      </c>
      <c r="F536" s="146">
        <f t="shared" si="11"/>
        <v>-7.7865320001702099E-4</v>
      </c>
    </row>
    <row r="537" spans="4:6" ht="15.6" x14ac:dyDescent="0.3">
      <c r="D537" s="145">
        <v>45426</v>
      </c>
      <c r="E537" s="187">
        <v>22217.85</v>
      </c>
      <c r="F537" s="146">
        <f t="shared" si="11"/>
        <v>5.1483777859713253E-3</v>
      </c>
    </row>
    <row r="538" spans="4:6" ht="15.6" x14ac:dyDescent="0.3">
      <c r="D538" s="145">
        <v>45425</v>
      </c>
      <c r="E538" s="187">
        <v>22104.05</v>
      </c>
      <c r="F538" s="146">
        <f t="shared" si="11"/>
        <v>2.2148971671078765E-3</v>
      </c>
    </row>
    <row r="539" spans="4:6" ht="15.6" x14ac:dyDescent="0.3">
      <c r="D539" s="145">
        <v>45422</v>
      </c>
      <c r="E539" s="187">
        <v>22055.200000000001</v>
      </c>
      <c r="F539" s="146">
        <f t="shared" ref="F539:F602" si="12">E539/E540-1</f>
        <v>4.4495047250370234E-3</v>
      </c>
    </row>
    <row r="540" spans="4:6" ht="15.6" x14ac:dyDescent="0.3">
      <c r="D540" s="145">
        <v>45421</v>
      </c>
      <c r="E540" s="187">
        <v>21957.5</v>
      </c>
      <c r="F540" s="146">
        <f t="shared" si="12"/>
        <v>-1.546911781190452E-2</v>
      </c>
    </row>
    <row r="541" spans="4:6" ht="15.6" x14ac:dyDescent="0.3">
      <c r="D541" s="145">
        <v>45420</v>
      </c>
      <c r="E541" s="187">
        <v>22302.5</v>
      </c>
      <c r="F541" s="146">
        <f t="shared" si="12"/>
        <v>0</v>
      </c>
    </row>
    <row r="542" spans="4:6" ht="15.6" x14ac:dyDescent="0.3">
      <c r="D542" s="145">
        <v>45419</v>
      </c>
      <c r="E542" s="187">
        <v>22302.5</v>
      </c>
      <c r="F542" s="146">
        <f t="shared" si="12"/>
        <v>-6.2470201891929866E-3</v>
      </c>
    </row>
    <row r="543" spans="4:6" ht="15.6" x14ac:dyDescent="0.3">
      <c r="D543" s="145">
        <v>45418</v>
      </c>
      <c r="E543" s="187">
        <v>22442.7</v>
      </c>
      <c r="F543" s="146">
        <f t="shared" si="12"/>
        <v>-1.4749164102803025E-3</v>
      </c>
    </row>
    <row r="544" spans="4:6" ht="15.6" x14ac:dyDescent="0.3">
      <c r="D544" s="145">
        <v>45415</v>
      </c>
      <c r="E544" s="187">
        <v>22475.85</v>
      </c>
      <c r="F544" s="146">
        <f t="shared" si="12"/>
        <v>-7.6098762815588472E-3</v>
      </c>
    </row>
    <row r="545" spans="4:6" ht="15.6" x14ac:dyDescent="0.3">
      <c r="D545" s="145">
        <v>45414</v>
      </c>
      <c r="E545" s="187">
        <v>22648.2</v>
      </c>
      <c r="F545" s="146">
        <f t="shared" si="12"/>
        <v>1.917730044658672E-3</v>
      </c>
    </row>
    <row r="546" spans="4:6" ht="15.6" x14ac:dyDescent="0.3">
      <c r="D546" s="145">
        <v>45412</v>
      </c>
      <c r="E546" s="187">
        <v>22604.85</v>
      </c>
      <c r="F546" s="146">
        <f t="shared" si="12"/>
        <v>-1.7024828426828176E-3</v>
      </c>
    </row>
    <row r="547" spans="4:6" ht="15.6" x14ac:dyDescent="0.3">
      <c r="D547" s="145">
        <v>45411</v>
      </c>
      <c r="E547" s="187">
        <v>22643.4</v>
      </c>
      <c r="F547" s="146">
        <f t="shared" si="12"/>
        <v>9.9665699522077933E-3</v>
      </c>
    </row>
    <row r="548" spans="4:6" ht="15.6" x14ac:dyDescent="0.3">
      <c r="D548" s="145">
        <v>45408</v>
      </c>
      <c r="E548" s="187">
        <v>22419.95</v>
      </c>
      <c r="F548" s="146">
        <f t="shared" si="12"/>
        <v>-6.6636095585579369E-3</v>
      </c>
    </row>
    <row r="549" spans="4:6" ht="15.6" x14ac:dyDescent="0.3">
      <c r="D549" s="145">
        <v>45407</v>
      </c>
      <c r="E549" s="187">
        <v>22570.35</v>
      </c>
      <c r="F549" s="146">
        <f t="shared" si="12"/>
        <v>7.496964610934409E-3</v>
      </c>
    </row>
    <row r="550" spans="4:6" ht="15.6" x14ac:dyDescent="0.3">
      <c r="D550" s="145">
        <v>45406</v>
      </c>
      <c r="E550" s="187">
        <v>22402.400000000001</v>
      </c>
      <c r="F550" s="146">
        <f t="shared" si="12"/>
        <v>1.5379113018598733E-3</v>
      </c>
    </row>
    <row r="551" spans="4:6" ht="15.6" x14ac:dyDescent="0.3">
      <c r="D551" s="145">
        <v>45405</v>
      </c>
      <c r="E551" s="187">
        <v>22368</v>
      </c>
      <c r="F551" s="146">
        <f t="shared" si="12"/>
        <v>1.4147311115488836E-3</v>
      </c>
    </row>
    <row r="552" spans="4:6" ht="15.6" x14ac:dyDescent="0.3">
      <c r="D552" s="145">
        <v>45404</v>
      </c>
      <c r="E552" s="187">
        <v>22336.400000000001</v>
      </c>
      <c r="F552" s="146">
        <f t="shared" si="12"/>
        <v>8.5519483451483858E-3</v>
      </c>
    </row>
    <row r="553" spans="4:6" ht="15.6" x14ac:dyDescent="0.3">
      <c r="D553" s="145">
        <v>45401</v>
      </c>
      <c r="E553" s="187">
        <v>22147</v>
      </c>
      <c r="F553" s="146">
        <f t="shared" si="12"/>
        <v>6.8717508075386569E-3</v>
      </c>
    </row>
    <row r="554" spans="4:6" ht="15.6" x14ac:dyDescent="0.3">
      <c r="D554" s="145">
        <v>45400</v>
      </c>
      <c r="E554" s="187">
        <v>21995.85</v>
      </c>
      <c r="F554" s="146">
        <f t="shared" si="12"/>
        <v>-6.8652106971768267E-3</v>
      </c>
    </row>
    <row r="555" spans="4:6" ht="15.6" x14ac:dyDescent="0.3">
      <c r="D555" s="145">
        <v>45398</v>
      </c>
      <c r="E555" s="187">
        <v>22147.9</v>
      </c>
      <c r="F555" s="146">
        <f t="shared" si="12"/>
        <v>-5.5943427994162853E-3</v>
      </c>
    </row>
    <row r="556" spans="4:6" ht="15.6" x14ac:dyDescent="0.3">
      <c r="D556" s="145">
        <v>45397</v>
      </c>
      <c r="E556" s="187">
        <v>22272.5</v>
      </c>
      <c r="F556" s="146">
        <f t="shared" si="12"/>
        <v>-1.0963880032327733E-2</v>
      </c>
    </row>
    <row r="557" spans="4:6" ht="15.6" x14ac:dyDescent="0.3">
      <c r="D557" s="145">
        <v>45394</v>
      </c>
      <c r="E557" s="187">
        <v>22519.4</v>
      </c>
      <c r="F557" s="146">
        <f t="shared" si="12"/>
        <v>-1.0301576000492085E-2</v>
      </c>
    </row>
    <row r="558" spans="4:6" ht="15.6" x14ac:dyDescent="0.3">
      <c r="D558" s="145">
        <v>45392</v>
      </c>
      <c r="E558" s="187">
        <v>22753.8</v>
      </c>
      <c r="F558" s="146">
        <f t="shared" si="12"/>
        <v>4.904439610913025E-3</v>
      </c>
    </row>
    <row r="559" spans="4:6" ht="15.6" x14ac:dyDescent="0.3">
      <c r="D559" s="145">
        <v>45391</v>
      </c>
      <c r="E559" s="187">
        <v>22642.75</v>
      </c>
      <c r="F559" s="146">
        <f t="shared" si="12"/>
        <v>-1.0389873953843276E-3</v>
      </c>
    </row>
    <row r="560" spans="4:6" ht="15.6" x14ac:dyDescent="0.3">
      <c r="D560" s="145">
        <v>45390</v>
      </c>
      <c r="E560" s="187">
        <v>22666.3</v>
      </c>
      <c r="F560" s="146">
        <f t="shared" si="12"/>
        <v>6.7780951154186031E-3</v>
      </c>
    </row>
    <row r="561" spans="4:6" ht="15.6" x14ac:dyDescent="0.3">
      <c r="D561" s="145">
        <v>45387</v>
      </c>
      <c r="E561" s="187">
        <v>22513.7</v>
      </c>
      <c r="F561" s="146">
        <f t="shared" si="12"/>
        <v>-4.2194748752555356E-5</v>
      </c>
    </row>
    <row r="562" spans="4:6" ht="15.6" x14ac:dyDescent="0.3">
      <c r="D562" s="145">
        <v>45386</v>
      </c>
      <c r="E562" s="187">
        <v>22514.65</v>
      </c>
      <c r="F562" s="146">
        <f t="shared" si="12"/>
        <v>3.5659125504521327E-3</v>
      </c>
    </row>
    <row r="563" spans="4:6" ht="15.6" x14ac:dyDescent="0.3">
      <c r="D563" s="145">
        <v>45385</v>
      </c>
      <c r="E563" s="187">
        <v>22434.65</v>
      </c>
      <c r="F563" s="146">
        <f t="shared" si="12"/>
        <v>-8.306128720498851E-4</v>
      </c>
    </row>
    <row r="564" spans="4:6" ht="15.6" x14ac:dyDescent="0.3">
      <c r="D564" s="145">
        <v>45384</v>
      </c>
      <c r="E564" s="187">
        <v>22453.3</v>
      </c>
      <c r="F564" s="146">
        <f t="shared" si="12"/>
        <v>-3.8732080847658779E-4</v>
      </c>
    </row>
    <row r="565" spans="4:6" ht="15.6" x14ac:dyDescent="0.3">
      <c r="D565" s="145">
        <v>45383</v>
      </c>
      <c r="E565" s="187">
        <v>22462</v>
      </c>
      <c r="F565" s="146">
        <f t="shared" si="12"/>
        <v>6.0509967796693598E-3</v>
      </c>
    </row>
    <row r="566" spans="4:6" ht="15.6" x14ac:dyDescent="0.3">
      <c r="D566" s="145">
        <v>45379</v>
      </c>
      <c r="E566" s="187">
        <v>22326.9</v>
      </c>
      <c r="F566" s="146">
        <f t="shared" si="12"/>
        <v>9.1870012407537782E-3</v>
      </c>
    </row>
    <row r="567" spans="4:6" ht="15.6" x14ac:dyDescent="0.3">
      <c r="D567" s="145">
        <v>45378</v>
      </c>
      <c r="E567" s="187">
        <v>22123.65</v>
      </c>
      <c r="F567" s="146">
        <f t="shared" si="12"/>
        <v>5.4056633355601402E-3</v>
      </c>
    </row>
    <row r="568" spans="4:6" ht="15.6" x14ac:dyDescent="0.3">
      <c r="D568" s="145">
        <v>45377</v>
      </c>
      <c r="E568" s="187">
        <v>22004.7</v>
      </c>
      <c r="F568" s="146">
        <f t="shared" si="12"/>
        <v>-4.1657709844207247E-3</v>
      </c>
    </row>
    <row r="569" spans="4:6" ht="15.6" x14ac:dyDescent="0.3">
      <c r="D569" s="145">
        <v>45373</v>
      </c>
      <c r="E569" s="187">
        <v>22096.75</v>
      </c>
      <c r="F569" s="146">
        <f t="shared" si="12"/>
        <v>3.8524528721899376E-3</v>
      </c>
    </row>
    <row r="570" spans="4:6" ht="15.6" x14ac:dyDescent="0.3">
      <c r="D570" s="145">
        <v>45372</v>
      </c>
      <c r="E570" s="187">
        <v>22011.95</v>
      </c>
      <c r="F570" s="146">
        <f t="shared" si="12"/>
        <v>7.9147034447391018E-3</v>
      </c>
    </row>
    <row r="571" spans="4:6" ht="15.6" x14ac:dyDescent="0.3">
      <c r="D571" s="145">
        <v>45371</v>
      </c>
      <c r="E571" s="187">
        <v>21839.1</v>
      </c>
      <c r="F571" s="146">
        <f t="shared" si="12"/>
        <v>9.9232495089940365E-4</v>
      </c>
    </row>
    <row r="572" spans="4:6" ht="15.6" x14ac:dyDescent="0.3">
      <c r="D572" s="145">
        <v>45370</v>
      </c>
      <c r="E572" s="187">
        <v>21817.45</v>
      </c>
      <c r="F572" s="146">
        <f t="shared" si="12"/>
        <v>-1.0802196257656771E-2</v>
      </c>
    </row>
    <row r="573" spans="4:6" ht="15.6" x14ac:dyDescent="0.3">
      <c r="D573" s="145">
        <v>45369</v>
      </c>
      <c r="E573" s="187">
        <v>22055.7</v>
      </c>
      <c r="F573" s="146">
        <f t="shared" si="12"/>
        <v>1.4688955131714199E-3</v>
      </c>
    </row>
    <row r="574" spans="4:6" ht="15.6" x14ac:dyDescent="0.3">
      <c r="D574" s="145">
        <v>45366</v>
      </c>
      <c r="E574" s="187">
        <v>22023.35</v>
      </c>
      <c r="F574" s="146">
        <f t="shared" si="12"/>
        <v>-5.5674334493028832E-3</v>
      </c>
    </row>
    <row r="575" spans="4:6" ht="15.6" x14ac:dyDescent="0.3">
      <c r="D575" s="145">
        <v>45365</v>
      </c>
      <c r="E575" s="187">
        <v>22146.65</v>
      </c>
      <c r="F575" s="146">
        <f t="shared" si="12"/>
        <v>6.7711624397095438E-3</v>
      </c>
    </row>
    <row r="576" spans="4:6" ht="15.6" x14ac:dyDescent="0.3">
      <c r="D576" s="145">
        <v>45364</v>
      </c>
      <c r="E576" s="187">
        <v>21997.7</v>
      </c>
      <c r="F576" s="146">
        <f t="shared" si="12"/>
        <v>-1.5132724741109493E-2</v>
      </c>
    </row>
    <row r="577" spans="4:6" ht="15.6" x14ac:dyDescent="0.3">
      <c r="D577" s="145">
        <v>45363</v>
      </c>
      <c r="E577" s="187">
        <v>22335.7</v>
      </c>
      <c r="F577" s="146">
        <f t="shared" si="12"/>
        <v>1.3657134285449679E-4</v>
      </c>
    </row>
    <row r="578" spans="4:6" ht="15.6" x14ac:dyDescent="0.3">
      <c r="D578" s="145">
        <v>45362</v>
      </c>
      <c r="E578" s="187">
        <v>22332.65</v>
      </c>
      <c r="F578" s="146">
        <f t="shared" si="12"/>
        <v>-7.1531616841271628E-3</v>
      </c>
    </row>
    <row r="579" spans="4:6" ht="15.6" x14ac:dyDescent="0.3">
      <c r="D579" s="145">
        <v>45358</v>
      </c>
      <c r="E579" s="187">
        <v>22493.55</v>
      </c>
      <c r="F579" s="146">
        <f t="shared" si="12"/>
        <v>8.6766737637411495E-4</v>
      </c>
    </row>
    <row r="580" spans="4:6" ht="15.6" x14ac:dyDescent="0.3">
      <c r="D580" s="145">
        <v>45357</v>
      </c>
      <c r="E580" s="187">
        <v>22474.05</v>
      </c>
      <c r="F580" s="146">
        <f t="shared" si="12"/>
        <v>5.2669717260906967E-3</v>
      </c>
    </row>
    <row r="581" spans="4:6" ht="15.6" x14ac:dyDescent="0.3">
      <c r="D581" s="145">
        <v>45356</v>
      </c>
      <c r="E581" s="187">
        <v>22356.3</v>
      </c>
      <c r="F581" s="146">
        <f t="shared" si="12"/>
        <v>-2.2003427714499812E-3</v>
      </c>
    </row>
    <row r="582" spans="4:6" ht="15.6" x14ac:dyDescent="0.3">
      <c r="D582" s="145">
        <v>45355</v>
      </c>
      <c r="E582" s="187">
        <v>22405.599999999999</v>
      </c>
      <c r="F582" s="146">
        <f t="shared" si="12"/>
        <v>1.2154577628427088E-3</v>
      </c>
    </row>
    <row r="583" spans="4:6" ht="15.6" x14ac:dyDescent="0.3">
      <c r="D583" s="145">
        <v>45353</v>
      </c>
      <c r="E583" s="187">
        <v>22378.400000000001</v>
      </c>
      <c r="F583" s="146">
        <f t="shared" si="12"/>
        <v>1.7749426445079486E-3</v>
      </c>
    </row>
    <row r="584" spans="4:6" ht="15.6" x14ac:dyDescent="0.3">
      <c r="D584" s="145">
        <v>45352</v>
      </c>
      <c r="E584" s="187">
        <v>22338.75</v>
      </c>
      <c r="F584" s="146">
        <f t="shared" si="12"/>
        <v>1.6192204814673428E-2</v>
      </c>
    </row>
    <row r="585" spans="4:6" ht="15.6" x14ac:dyDescent="0.3">
      <c r="D585" s="145">
        <v>45351</v>
      </c>
      <c r="E585" s="187">
        <v>21982.799999999999</v>
      </c>
      <c r="F585" s="146">
        <f t="shared" si="12"/>
        <v>1.4418378991531977E-3</v>
      </c>
    </row>
    <row r="586" spans="4:6" ht="15.6" x14ac:dyDescent="0.3">
      <c r="D586" s="145">
        <v>45350</v>
      </c>
      <c r="E586" s="187">
        <v>21951.15</v>
      </c>
      <c r="F586" s="146">
        <f t="shared" si="12"/>
        <v>-1.1135962808046407E-2</v>
      </c>
    </row>
    <row r="587" spans="4:6" ht="15.6" x14ac:dyDescent="0.3">
      <c r="D587" s="145">
        <v>45349</v>
      </c>
      <c r="E587" s="187">
        <v>22198.35</v>
      </c>
      <c r="F587" s="146">
        <f t="shared" si="12"/>
        <v>3.4490474436139618E-3</v>
      </c>
    </row>
    <row r="588" spans="4:6" ht="15.6" x14ac:dyDescent="0.3">
      <c r="D588" s="145">
        <v>45348</v>
      </c>
      <c r="E588" s="187">
        <v>22122.05</v>
      </c>
      <c r="F588" s="146">
        <f t="shared" si="12"/>
        <v>-4.0809987079464261E-3</v>
      </c>
    </row>
    <row r="589" spans="4:6" ht="15.6" x14ac:dyDescent="0.3">
      <c r="D589" s="145">
        <v>45345</v>
      </c>
      <c r="E589" s="187">
        <v>22212.7</v>
      </c>
      <c r="F589" s="146">
        <f t="shared" si="12"/>
        <v>-2.1379591267223219E-4</v>
      </c>
    </row>
    <row r="590" spans="4:6" ht="15.6" x14ac:dyDescent="0.3">
      <c r="D590" s="145">
        <v>45344</v>
      </c>
      <c r="E590" s="187">
        <v>22217.45</v>
      </c>
      <c r="F590" s="146">
        <f t="shared" si="12"/>
        <v>7.3633929644232321E-3</v>
      </c>
    </row>
    <row r="591" spans="4:6" ht="15.6" x14ac:dyDescent="0.3">
      <c r="D591" s="145">
        <v>45343</v>
      </c>
      <c r="E591" s="187">
        <v>22055.05</v>
      </c>
      <c r="F591" s="146">
        <f t="shared" si="12"/>
        <v>-6.3927701778848656E-3</v>
      </c>
    </row>
    <row r="592" spans="4:6" ht="15.6" x14ac:dyDescent="0.3">
      <c r="D592" s="145">
        <v>45342</v>
      </c>
      <c r="E592" s="187">
        <v>22196.95</v>
      </c>
      <c r="F592" s="146">
        <f t="shared" si="12"/>
        <v>3.3766908881329716E-3</v>
      </c>
    </row>
    <row r="593" spans="4:6" ht="15.6" x14ac:dyDescent="0.3">
      <c r="D593" s="145">
        <v>45341</v>
      </c>
      <c r="E593" s="187">
        <v>22122.25</v>
      </c>
      <c r="F593" s="146">
        <f t="shared" si="12"/>
        <v>3.6999732313400813E-3</v>
      </c>
    </row>
    <row r="594" spans="4:6" ht="15.6" x14ac:dyDescent="0.3">
      <c r="D594" s="145">
        <v>45338</v>
      </c>
      <c r="E594" s="187">
        <v>22040.7</v>
      </c>
      <c r="F594" s="146">
        <f t="shared" si="12"/>
        <v>5.9308786782743539E-3</v>
      </c>
    </row>
    <row r="595" spans="4:6" ht="15.6" x14ac:dyDescent="0.3">
      <c r="D595" s="145">
        <v>45337</v>
      </c>
      <c r="E595" s="187">
        <v>21910.75</v>
      </c>
      <c r="F595" s="146">
        <f t="shared" si="12"/>
        <v>3.2371720760713263E-3</v>
      </c>
    </row>
    <row r="596" spans="4:6" ht="15.6" x14ac:dyDescent="0.3">
      <c r="D596" s="145">
        <v>45336</v>
      </c>
      <c r="E596" s="187">
        <v>21840.05</v>
      </c>
      <c r="F596" s="146">
        <f t="shared" si="12"/>
        <v>4.4519563542708696E-3</v>
      </c>
    </row>
    <row r="597" spans="4:6" ht="15.6" x14ac:dyDescent="0.3">
      <c r="D597" s="145">
        <v>45335</v>
      </c>
      <c r="E597" s="187">
        <v>21743.25</v>
      </c>
      <c r="F597" s="146">
        <f t="shared" si="12"/>
        <v>5.8845163663112654E-3</v>
      </c>
    </row>
    <row r="598" spans="4:6" ht="15.6" x14ac:dyDescent="0.3">
      <c r="D598" s="145">
        <v>45334</v>
      </c>
      <c r="E598" s="187">
        <v>21616.05</v>
      </c>
      <c r="F598" s="146">
        <f t="shared" si="12"/>
        <v>-7.6414552966831417E-3</v>
      </c>
    </row>
    <row r="599" spans="4:6" ht="15.6" x14ac:dyDescent="0.3">
      <c r="D599" s="145">
        <v>45331</v>
      </c>
      <c r="E599" s="187">
        <v>21782.5</v>
      </c>
      <c r="F599" s="146">
        <f t="shared" si="12"/>
        <v>2.9721958103781088E-3</v>
      </c>
    </row>
    <row r="600" spans="4:6" ht="15.6" x14ac:dyDescent="0.3">
      <c r="D600" s="145">
        <v>45330</v>
      </c>
      <c r="E600" s="187">
        <v>21717.95</v>
      </c>
      <c r="F600" s="146">
        <f t="shared" si="12"/>
        <v>-9.6919814869701471E-3</v>
      </c>
    </row>
    <row r="601" spans="4:6" ht="15.6" x14ac:dyDescent="0.3">
      <c r="D601" s="145">
        <v>45329</v>
      </c>
      <c r="E601" s="187">
        <v>21930.5</v>
      </c>
      <c r="F601" s="146">
        <f t="shared" si="12"/>
        <v>5.0160971116319786E-5</v>
      </c>
    </row>
    <row r="602" spans="4:6" ht="15.6" x14ac:dyDescent="0.3">
      <c r="D602" s="145">
        <v>45328</v>
      </c>
      <c r="E602" s="187">
        <v>21929.4</v>
      </c>
      <c r="F602" s="146">
        <f t="shared" si="12"/>
        <v>7.2433480160023489E-3</v>
      </c>
    </row>
    <row r="603" spans="4:6" ht="15.6" x14ac:dyDescent="0.3">
      <c r="D603" s="145">
        <v>45327</v>
      </c>
      <c r="E603" s="187">
        <v>21771.7</v>
      </c>
      <c r="F603" s="146">
        <f t="shared" ref="F603:F666" si="13">E603/E604-1</f>
        <v>-3.756783717248191E-3</v>
      </c>
    </row>
    <row r="604" spans="4:6" ht="15.6" x14ac:dyDescent="0.3">
      <c r="D604" s="145">
        <v>45324</v>
      </c>
      <c r="E604" s="187">
        <v>21853.8</v>
      </c>
      <c r="F604" s="146">
        <f t="shared" si="13"/>
        <v>7.2059159025599229E-3</v>
      </c>
    </row>
    <row r="605" spans="4:6" ht="15.6" x14ac:dyDescent="0.3">
      <c r="D605" s="145">
        <v>45323</v>
      </c>
      <c r="E605" s="187">
        <v>21697.45</v>
      </c>
      <c r="F605" s="146">
        <f t="shared" si="13"/>
        <v>-1.3003033273956133E-3</v>
      </c>
    </row>
    <row r="606" spans="4:6" ht="15.6" x14ac:dyDescent="0.3">
      <c r="D606" s="145">
        <v>45322</v>
      </c>
      <c r="E606" s="187">
        <v>21725.7</v>
      </c>
      <c r="F606" s="146">
        <f t="shared" si="13"/>
        <v>9.4600433972522602E-3</v>
      </c>
    </row>
    <row r="607" spans="4:6" ht="15.6" x14ac:dyDescent="0.3">
      <c r="D607" s="145">
        <v>45321</v>
      </c>
      <c r="E607" s="187">
        <v>21522.1</v>
      </c>
      <c r="F607" s="146">
        <f t="shared" si="13"/>
        <v>-9.9136979243338308E-3</v>
      </c>
    </row>
    <row r="608" spans="4:6" ht="15.6" x14ac:dyDescent="0.3">
      <c r="D608" s="145">
        <v>45320</v>
      </c>
      <c r="E608" s="187">
        <v>21737.599999999999</v>
      </c>
      <c r="F608" s="146">
        <f t="shared" si="13"/>
        <v>1.8030591122392581E-2</v>
      </c>
    </row>
    <row r="609" spans="4:6" ht="15.6" x14ac:dyDescent="0.3">
      <c r="D609" s="145">
        <v>45316</v>
      </c>
      <c r="E609" s="187">
        <v>21352.6</v>
      </c>
      <c r="F609" s="146">
        <f t="shared" si="13"/>
        <v>-4.7240717909756702E-3</v>
      </c>
    </row>
    <row r="610" spans="4:6" ht="15.6" x14ac:dyDescent="0.3">
      <c r="D610" s="145">
        <v>45315</v>
      </c>
      <c r="E610" s="187">
        <v>21453.95</v>
      </c>
      <c r="F610" s="146">
        <f t="shared" si="13"/>
        <v>1.0130045011959243E-2</v>
      </c>
    </row>
    <row r="611" spans="4:6" ht="15.6" x14ac:dyDescent="0.3">
      <c r="D611" s="145">
        <v>45314</v>
      </c>
      <c r="E611" s="187">
        <v>21238.799999999999</v>
      </c>
      <c r="F611" s="146">
        <f t="shared" si="13"/>
        <v>-1.5436820293160514E-2</v>
      </c>
    </row>
    <row r="612" spans="4:6" ht="15.6" x14ac:dyDescent="0.3">
      <c r="D612" s="145">
        <v>45311</v>
      </c>
      <c r="E612" s="187">
        <v>21571.8</v>
      </c>
      <c r="F612" s="146">
        <f t="shared" si="13"/>
        <v>-2.3401657540329523E-3</v>
      </c>
    </row>
    <row r="613" spans="4:6" ht="15.6" x14ac:dyDescent="0.3">
      <c r="D613" s="145">
        <v>45310</v>
      </c>
      <c r="E613" s="187">
        <v>21622.400000000001</v>
      </c>
      <c r="F613" s="146">
        <f t="shared" si="13"/>
        <v>7.4619389858938678E-3</v>
      </c>
    </row>
    <row r="614" spans="4:6" ht="15.6" x14ac:dyDescent="0.3">
      <c r="D614" s="145">
        <v>45309</v>
      </c>
      <c r="E614" s="187">
        <v>21462.25</v>
      </c>
      <c r="F614" s="146">
        <f t="shared" si="13"/>
        <v>-5.0853075405793424E-3</v>
      </c>
    </row>
    <row r="615" spans="4:6" ht="15.6" x14ac:dyDescent="0.3">
      <c r="D615" s="145">
        <v>45308</v>
      </c>
      <c r="E615" s="187">
        <v>21571.95</v>
      </c>
      <c r="F615" s="146">
        <f t="shared" si="13"/>
        <v>-2.0894323334377241E-2</v>
      </c>
    </row>
    <row r="616" spans="4:6" ht="15.6" x14ac:dyDescent="0.3">
      <c r="D616" s="145">
        <v>45307</v>
      </c>
      <c r="E616" s="187">
        <v>22032.3</v>
      </c>
      <c r="F616" s="146">
        <f t="shared" si="13"/>
        <v>-2.9483039898269281E-3</v>
      </c>
    </row>
    <row r="617" spans="4:6" ht="15.6" x14ac:dyDescent="0.3">
      <c r="D617" s="145">
        <v>45306</v>
      </c>
      <c r="E617" s="187">
        <v>22097.45</v>
      </c>
      <c r="F617" s="146">
        <f t="shared" si="13"/>
        <v>9.2671463903117868E-3</v>
      </c>
    </row>
    <row r="618" spans="4:6" ht="15.6" x14ac:dyDescent="0.3">
      <c r="D618" s="145">
        <v>45303</v>
      </c>
      <c r="E618" s="187">
        <v>21894.55</v>
      </c>
      <c r="F618" s="146">
        <f t="shared" si="13"/>
        <v>1.1426420045086649E-2</v>
      </c>
    </row>
    <row r="619" spans="4:6" ht="15.6" x14ac:dyDescent="0.3">
      <c r="D619" s="145">
        <v>45302</v>
      </c>
      <c r="E619" s="187">
        <v>21647.200000000001</v>
      </c>
      <c r="F619" s="146">
        <f t="shared" si="13"/>
        <v>1.3183031357111297E-3</v>
      </c>
    </row>
    <row r="620" spans="4:6" ht="15.6" x14ac:dyDescent="0.3">
      <c r="D620" s="145">
        <v>45301</v>
      </c>
      <c r="E620" s="187">
        <v>21618.7</v>
      </c>
      <c r="F620" s="146">
        <f t="shared" si="13"/>
        <v>3.4277333098164942E-3</v>
      </c>
    </row>
    <row r="621" spans="4:6" ht="15.6" x14ac:dyDescent="0.3">
      <c r="D621" s="145">
        <v>45300</v>
      </c>
      <c r="E621" s="187">
        <v>21544.85</v>
      </c>
      <c r="F621" s="146">
        <f t="shared" si="13"/>
        <v>1.4805001626922998E-3</v>
      </c>
    </row>
    <row r="622" spans="4:6" ht="15.6" x14ac:dyDescent="0.3">
      <c r="D622" s="145">
        <v>45299</v>
      </c>
      <c r="E622" s="187">
        <v>21513</v>
      </c>
      <c r="F622" s="146">
        <f t="shared" si="13"/>
        <v>-9.1106730290915205E-3</v>
      </c>
    </row>
    <row r="623" spans="4:6" ht="15.6" x14ac:dyDescent="0.3">
      <c r="D623" s="145">
        <v>45296</v>
      </c>
      <c r="E623" s="187">
        <v>21710.799999999999</v>
      </c>
      <c r="F623" s="146">
        <f t="shared" si="13"/>
        <v>2.4101280784538659E-3</v>
      </c>
    </row>
    <row r="624" spans="4:6" ht="15.6" x14ac:dyDescent="0.3">
      <c r="D624" s="145">
        <v>45295</v>
      </c>
      <c r="E624" s="187">
        <v>21658.6</v>
      </c>
      <c r="F624" s="146">
        <f t="shared" si="13"/>
        <v>6.5644700671783074E-3</v>
      </c>
    </row>
    <row r="625" spans="4:6" ht="15.6" x14ac:dyDescent="0.3">
      <c r="D625" s="145">
        <v>45294</v>
      </c>
      <c r="E625" s="187">
        <v>21517.35</v>
      </c>
      <c r="F625" s="146">
        <f t="shared" si="13"/>
        <v>-6.8518125340398806E-3</v>
      </c>
    </row>
    <row r="626" spans="4:6" ht="15.6" x14ac:dyDescent="0.3">
      <c r="D626" s="145">
        <v>45293</v>
      </c>
      <c r="E626" s="187">
        <v>21665.8</v>
      </c>
      <c r="F626" s="146">
        <f t="shared" si="13"/>
        <v>-3.5001540803702991E-3</v>
      </c>
    </row>
    <row r="627" spans="4:6" ht="15.6" x14ac:dyDescent="0.3">
      <c r="D627" s="145">
        <v>45292</v>
      </c>
      <c r="E627" s="187">
        <v>21741.9</v>
      </c>
      <c r="F627" s="146">
        <f t="shared" si="13"/>
        <v>4.8317181589774272E-4</v>
      </c>
    </row>
    <row r="628" spans="4:6" ht="15.6" x14ac:dyDescent="0.3">
      <c r="D628" s="145">
        <v>45289</v>
      </c>
      <c r="E628" s="187">
        <v>21731.4</v>
      </c>
      <c r="F628" s="146">
        <f t="shared" si="13"/>
        <v>-2.1718468044464867E-3</v>
      </c>
    </row>
    <row r="629" spans="4:6" ht="15.6" x14ac:dyDescent="0.3">
      <c r="D629" s="145">
        <v>45288</v>
      </c>
      <c r="E629" s="187">
        <v>21778.7</v>
      </c>
      <c r="F629" s="146">
        <f t="shared" si="13"/>
        <v>5.7239173853311787E-3</v>
      </c>
    </row>
    <row r="630" spans="4:6" ht="15.6" x14ac:dyDescent="0.3">
      <c r="D630" s="145">
        <v>45287</v>
      </c>
      <c r="E630" s="187">
        <v>21654.75</v>
      </c>
      <c r="F630" s="146">
        <f t="shared" si="13"/>
        <v>9.9527315211029865E-3</v>
      </c>
    </row>
    <row r="631" spans="4:6" ht="15.6" x14ac:dyDescent="0.3">
      <c r="D631" s="145">
        <v>45286</v>
      </c>
      <c r="E631" s="187">
        <v>21441.35</v>
      </c>
      <c r="F631" s="146">
        <f t="shared" si="13"/>
        <v>4.306912606443225E-3</v>
      </c>
    </row>
    <row r="632" spans="4:6" ht="15.6" x14ac:dyDescent="0.3">
      <c r="D632" s="145">
        <v>45282</v>
      </c>
      <c r="E632" s="187">
        <v>21349.4</v>
      </c>
      <c r="F632" s="146">
        <f t="shared" si="13"/>
        <v>4.4389450977533329E-3</v>
      </c>
    </row>
    <row r="633" spans="4:6" ht="15.6" x14ac:dyDescent="0.3">
      <c r="D633" s="145">
        <v>45281</v>
      </c>
      <c r="E633" s="187">
        <v>21255.05</v>
      </c>
      <c r="F633" s="146">
        <f t="shared" si="13"/>
        <v>4.9597756989903097E-3</v>
      </c>
    </row>
    <row r="634" spans="4:6" ht="15.6" x14ac:dyDescent="0.3">
      <c r="D634" s="145">
        <v>45280</v>
      </c>
      <c r="E634" s="187">
        <v>21150.15</v>
      </c>
      <c r="F634" s="146">
        <f t="shared" si="13"/>
        <v>-1.4121502253753415E-2</v>
      </c>
    </row>
    <row r="635" spans="4:6" ht="15.6" x14ac:dyDescent="0.3">
      <c r="D635" s="145">
        <v>45279</v>
      </c>
      <c r="E635" s="187">
        <v>21453.1</v>
      </c>
      <c r="F635" s="146">
        <f t="shared" si="13"/>
        <v>1.6084113611267714E-3</v>
      </c>
    </row>
    <row r="636" spans="4:6" ht="15.6" x14ac:dyDescent="0.3">
      <c r="D636" s="145">
        <v>45278</v>
      </c>
      <c r="E636" s="187">
        <v>21418.65</v>
      </c>
      <c r="F636" s="146">
        <f t="shared" si="13"/>
        <v>-1.7710127163373945E-3</v>
      </c>
    </row>
    <row r="637" spans="4:6" ht="15.6" x14ac:dyDescent="0.3">
      <c r="D637" s="145">
        <v>45275</v>
      </c>
      <c r="E637" s="187">
        <v>21456.65</v>
      </c>
      <c r="F637" s="146">
        <f t="shared" si="13"/>
        <v>1.2932723401643864E-2</v>
      </c>
    </row>
    <row r="638" spans="4:6" ht="15.6" x14ac:dyDescent="0.3">
      <c r="D638" s="145">
        <v>45274</v>
      </c>
      <c r="E638" s="187">
        <v>21182.7</v>
      </c>
      <c r="F638" s="146">
        <f t="shared" si="13"/>
        <v>1.2250105727946048E-2</v>
      </c>
    </row>
    <row r="639" spans="4:6" ht="15.6" x14ac:dyDescent="0.3">
      <c r="D639" s="145">
        <v>45273</v>
      </c>
      <c r="E639" s="187">
        <v>20926.349999999999</v>
      </c>
      <c r="F639" s="146">
        <f t="shared" si="13"/>
        <v>9.5425324302600423E-4</v>
      </c>
    </row>
    <row r="640" spans="4:6" ht="15.6" x14ac:dyDescent="0.3">
      <c r="D640" s="145">
        <v>45272</v>
      </c>
      <c r="E640" s="187">
        <v>20906.400000000001</v>
      </c>
      <c r="F640" s="146">
        <f t="shared" si="13"/>
        <v>-4.3196441413336784E-3</v>
      </c>
    </row>
    <row r="641" spans="4:6" ht="15.6" x14ac:dyDescent="0.3">
      <c r="D641" s="145">
        <v>45271</v>
      </c>
      <c r="E641" s="187">
        <v>20997.1</v>
      </c>
      <c r="F641" s="146">
        <f t="shared" si="13"/>
        <v>1.3209724646388032E-3</v>
      </c>
    </row>
    <row r="642" spans="4:6" ht="15.6" x14ac:dyDescent="0.3">
      <c r="D642" s="145">
        <v>45268</v>
      </c>
      <c r="E642" s="187">
        <v>20969.400000000001</v>
      </c>
      <c r="F642" s="146">
        <f t="shared" si="13"/>
        <v>3.2653705657343934E-3</v>
      </c>
    </row>
    <row r="643" spans="4:6" ht="15.6" x14ac:dyDescent="0.3">
      <c r="D643" s="145">
        <v>45267</v>
      </c>
      <c r="E643" s="187">
        <v>20901.150000000001</v>
      </c>
      <c r="F643" s="146">
        <f t="shared" si="13"/>
        <v>-1.7456549668778409E-3</v>
      </c>
    </row>
    <row r="644" spans="4:6" ht="15.6" x14ac:dyDescent="0.3">
      <c r="D644" s="145">
        <v>45266</v>
      </c>
      <c r="E644" s="187">
        <v>20937.7</v>
      </c>
      <c r="F644" s="146">
        <f t="shared" si="13"/>
        <v>3.9606619004464161E-3</v>
      </c>
    </row>
    <row r="645" spans="4:6" ht="15.6" x14ac:dyDescent="0.3">
      <c r="D645" s="145">
        <v>45265</v>
      </c>
      <c r="E645" s="187">
        <v>20855.099999999999</v>
      </c>
      <c r="F645" s="146">
        <f t="shared" si="13"/>
        <v>8.1356227159348204E-3</v>
      </c>
    </row>
    <row r="646" spans="4:6" ht="15.6" x14ac:dyDescent="0.3">
      <c r="D646" s="145">
        <v>45264</v>
      </c>
      <c r="E646" s="187">
        <v>20686.8</v>
      </c>
      <c r="F646" s="146">
        <f t="shared" si="13"/>
        <v>2.0668150129021567E-2</v>
      </c>
    </row>
    <row r="647" spans="4:6" ht="15.6" x14ac:dyDescent="0.3">
      <c r="D647" s="145">
        <v>45261</v>
      </c>
      <c r="E647" s="187">
        <v>20267.900000000001</v>
      </c>
      <c r="F647" s="146">
        <f t="shared" si="13"/>
        <v>6.6929417403636116E-3</v>
      </c>
    </row>
    <row r="648" spans="4:6" ht="15.6" x14ac:dyDescent="0.3">
      <c r="D648" s="145">
        <v>45260</v>
      </c>
      <c r="E648" s="187">
        <v>20133.150000000001</v>
      </c>
      <c r="F648" s="146">
        <f t="shared" si="13"/>
        <v>1.8187156036346686E-3</v>
      </c>
    </row>
    <row r="649" spans="4:6" ht="15.6" x14ac:dyDescent="0.3">
      <c r="D649" s="145">
        <v>45259</v>
      </c>
      <c r="E649" s="187">
        <v>20096.599999999999</v>
      </c>
      <c r="F649" s="146">
        <f t="shared" si="13"/>
        <v>1.04023690653956E-2</v>
      </c>
    </row>
    <row r="650" spans="4:6" ht="15.6" x14ac:dyDescent="0.3">
      <c r="D650" s="145">
        <v>45258</v>
      </c>
      <c r="E650" s="187">
        <v>19889.7</v>
      </c>
      <c r="F650" s="146">
        <f t="shared" si="13"/>
        <v>4.7992644495749026E-3</v>
      </c>
    </row>
    <row r="651" spans="4:6" ht="15.6" x14ac:dyDescent="0.3">
      <c r="D651" s="145">
        <v>45254</v>
      </c>
      <c r="E651" s="187">
        <v>19794.7</v>
      </c>
      <c r="F651" s="146">
        <f t="shared" si="13"/>
        <v>-3.6864963135030404E-4</v>
      </c>
    </row>
    <row r="652" spans="4:6" ht="15.6" x14ac:dyDescent="0.3">
      <c r="D652" s="145">
        <v>45253</v>
      </c>
      <c r="E652" s="187">
        <v>19802</v>
      </c>
      <c r="F652" s="146">
        <f t="shared" si="13"/>
        <v>-4.971771944567438E-4</v>
      </c>
    </row>
    <row r="653" spans="4:6" ht="15.6" x14ac:dyDescent="0.3">
      <c r="D653" s="145">
        <v>45252</v>
      </c>
      <c r="E653" s="187">
        <v>19811.849999999999</v>
      </c>
      <c r="F653" s="146">
        <f t="shared" si="13"/>
        <v>1.4380743451578581E-3</v>
      </c>
    </row>
    <row r="654" spans="4:6" ht="15.6" x14ac:dyDescent="0.3">
      <c r="D654" s="145">
        <v>45251</v>
      </c>
      <c r="E654" s="187">
        <v>19783.400000000001</v>
      </c>
      <c r="F654" s="146">
        <f t="shared" si="13"/>
        <v>4.5394536407028507E-3</v>
      </c>
    </row>
    <row r="655" spans="4:6" ht="15.6" x14ac:dyDescent="0.3">
      <c r="D655" s="145">
        <v>45250</v>
      </c>
      <c r="E655" s="187">
        <v>19694</v>
      </c>
      <c r="F655" s="146">
        <f t="shared" si="13"/>
        <v>-1.915689394784037E-3</v>
      </c>
    </row>
    <row r="656" spans="4:6" ht="15.6" x14ac:dyDescent="0.3">
      <c r="D656" s="145">
        <v>45247</v>
      </c>
      <c r="E656" s="187">
        <v>19731.8</v>
      </c>
      <c r="F656" s="146">
        <f t="shared" si="13"/>
        <v>-1.6898387064133713E-3</v>
      </c>
    </row>
    <row r="657" spans="4:6" ht="15.6" x14ac:dyDescent="0.3">
      <c r="D657" s="145">
        <v>45246</v>
      </c>
      <c r="E657" s="187">
        <v>19765.2</v>
      </c>
      <c r="F657" s="146">
        <f t="shared" si="13"/>
        <v>4.5615220998758144E-3</v>
      </c>
    </row>
    <row r="658" spans="4:6" ht="15.6" x14ac:dyDescent="0.3">
      <c r="D658" s="145">
        <v>45245</v>
      </c>
      <c r="E658" s="187">
        <v>19675.45</v>
      </c>
      <c r="F658" s="146">
        <f t="shared" si="13"/>
        <v>1.1926834348665816E-2</v>
      </c>
    </row>
    <row r="659" spans="4:6" ht="15.6" x14ac:dyDescent="0.3">
      <c r="D659" s="145">
        <v>45243</v>
      </c>
      <c r="E659" s="187">
        <v>19443.55</v>
      </c>
      <c r="F659" s="146">
        <f t="shared" si="13"/>
        <v>-4.1996256187405434E-3</v>
      </c>
    </row>
    <row r="660" spans="4:6" ht="15.6" x14ac:dyDescent="0.3">
      <c r="D660" s="145">
        <v>45242</v>
      </c>
      <c r="E660" s="187">
        <v>19525.55</v>
      </c>
      <c r="F660" s="146">
        <f t="shared" si="13"/>
        <v>5.1582082176124811E-3</v>
      </c>
    </row>
    <row r="661" spans="4:6" ht="15.6" x14ac:dyDescent="0.3">
      <c r="D661" s="145">
        <v>45240</v>
      </c>
      <c r="E661" s="187">
        <v>19425.349999999999</v>
      </c>
      <c r="F661" s="146">
        <f t="shared" si="13"/>
        <v>1.549344428804833E-3</v>
      </c>
    </row>
    <row r="662" spans="4:6" ht="15.6" x14ac:dyDescent="0.3">
      <c r="D662" s="145">
        <v>45239</v>
      </c>
      <c r="E662" s="187">
        <v>19395.3</v>
      </c>
      <c r="F662" s="146">
        <f t="shared" si="13"/>
        <v>-2.4789775503382128E-3</v>
      </c>
    </row>
    <row r="663" spans="4:6" ht="15.6" x14ac:dyDescent="0.3">
      <c r="D663" s="145">
        <v>45238</v>
      </c>
      <c r="E663" s="187">
        <v>19443.5</v>
      </c>
      <c r="F663" s="146">
        <f t="shared" si="13"/>
        <v>1.8962523252279428E-3</v>
      </c>
    </row>
    <row r="664" spans="4:6" ht="15.6" x14ac:dyDescent="0.3">
      <c r="D664" s="145">
        <v>45237</v>
      </c>
      <c r="E664" s="187">
        <v>19406.7</v>
      </c>
      <c r="F664" s="146">
        <f t="shared" si="13"/>
        <v>-2.6015171223614519E-4</v>
      </c>
    </row>
    <row r="665" spans="4:6" ht="15.6" x14ac:dyDescent="0.3">
      <c r="D665" s="145">
        <v>45236</v>
      </c>
      <c r="E665" s="187">
        <v>19411.75</v>
      </c>
      <c r="F665" s="146">
        <f t="shared" si="13"/>
        <v>9.4198828949696445E-3</v>
      </c>
    </row>
    <row r="666" spans="4:6" ht="15.6" x14ac:dyDescent="0.3">
      <c r="D666" s="145">
        <v>45233</v>
      </c>
      <c r="E666" s="187">
        <v>19230.599999999999</v>
      </c>
      <c r="F666" s="146">
        <f t="shared" si="13"/>
        <v>5.0880012543608188E-3</v>
      </c>
    </row>
    <row r="667" spans="4:6" ht="15.6" x14ac:dyDescent="0.3">
      <c r="D667" s="145">
        <v>45232</v>
      </c>
      <c r="E667" s="187">
        <v>19133.25</v>
      </c>
      <c r="F667" s="146">
        <f t="shared" ref="F667:F730" si="14">E667/E668-1</f>
        <v>7.5885439843277336E-3</v>
      </c>
    </row>
    <row r="668" spans="4:6" ht="15.6" x14ac:dyDescent="0.3">
      <c r="D668" s="145">
        <v>45231</v>
      </c>
      <c r="E668" s="187">
        <v>18989.150000000001</v>
      </c>
      <c r="F668" s="146">
        <f t="shared" si="14"/>
        <v>-4.740665422755086E-3</v>
      </c>
    </row>
    <row r="669" spans="4:6" ht="15.6" x14ac:dyDescent="0.3">
      <c r="D669" s="145">
        <v>45230</v>
      </c>
      <c r="E669" s="187">
        <v>19079.599999999999</v>
      </c>
      <c r="F669" s="146">
        <f t="shared" si="14"/>
        <v>-3.2025662325179116E-3</v>
      </c>
    </row>
    <row r="670" spans="4:6" ht="15.6" x14ac:dyDescent="0.3">
      <c r="D670" s="145">
        <v>45229</v>
      </c>
      <c r="E670" s="187">
        <v>19140.900000000001</v>
      </c>
      <c r="F670" s="146">
        <f t="shared" si="14"/>
        <v>4.9167202614550654E-3</v>
      </c>
    </row>
    <row r="671" spans="4:6" ht="15.6" x14ac:dyDescent="0.3">
      <c r="D671" s="145">
        <v>45226</v>
      </c>
      <c r="E671" s="187">
        <v>19047.25</v>
      </c>
      <c r="F671" s="146">
        <f t="shared" si="14"/>
        <v>1.0075700327460302E-2</v>
      </c>
    </row>
    <row r="672" spans="4:6" ht="15.6" x14ac:dyDescent="0.3">
      <c r="D672" s="145">
        <v>45225</v>
      </c>
      <c r="E672" s="187">
        <v>18857.25</v>
      </c>
      <c r="F672" s="146">
        <f t="shared" si="14"/>
        <v>-1.3853044767455636E-2</v>
      </c>
    </row>
    <row r="673" spans="4:6" ht="15.6" x14ac:dyDescent="0.3">
      <c r="D673" s="145">
        <v>45224</v>
      </c>
      <c r="E673" s="187">
        <v>19122.150000000001</v>
      </c>
      <c r="F673" s="146">
        <f t="shared" si="14"/>
        <v>-8.2772569917148875E-3</v>
      </c>
    </row>
    <row r="674" spans="4:6" ht="15.6" x14ac:dyDescent="0.3">
      <c r="D674" s="145">
        <v>45222</v>
      </c>
      <c r="E674" s="187">
        <v>19281.75</v>
      </c>
      <c r="F674" s="146">
        <f t="shared" si="14"/>
        <v>-1.3350287704072983E-2</v>
      </c>
    </row>
    <row r="675" spans="4:6" ht="15.6" x14ac:dyDescent="0.3">
      <c r="D675" s="145">
        <v>45219</v>
      </c>
      <c r="E675" s="187">
        <v>19542.650000000001</v>
      </c>
      <c r="F675" s="146">
        <f t="shared" si="14"/>
        <v>-4.1809556324428065E-3</v>
      </c>
    </row>
    <row r="676" spans="4:6" ht="15.6" x14ac:dyDescent="0.3">
      <c r="D676" s="145">
        <v>45218</v>
      </c>
      <c r="E676" s="187">
        <v>19624.7</v>
      </c>
      <c r="F676" s="146">
        <f t="shared" si="14"/>
        <v>-2.358790306591807E-3</v>
      </c>
    </row>
    <row r="677" spans="4:6" ht="15.6" x14ac:dyDescent="0.3">
      <c r="D677" s="145">
        <v>45217</v>
      </c>
      <c r="E677" s="187">
        <v>19671.099999999999</v>
      </c>
      <c r="F677" s="146">
        <f t="shared" si="14"/>
        <v>-7.0867930242536348E-3</v>
      </c>
    </row>
    <row r="678" spans="4:6" ht="15.6" x14ac:dyDescent="0.3">
      <c r="D678" s="145">
        <v>45216</v>
      </c>
      <c r="E678" s="187">
        <v>19811.5</v>
      </c>
      <c r="F678" s="146">
        <f t="shared" si="14"/>
        <v>4.0417094276989918E-3</v>
      </c>
    </row>
    <row r="679" spans="4:6" ht="15.6" x14ac:dyDescent="0.3">
      <c r="D679" s="145">
        <v>45215</v>
      </c>
      <c r="E679" s="187">
        <v>19731.75</v>
      </c>
      <c r="F679" s="146">
        <f t="shared" si="14"/>
        <v>-9.7716323942265149E-4</v>
      </c>
    </row>
    <row r="680" spans="4:6" ht="15.6" x14ac:dyDescent="0.3">
      <c r="D680" s="145">
        <v>45212</v>
      </c>
      <c r="E680" s="187">
        <v>19751.05</v>
      </c>
      <c r="F680" s="146">
        <f t="shared" si="14"/>
        <v>-2.1698494493280762E-3</v>
      </c>
    </row>
    <row r="681" spans="4:6" ht="15.6" x14ac:dyDescent="0.3">
      <c r="D681" s="145">
        <v>45211</v>
      </c>
      <c r="E681" s="187">
        <v>19794</v>
      </c>
      <c r="F681" s="146">
        <f t="shared" si="14"/>
        <v>-8.7576061197236488E-4</v>
      </c>
    </row>
    <row r="682" spans="4:6" ht="15.6" x14ac:dyDescent="0.3">
      <c r="D682" s="145">
        <v>45210</v>
      </c>
      <c r="E682" s="187">
        <v>19811.349999999999</v>
      </c>
      <c r="F682" s="146">
        <f t="shared" si="14"/>
        <v>6.1706920062876147E-3</v>
      </c>
    </row>
    <row r="683" spans="4:6" ht="15.6" x14ac:dyDescent="0.3">
      <c r="D683" s="145">
        <v>45209</v>
      </c>
      <c r="E683" s="187">
        <v>19689.849999999999</v>
      </c>
      <c r="F683" s="146">
        <f t="shared" si="14"/>
        <v>9.096802794127834E-3</v>
      </c>
    </row>
    <row r="684" spans="4:6" ht="15.6" x14ac:dyDescent="0.3">
      <c r="D684" s="145">
        <v>45208</v>
      </c>
      <c r="E684" s="187">
        <v>19512.349999999999</v>
      </c>
      <c r="F684" s="146">
        <f t="shared" si="14"/>
        <v>-7.1819268832524763E-3</v>
      </c>
    </row>
    <row r="685" spans="4:6" ht="15.6" x14ac:dyDescent="0.3">
      <c r="D685" s="145">
        <v>45205</v>
      </c>
      <c r="E685" s="187">
        <v>19653.5</v>
      </c>
      <c r="F685" s="146">
        <f t="shared" si="14"/>
        <v>5.5127073660514725E-3</v>
      </c>
    </row>
    <row r="686" spans="4:6" ht="15.6" x14ac:dyDescent="0.3">
      <c r="D686" s="145">
        <v>45204</v>
      </c>
      <c r="E686" s="187">
        <v>19545.75</v>
      </c>
      <c r="F686" s="146">
        <f t="shared" si="14"/>
        <v>5.6415638939910639E-3</v>
      </c>
    </row>
    <row r="687" spans="4:6" ht="15.6" x14ac:dyDescent="0.3">
      <c r="D687" s="145">
        <v>45203</v>
      </c>
      <c r="E687" s="187">
        <v>19436.099999999999</v>
      </c>
      <c r="F687" s="146">
        <f t="shared" si="14"/>
        <v>-4.7442872687705195E-3</v>
      </c>
    </row>
    <row r="688" spans="4:6" ht="15.6" x14ac:dyDescent="0.3">
      <c r="D688" s="145">
        <v>45202</v>
      </c>
      <c r="E688" s="187">
        <v>19528.75</v>
      </c>
      <c r="F688" s="146">
        <f t="shared" si="14"/>
        <v>-5.5783850944327584E-3</v>
      </c>
    </row>
    <row r="689" spans="4:6" ht="15.6" x14ac:dyDescent="0.3">
      <c r="D689" s="145">
        <v>45198</v>
      </c>
      <c r="E689" s="187">
        <v>19638.3</v>
      </c>
      <c r="F689" s="146">
        <f t="shared" si="14"/>
        <v>5.8775171523621772E-3</v>
      </c>
    </row>
    <row r="690" spans="4:6" ht="15.6" x14ac:dyDescent="0.3">
      <c r="D690" s="145">
        <v>45197</v>
      </c>
      <c r="E690" s="187">
        <v>19523.55</v>
      </c>
      <c r="F690" s="146">
        <f t="shared" si="14"/>
        <v>-9.7837085276508695E-3</v>
      </c>
    </row>
    <row r="691" spans="4:6" ht="15.6" x14ac:dyDescent="0.3">
      <c r="D691" s="145">
        <v>45196</v>
      </c>
      <c r="E691" s="187">
        <v>19716.45</v>
      </c>
      <c r="F691" s="146">
        <f t="shared" si="14"/>
        <v>2.6316190941126916E-3</v>
      </c>
    </row>
    <row r="692" spans="4:6" ht="15.6" x14ac:dyDescent="0.3">
      <c r="D692" s="145">
        <v>45195</v>
      </c>
      <c r="E692" s="187">
        <v>19664.7</v>
      </c>
      <c r="F692" s="146">
        <f t="shared" si="14"/>
        <v>-5.0064677464023433E-4</v>
      </c>
    </row>
    <row r="693" spans="4:6" ht="15.6" x14ac:dyDescent="0.3">
      <c r="D693" s="145">
        <v>45194</v>
      </c>
      <c r="E693" s="187">
        <v>19674.55</v>
      </c>
      <c r="F693" s="146">
        <f t="shared" si="14"/>
        <v>1.5248357624786379E-5</v>
      </c>
    </row>
    <row r="694" spans="4:6" ht="15.6" x14ac:dyDescent="0.3">
      <c r="D694" s="145">
        <v>45191</v>
      </c>
      <c r="E694" s="187">
        <v>19674.25</v>
      </c>
      <c r="F694" s="146">
        <f t="shared" si="14"/>
        <v>-3.4494373770092013E-3</v>
      </c>
    </row>
    <row r="695" spans="4:6" ht="15.6" x14ac:dyDescent="0.3">
      <c r="D695" s="145">
        <v>45190</v>
      </c>
      <c r="E695" s="187">
        <v>19742.349999999999</v>
      </c>
      <c r="F695" s="146">
        <f t="shared" si="14"/>
        <v>-7.9919000673320806E-3</v>
      </c>
    </row>
    <row r="696" spans="4:6" ht="15.6" x14ac:dyDescent="0.3">
      <c r="D696" s="145">
        <v>45189</v>
      </c>
      <c r="E696" s="187">
        <v>19901.400000000001</v>
      </c>
      <c r="F696" s="146">
        <f t="shared" si="14"/>
        <v>-1.1518230990448575E-2</v>
      </c>
    </row>
    <row r="697" spans="4:6" ht="15.6" x14ac:dyDescent="0.3">
      <c r="D697" s="145">
        <v>45187</v>
      </c>
      <c r="E697" s="187">
        <v>20133.3</v>
      </c>
      <c r="F697" s="146">
        <f t="shared" si="14"/>
        <v>-2.9243748251194246E-3</v>
      </c>
    </row>
    <row r="698" spans="4:6" ht="15.6" x14ac:dyDescent="0.3">
      <c r="D698" s="145">
        <v>45184</v>
      </c>
      <c r="E698" s="187">
        <v>20192.349999999999</v>
      </c>
      <c r="F698" s="146">
        <f t="shared" si="14"/>
        <v>4.4396137909079592E-3</v>
      </c>
    </row>
    <row r="699" spans="4:6" ht="15.6" x14ac:dyDescent="0.3">
      <c r="D699" s="145">
        <v>45183</v>
      </c>
      <c r="E699" s="187">
        <v>20103.099999999999</v>
      </c>
      <c r="F699" s="146">
        <f t="shared" si="14"/>
        <v>1.6492277030393243E-3</v>
      </c>
    </row>
    <row r="700" spans="4:6" ht="15.6" x14ac:dyDescent="0.3">
      <c r="D700" s="145">
        <v>45182</v>
      </c>
      <c r="E700" s="187">
        <v>20070</v>
      </c>
      <c r="F700" s="146">
        <f t="shared" si="14"/>
        <v>3.8413060440549707E-3</v>
      </c>
    </row>
    <row r="701" spans="4:6" ht="15.6" x14ac:dyDescent="0.3">
      <c r="D701" s="145">
        <v>45181</v>
      </c>
      <c r="E701" s="187">
        <v>19993.2</v>
      </c>
      <c r="F701" s="146">
        <f t="shared" si="14"/>
        <v>-1.5752874899654934E-4</v>
      </c>
    </row>
    <row r="702" spans="4:6" ht="15.6" x14ac:dyDescent="0.3">
      <c r="D702" s="145">
        <v>45180</v>
      </c>
      <c r="E702" s="187">
        <v>19996.349999999999</v>
      </c>
      <c r="F702" s="146">
        <f t="shared" si="14"/>
        <v>8.9001233605532359E-3</v>
      </c>
    </row>
    <row r="703" spans="4:6" ht="15.6" x14ac:dyDescent="0.3">
      <c r="D703" s="145">
        <v>45177</v>
      </c>
      <c r="E703" s="187">
        <v>19819.95</v>
      </c>
      <c r="F703" s="146">
        <f t="shared" si="14"/>
        <v>4.7092697590365162E-3</v>
      </c>
    </row>
    <row r="704" spans="4:6" ht="15.6" x14ac:dyDescent="0.3">
      <c r="D704" s="145">
        <v>45176</v>
      </c>
      <c r="E704" s="187">
        <v>19727.05</v>
      </c>
      <c r="F704" s="146">
        <f t="shared" si="14"/>
        <v>5.91503259641879E-3</v>
      </c>
    </row>
    <row r="705" spans="4:6" ht="15.6" x14ac:dyDescent="0.3">
      <c r="D705" s="145">
        <v>45175</v>
      </c>
      <c r="E705" s="187">
        <v>19611.05</v>
      </c>
      <c r="F705" s="146">
        <f t="shared" si="14"/>
        <v>1.8467527292602703E-3</v>
      </c>
    </row>
    <row r="706" spans="4:6" ht="15.6" x14ac:dyDescent="0.3">
      <c r="D706" s="145">
        <v>45174</v>
      </c>
      <c r="E706" s="187">
        <v>19574.900000000001</v>
      </c>
      <c r="F706" s="146">
        <f t="shared" si="14"/>
        <v>2.3606161156857208E-3</v>
      </c>
    </row>
    <row r="707" spans="4:6" ht="15.6" x14ac:dyDescent="0.3">
      <c r="D707" s="145">
        <v>45173</v>
      </c>
      <c r="E707" s="187">
        <v>19528.8</v>
      </c>
      <c r="F707" s="146">
        <f t="shared" si="14"/>
        <v>4.8108338950261231E-3</v>
      </c>
    </row>
    <row r="708" spans="4:6" ht="15.6" x14ac:dyDescent="0.3">
      <c r="D708" s="145">
        <v>45170</v>
      </c>
      <c r="E708" s="187">
        <v>19435.3</v>
      </c>
      <c r="F708" s="146">
        <f t="shared" si="14"/>
        <v>9.4267105714196386E-3</v>
      </c>
    </row>
    <row r="709" spans="4:6" ht="15.6" x14ac:dyDescent="0.3">
      <c r="D709" s="145">
        <v>45169</v>
      </c>
      <c r="E709" s="187">
        <v>19253.8</v>
      </c>
      <c r="F709" s="146">
        <f t="shared" si="14"/>
        <v>-4.840431167931758E-3</v>
      </c>
    </row>
    <row r="710" spans="4:6" ht="15.6" x14ac:dyDescent="0.3">
      <c r="D710" s="145">
        <v>45168</v>
      </c>
      <c r="E710" s="187">
        <v>19347.45</v>
      </c>
      <c r="F710" s="146">
        <f t="shared" si="14"/>
        <v>2.4815627641494586E-4</v>
      </c>
    </row>
    <row r="711" spans="4:6" ht="15.6" x14ac:dyDescent="0.3">
      <c r="D711" s="145">
        <v>45167</v>
      </c>
      <c r="E711" s="187">
        <v>19342.650000000001</v>
      </c>
      <c r="F711" s="146">
        <f t="shared" si="14"/>
        <v>1.8957787843707496E-3</v>
      </c>
    </row>
    <row r="712" spans="4:6" ht="15.6" x14ac:dyDescent="0.3">
      <c r="D712" s="145">
        <v>45166</v>
      </c>
      <c r="E712" s="187">
        <v>19306.05</v>
      </c>
      <c r="F712" s="146">
        <f t="shared" si="14"/>
        <v>2.0891943236200916E-3</v>
      </c>
    </row>
    <row r="713" spans="4:6" ht="15.6" x14ac:dyDescent="0.3">
      <c r="D713" s="145">
        <v>45163</v>
      </c>
      <c r="E713" s="187">
        <v>19265.8</v>
      </c>
      <c r="F713" s="146">
        <f t="shared" si="14"/>
        <v>-6.2362341192674364E-3</v>
      </c>
    </row>
    <row r="714" spans="4:6" ht="15.6" x14ac:dyDescent="0.3">
      <c r="D714" s="145">
        <v>45162</v>
      </c>
      <c r="E714" s="187">
        <v>19386.7</v>
      </c>
      <c r="F714" s="146">
        <f t="shared" si="14"/>
        <v>-2.9469245011314316E-3</v>
      </c>
    </row>
    <row r="715" spans="4:6" ht="15.6" x14ac:dyDescent="0.3">
      <c r="D715" s="145">
        <v>45161</v>
      </c>
      <c r="E715" s="187">
        <v>19444</v>
      </c>
      <c r="F715" s="146">
        <f t="shared" si="14"/>
        <v>2.4514795233148146E-3</v>
      </c>
    </row>
    <row r="716" spans="4:6" ht="15.6" x14ac:dyDescent="0.3">
      <c r="D716" s="145">
        <v>45160</v>
      </c>
      <c r="E716" s="187">
        <v>19396.45</v>
      </c>
      <c r="F716" s="146">
        <f t="shared" si="14"/>
        <v>1.4695569672484865E-4</v>
      </c>
    </row>
    <row r="717" spans="4:6" ht="15.6" x14ac:dyDescent="0.3">
      <c r="D717" s="145">
        <v>45159</v>
      </c>
      <c r="E717" s="187">
        <v>19393.599999999999</v>
      </c>
      <c r="F717" s="146">
        <f t="shared" si="14"/>
        <v>4.3215614586109563E-3</v>
      </c>
    </row>
    <row r="718" spans="4:6" ht="15.6" x14ac:dyDescent="0.3">
      <c r="D718" s="145">
        <v>45156</v>
      </c>
      <c r="E718" s="187">
        <v>19310.150000000001</v>
      </c>
      <c r="F718" s="146">
        <f t="shared" si="14"/>
        <v>-2.8453027975366973E-3</v>
      </c>
    </row>
    <row r="719" spans="4:6" ht="15.6" x14ac:dyDescent="0.3">
      <c r="D719" s="145">
        <v>45155</v>
      </c>
      <c r="E719" s="187">
        <v>19365.25</v>
      </c>
      <c r="F719" s="146">
        <f t="shared" si="14"/>
        <v>-5.1245825841254034E-3</v>
      </c>
    </row>
    <row r="720" spans="4:6" ht="15.6" x14ac:dyDescent="0.3">
      <c r="D720" s="145">
        <v>45154</v>
      </c>
      <c r="E720" s="187">
        <v>19465</v>
      </c>
      <c r="F720" s="146">
        <f t="shared" si="14"/>
        <v>1.5667972759854099E-3</v>
      </c>
    </row>
    <row r="721" spans="4:6" ht="15.6" x14ac:dyDescent="0.3">
      <c r="D721" s="145">
        <v>45152</v>
      </c>
      <c r="E721" s="187">
        <v>19434.55</v>
      </c>
      <c r="F721" s="146">
        <f t="shared" si="14"/>
        <v>3.2169567074835648E-4</v>
      </c>
    </row>
    <row r="722" spans="4:6" ht="15.6" x14ac:dyDescent="0.3">
      <c r="D722" s="145">
        <v>45149</v>
      </c>
      <c r="E722" s="187">
        <v>19428.3</v>
      </c>
      <c r="F722" s="146">
        <f t="shared" si="14"/>
        <v>-5.8741960077981492E-3</v>
      </c>
    </row>
    <row r="723" spans="4:6" ht="15.6" x14ac:dyDescent="0.3">
      <c r="D723" s="145">
        <v>45148</v>
      </c>
      <c r="E723" s="187">
        <v>19543.099999999999</v>
      </c>
      <c r="F723" s="146">
        <f t="shared" si="14"/>
        <v>-4.5562089489139534E-3</v>
      </c>
    </row>
    <row r="724" spans="4:6" ht="15.6" x14ac:dyDescent="0.3">
      <c r="D724" s="145">
        <v>45147</v>
      </c>
      <c r="E724" s="187">
        <v>19632.55</v>
      </c>
      <c r="F724" s="146">
        <f t="shared" si="14"/>
        <v>3.152647943242215E-3</v>
      </c>
    </row>
    <row r="725" spans="4:6" ht="15.6" x14ac:dyDescent="0.3">
      <c r="D725" s="145">
        <v>45146</v>
      </c>
      <c r="E725" s="187">
        <v>19570.849999999999</v>
      </c>
      <c r="F725" s="146">
        <f t="shared" si="14"/>
        <v>-1.3496757206350463E-3</v>
      </c>
    </row>
    <row r="726" spans="4:6" ht="15.6" x14ac:dyDescent="0.3">
      <c r="D726" s="145">
        <v>45145</v>
      </c>
      <c r="E726" s="187">
        <v>19597.3</v>
      </c>
      <c r="F726" s="146">
        <f t="shared" si="14"/>
        <v>4.1143618383971958E-3</v>
      </c>
    </row>
    <row r="727" spans="4:6" ht="15.6" x14ac:dyDescent="0.3">
      <c r="D727" s="145">
        <v>45142</v>
      </c>
      <c r="E727" s="187">
        <v>19517</v>
      </c>
      <c r="F727" s="146">
        <f t="shared" si="14"/>
        <v>6.983409565233023E-3</v>
      </c>
    </row>
    <row r="728" spans="4:6" ht="15.6" x14ac:dyDescent="0.3">
      <c r="D728" s="145">
        <v>45141</v>
      </c>
      <c r="E728" s="187">
        <v>19381.650000000001</v>
      </c>
      <c r="F728" s="146">
        <f t="shared" si="14"/>
        <v>-7.4206657089961325E-3</v>
      </c>
    </row>
    <row r="729" spans="4:6" ht="15.6" x14ac:dyDescent="0.3">
      <c r="D729" s="145">
        <v>45140</v>
      </c>
      <c r="E729" s="187">
        <v>19526.55</v>
      </c>
      <c r="F729" s="146">
        <f t="shared" si="14"/>
        <v>-1.0489749690248296E-2</v>
      </c>
    </row>
    <row r="730" spans="4:6" ht="15.6" x14ac:dyDescent="0.3">
      <c r="D730" s="145">
        <v>45139</v>
      </c>
      <c r="E730" s="187">
        <v>19733.55</v>
      </c>
      <c r="F730" s="146">
        <f t="shared" si="14"/>
        <v>-1.0251192175683155E-3</v>
      </c>
    </row>
    <row r="731" spans="4:6" ht="15.6" x14ac:dyDescent="0.3">
      <c r="D731" s="145">
        <v>45138</v>
      </c>
      <c r="E731" s="187">
        <v>19753.8</v>
      </c>
      <c r="F731" s="146">
        <f t="shared" ref="F731:F794" si="15">E731/E732-1</f>
        <v>5.4845630546598301E-3</v>
      </c>
    </row>
    <row r="732" spans="4:6" ht="15.6" x14ac:dyDescent="0.3">
      <c r="D732" s="145">
        <v>45135</v>
      </c>
      <c r="E732" s="187">
        <v>19646.05</v>
      </c>
      <c r="F732" s="146">
        <f t="shared" si="15"/>
        <v>-7.044796769059003E-4</v>
      </c>
    </row>
    <row r="733" spans="4:6" ht="15.6" x14ac:dyDescent="0.3">
      <c r="D733" s="145">
        <v>45134</v>
      </c>
      <c r="E733" s="187">
        <v>19659.900000000001</v>
      </c>
      <c r="F733" s="146">
        <f t="shared" si="15"/>
        <v>-5.9863587871554769E-3</v>
      </c>
    </row>
    <row r="734" spans="4:6" ht="15.6" x14ac:dyDescent="0.3">
      <c r="D734" s="145">
        <v>45133</v>
      </c>
      <c r="E734" s="187">
        <v>19778.3</v>
      </c>
      <c r="F734" s="146">
        <f t="shared" si="15"/>
        <v>4.9642795443227694E-3</v>
      </c>
    </row>
    <row r="735" spans="4:6" ht="15.6" x14ac:dyDescent="0.3">
      <c r="D735" s="145">
        <v>45132</v>
      </c>
      <c r="E735" s="187">
        <v>19680.599999999999</v>
      </c>
      <c r="F735" s="146">
        <f t="shared" si="15"/>
        <v>4.1937033450500927E-4</v>
      </c>
    </row>
    <row r="736" spans="4:6" ht="15.6" x14ac:dyDescent="0.3">
      <c r="D736" s="145">
        <v>45131</v>
      </c>
      <c r="E736" s="187">
        <v>19672.349999999999</v>
      </c>
      <c r="F736" s="146">
        <f t="shared" si="15"/>
        <v>-3.679412509496105E-3</v>
      </c>
    </row>
    <row r="737" spans="4:6" ht="15.6" x14ac:dyDescent="0.3">
      <c r="D737" s="145">
        <v>45128</v>
      </c>
      <c r="E737" s="187">
        <v>19745</v>
      </c>
      <c r="F737" s="146">
        <f t="shared" si="15"/>
        <v>-1.1719717805812602E-2</v>
      </c>
    </row>
    <row r="738" spans="4:6" ht="15.6" x14ac:dyDescent="0.3">
      <c r="D738" s="145">
        <v>45127</v>
      </c>
      <c r="E738" s="187">
        <v>19979.150000000001</v>
      </c>
      <c r="F738" s="146">
        <f t="shared" si="15"/>
        <v>7.3614125844860823E-3</v>
      </c>
    </row>
    <row r="739" spans="4:6" ht="15.6" x14ac:dyDescent="0.3">
      <c r="D739" s="145">
        <v>45126</v>
      </c>
      <c r="E739" s="187">
        <v>19833.150000000001</v>
      </c>
      <c r="F739" s="146">
        <f t="shared" si="15"/>
        <v>4.248262592250418E-3</v>
      </c>
    </row>
    <row r="740" spans="4:6" ht="15.6" x14ac:dyDescent="0.3">
      <c r="D740" s="145">
        <v>45125</v>
      </c>
      <c r="E740" s="187">
        <v>19749.25</v>
      </c>
      <c r="F740" s="146">
        <f t="shared" si="15"/>
        <v>1.9176671427012515E-3</v>
      </c>
    </row>
    <row r="741" spans="4:6" ht="15.6" x14ac:dyDescent="0.3">
      <c r="D741" s="145">
        <v>45124</v>
      </c>
      <c r="E741" s="187">
        <v>19711.45</v>
      </c>
      <c r="F741" s="146">
        <f t="shared" si="15"/>
        <v>7.5110531830611116E-3</v>
      </c>
    </row>
    <row r="742" spans="4:6" ht="15.6" x14ac:dyDescent="0.3">
      <c r="D742" s="145">
        <v>45121</v>
      </c>
      <c r="E742" s="187">
        <v>19564.5</v>
      </c>
      <c r="F742" s="146">
        <f t="shared" si="15"/>
        <v>7.7651149314275081E-3</v>
      </c>
    </row>
    <row r="743" spans="4:6" ht="15.6" x14ac:dyDescent="0.3">
      <c r="D743" s="145">
        <v>45120</v>
      </c>
      <c r="E743" s="187">
        <v>19413.75</v>
      </c>
      <c r="F743" s="146">
        <f t="shared" si="15"/>
        <v>1.5192707500399916E-3</v>
      </c>
    </row>
    <row r="744" spans="4:6" ht="15.6" x14ac:dyDescent="0.3">
      <c r="D744" s="145">
        <v>45119</v>
      </c>
      <c r="E744" s="187">
        <v>19384.3</v>
      </c>
      <c r="F744" s="146">
        <f t="shared" si="15"/>
        <v>-2.8344496229308902E-3</v>
      </c>
    </row>
    <row r="745" spans="4:6" ht="15.6" x14ac:dyDescent="0.3">
      <c r="D745" s="145">
        <v>45118</v>
      </c>
      <c r="E745" s="187">
        <v>19439.400000000001</v>
      </c>
      <c r="F745" s="146">
        <f t="shared" si="15"/>
        <v>4.3139301194985435E-3</v>
      </c>
    </row>
    <row r="746" spans="4:6" ht="15.6" x14ac:dyDescent="0.3">
      <c r="D746" s="145">
        <v>45117</v>
      </c>
      <c r="E746" s="187">
        <v>19355.900000000001</v>
      </c>
      <c r="F746" s="146">
        <f t="shared" si="15"/>
        <v>1.2466505964268126E-3</v>
      </c>
    </row>
    <row r="747" spans="4:6" ht="15.6" x14ac:dyDescent="0.3">
      <c r="D747" s="145">
        <v>45114</v>
      </c>
      <c r="E747" s="187">
        <v>19331.8</v>
      </c>
      <c r="F747" s="146">
        <f t="shared" si="15"/>
        <v>-8.4883547978438223E-3</v>
      </c>
    </row>
    <row r="748" spans="4:6" ht="15.6" x14ac:dyDescent="0.3">
      <c r="D748" s="145">
        <v>45113</v>
      </c>
      <c r="E748" s="187">
        <v>19497.3</v>
      </c>
      <c r="F748" s="146">
        <f t="shared" si="15"/>
        <v>5.0931773075237885E-3</v>
      </c>
    </row>
    <row r="749" spans="4:6" ht="15.6" x14ac:dyDescent="0.3">
      <c r="D749" s="145">
        <v>45112</v>
      </c>
      <c r="E749" s="187">
        <v>19398.5</v>
      </c>
      <c r="F749" s="146">
        <f t="shared" si="15"/>
        <v>4.8996853886218439E-4</v>
      </c>
    </row>
    <row r="750" spans="4:6" ht="15.6" x14ac:dyDescent="0.3">
      <c r="D750" s="145">
        <v>45111</v>
      </c>
      <c r="E750" s="187">
        <v>19389</v>
      </c>
      <c r="F750" s="146">
        <f t="shared" si="15"/>
        <v>3.4389870902133968E-3</v>
      </c>
    </row>
    <row r="751" spans="4:6" ht="15.6" x14ac:dyDescent="0.3">
      <c r="D751" s="145">
        <v>45110</v>
      </c>
      <c r="E751" s="187">
        <v>19322.55</v>
      </c>
      <c r="F751" s="146">
        <f t="shared" si="15"/>
        <v>6.9570927169402275E-3</v>
      </c>
    </row>
    <row r="752" spans="4:6" ht="15.6" x14ac:dyDescent="0.3">
      <c r="D752" s="145">
        <v>45107</v>
      </c>
      <c r="E752" s="187">
        <v>19189.05</v>
      </c>
      <c r="F752" s="146">
        <f t="shared" si="15"/>
        <v>1.1435212759789426E-2</v>
      </c>
    </row>
    <row r="753" spans="4:6" ht="15.6" x14ac:dyDescent="0.3">
      <c r="D753" s="145">
        <v>45105</v>
      </c>
      <c r="E753" s="187">
        <v>18972.099999999999</v>
      </c>
      <c r="F753" s="146">
        <f t="shared" si="15"/>
        <v>8.2211145004089659E-3</v>
      </c>
    </row>
    <row r="754" spans="4:6" ht="15.6" x14ac:dyDescent="0.3">
      <c r="D754" s="145">
        <v>45104</v>
      </c>
      <c r="E754" s="187">
        <v>18817.400000000001</v>
      </c>
      <c r="F754" s="146">
        <f t="shared" si="15"/>
        <v>6.7518404382811426E-3</v>
      </c>
    </row>
    <row r="755" spans="4:6" ht="15.6" x14ac:dyDescent="0.3">
      <c r="D755" s="145">
        <v>45103</v>
      </c>
      <c r="E755" s="187">
        <v>18691.2</v>
      </c>
      <c r="F755" s="146">
        <f t="shared" si="15"/>
        <v>1.3768717687712151E-3</v>
      </c>
    </row>
    <row r="756" spans="4:6" ht="15.6" x14ac:dyDescent="0.3">
      <c r="D756" s="145">
        <v>45100</v>
      </c>
      <c r="E756" s="187">
        <v>18665.5</v>
      </c>
      <c r="F756" s="146">
        <f t="shared" si="15"/>
        <v>-5.6336152360657588E-3</v>
      </c>
    </row>
    <row r="757" spans="4:6" ht="15.6" x14ac:dyDescent="0.3">
      <c r="D757" s="145">
        <v>45099</v>
      </c>
      <c r="E757" s="187">
        <v>18771.25</v>
      </c>
      <c r="F757" s="146">
        <f t="shared" si="15"/>
        <v>-4.5394644386521632E-3</v>
      </c>
    </row>
    <row r="758" spans="4:6" ht="15.6" x14ac:dyDescent="0.3">
      <c r="D758" s="145">
        <v>45098</v>
      </c>
      <c r="E758" s="187">
        <v>18856.849999999999</v>
      </c>
      <c r="F758" s="146">
        <f t="shared" si="15"/>
        <v>2.1337428985952478E-3</v>
      </c>
    </row>
    <row r="759" spans="4:6" ht="15.6" x14ac:dyDescent="0.3">
      <c r="D759" s="145">
        <v>45097</v>
      </c>
      <c r="E759" s="187">
        <v>18816.7</v>
      </c>
      <c r="F759" s="146">
        <f t="shared" si="15"/>
        <v>3.2657174314665305E-3</v>
      </c>
    </row>
    <row r="760" spans="4:6" ht="15.6" x14ac:dyDescent="0.3">
      <c r="D760" s="145">
        <v>45096</v>
      </c>
      <c r="E760" s="187">
        <v>18755.45</v>
      </c>
      <c r="F760" s="146">
        <f t="shared" si="15"/>
        <v>-3.7474768936576197E-3</v>
      </c>
    </row>
    <row r="761" spans="4:6" ht="15.6" x14ac:dyDescent="0.3">
      <c r="D761" s="145">
        <v>45093</v>
      </c>
      <c r="E761" s="187">
        <v>18826</v>
      </c>
      <c r="F761" s="146">
        <f t="shared" si="15"/>
        <v>7.3790272954448177E-3</v>
      </c>
    </row>
    <row r="762" spans="4:6" ht="15.6" x14ac:dyDescent="0.3">
      <c r="D762" s="145">
        <v>45092</v>
      </c>
      <c r="E762" s="187">
        <v>18688.099999999999</v>
      </c>
      <c r="F762" s="146">
        <f t="shared" si="15"/>
        <v>-3.6148625232594878E-3</v>
      </c>
    </row>
    <row r="763" spans="4:6" ht="15.6" x14ac:dyDescent="0.3">
      <c r="D763" s="145">
        <v>45091</v>
      </c>
      <c r="E763" s="187">
        <v>18755.900000000001</v>
      </c>
      <c r="F763" s="146">
        <f t="shared" si="15"/>
        <v>2.123834228727528E-3</v>
      </c>
    </row>
    <row r="764" spans="4:6" ht="15.6" x14ac:dyDescent="0.3">
      <c r="D764" s="145">
        <v>45090</v>
      </c>
      <c r="E764" s="187">
        <v>18716.150000000001</v>
      </c>
      <c r="F764" s="146">
        <f t="shared" si="15"/>
        <v>6.1634814396689386E-3</v>
      </c>
    </row>
    <row r="765" spans="4:6" ht="15.6" x14ac:dyDescent="0.3">
      <c r="D765" s="145">
        <v>45089</v>
      </c>
      <c r="E765" s="187">
        <v>18601.5</v>
      </c>
      <c r="F765" s="146">
        <f t="shared" si="15"/>
        <v>2.0524257409741953E-3</v>
      </c>
    </row>
    <row r="766" spans="4:6" ht="15.6" x14ac:dyDescent="0.3">
      <c r="D766" s="145">
        <v>45086</v>
      </c>
      <c r="E766" s="187">
        <v>18563.400000000001</v>
      </c>
      <c r="F766" s="146">
        <f t="shared" si="15"/>
        <v>-3.8181764518058214E-3</v>
      </c>
    </row>
    <row r="767" spans="4:6" ht="15.6" x14ac:dyDescent="0.3">
      <c r="D767" s="145">
        <v>45085</v>
      </c>
      <c r="E767" s="187">
        <v>18634.55</v>
      </c>
      <c r="F767" s="146">
        <f t="shared" si="15"/>
        <v>-4.9048402255640333E-3</v>
      </c>
    </row>
    <row r="768" spans="4:6" ht="15.6" x14ac:dyDescent="0.3">
      <c r="D768" s="145">
        <v>45084</v>
      </c>
      <c r="E768" s="187">
        <v>18726.400000000001</v>
      </c>
      <c r="F768" s="146">
        <f t="shared" si="15"/>
        <v>6.8498306360558203E-3</v>
      </c>
    </row>
    <row r="769" spans="4:6" ht="15.6" x14ac:dyDescent="0.3">
      <c r="D769" s="145">
        <v>45083</v>
      </c>
      <c r="E769" s="187">
        <v>18599</v>
      </c>
      <c r="F769" s="146">
        <f t="shared" si="15"/>
        <v>2.7697330031184464E-4</v>
      </c>
    </row>
    <row r="770" spans="4:6" ht="15.6" x14ac:dyDescent="0.3">
      <c r="D770" s="145">
        <v>45082</v>
      </c>
      <c r="E770" s="187">
        <v>18593.849999999999</v>
      </c>
      <c r="F770" s="146">
        <f t="shared" si="15"/>
        <v>3.223787505193032E-3</v>
      </c>
    </row>
    <row r="771" spans="4:6" ht="15.6" x14ac:dyDescent="0.3">
      <c r="D771" s="145">
        <v>45079</v>
      </c>
      <c r="E771" s="187">
        <v>18534.099999999999</v>
      </c>
      <c r="F771" s="146">
        <f t="shared" si="15"/>
        <v>2.507065489310456E-3</v>
      </c>
    </row>
    <row r="772" spans="4:6" ht="15.6" x14ac:dyDescent="0.3">
      <c r="D772" s="145">
        <v>45078</v>
      </c>
      <c r="E772" s="187">
        <v>18487.75</v>
      </c>
      <c r="F772" s="146">
        <f t="shared" si="15"/>
        <v>-2.5169414709945714E-3</v>
      </c>
    </row>
    <row r="773" spans="4:6" ht="15.6" x14ac:dyDescent="0.3">
      <c r="D773" s="145">
        <v>45077</v>
      </c>
      <c r="E773" s="187">
        <v>18534.400000000001</v>
      </c>
      <c r="F773" s="146">
        <f t="shared" si="15"/>
        <v>-5.3370613158310043E-3</v>
      </c>
    </row>
    <row r="774" spans="4:6" ht="15.6" x14ac:dyDescent="0.3">
      <c r="D774" s="145">
        <v>45076</v>
      </c>
      <c r="E774" s="187">
        <v>18633.849999999999</v>
      </c>
      <c r="F774" s="146">
        <f t="shared" si="15"/>
        <v>1.8926104851695325E-3</v>
      </c>
    </row>
    <row r="775" spans="4:6" ht="15.6" x14ac:dyDescent="0.3">
      <c r="D775" s="145">
        <v>45075</v>
      </c>
      <c r="E775" s="187">
        <v>18598.650000000001</v>
      </c>
      <c r="F775" s="146">
        <f t="shared" si="15"/>
        <v>5.3677561644058791E-3</v>
      </c>
    </row>
    <row r="776" spans="4:6" ht="15.6" x14ac:dyDescent="0.3">
      <c r="D776" s="145">
        <v>45072</v>
      </c>
      <c r="E776" s="187">
        <v>18499.349999999999</v>
      </c>
      <c r="F776" s="146">
        <f t="shared" si="15"/>
        <v>9.7264636772254054E-3</v>
      </c>
    </row>
    <row r="777" spans="4:6" ht="15.6" x14ac:dyDescent="0.3">
      <c r="D777" s="145">
        <v>45071</v>
      </c>
      <c r="E777" s="187">
        <v>18321.150000000001</v>
      </c>
      <c r="F777" s="146">
        <f t="shared" si="15"/>
        <v>1.955111728482839E-3</v>
      </c>
    </row>
    <row r="778" spans="4:6" ht="15.6" x14ac:dyDescent="0.3">
      <c r="D778" s="145">
        <v>45070</v>
      </c>
      <c r="E778" s="187">
        <v>18285.400000000001</v>
      </c>
      <c r="F778" s="146">
        <f t="shared" si="15"/>
        <v>-3.4118160017440058E-3</v>
      </c>
    </row>
    <row r="779" spans="4:6" ht="15.6" x14ac:dyDescent="0.3">
      <c r="D779" s="145">
        <v>45069</v>
      </c>
      <c r="E779" s="187">
        <v>18348</v>
      </c>
      <c r="F779" s="146">
        <f t="shared" si="15"/>
        <v>1.834621936836589E-3</v>
      </c>
    </row>
    <row r="780" spans="4:6" ht="15.6" x14ac:dyDescent="0.3">
      <c r="D780" s="145">
        <v>45068</v>
      </c>
      <c r="E780" s="187">
        <v>18314.400000000001</v>
      </c>
      <c r="F780" s="146">
        <f t="shared" si="15"/>
        <v>6.0977619565576457E-3</v>
      </c>
    </row>
    <row r="781" spans="4:6" ht="15.6" x14ac:dyDescent="0.3">
      <c r="D781" s="145">
        <v>45065</v>
      </c>
      <c r="E781" s="187">
        <v>18203.400000000001</v>
      </c>
      <c r="F781" s="146">
        <f t="shared" si="15"/>
        <v>4.0513073670915833E-3</v>
      </c>
    </row>
    <row r="782" spans="4:6" ht="15.6" x14ac:dyDescent="0.3">
      <c r="D782" s="145">
        <v>45064</v>
      </c>
      <c r="E782" s="187">
        <v>18129.95</v>
      </c>
      <c r="F782" s="146">
        <f t="shared" si="15"/>
        <v>-2.8490106837900653E-3</v>
      </c>
    </row>
    <row r="783" spans="4:6" ht="15.6" x14ac:dyDescent="0.3">
      <c r="D783" s="145">
        <v>45063</v>
      </c>
      <c r="E783" s="187">
        <v>18181.75</v>
      </c>
      <c r="F783" s="146">
        <f t="shared" si="15"/>
        <v>-5.7282694884204233E-3</v>
      </c>
    </row>
    <row r="784" spans="4:6" ht="15.6" x14ac:dyDescent="0.3">
      <c r="D784" s="145">
        <v>45062</v>
      </c>
      <c r="E784" s="187">
        <v>18286.5</v>
      </c>
      <c r="F784" s="146">
        <f t="shared" si="15"/>
        <v>-6.1063599083637232E-3</v>
      </c>
    </row>
    <row r="785" spans="4:6" ht="15.6" x14ac:dyDescent="0.3">
      <c r="D785" s="145">
        <v>45061</v>
      </c>
      <c r="E785" s="187">
        <v>18398.849999999999</v>
      </c>
      <c r="F785" s="146">
        <f t="shared" si="15"/>
        <v>4.5891847030816724E-3</v>
      </c>
    </row>
    <row r="786" spans="4:6" ht="15.6" x14ac:dyDescent="0.3">
      <c r="D786" s="145">
        <v>45058</v>
      </c>
      <c r="E786" s="187">
        <v>18314.8</v>
      </c>
      <c r="F786" s="146">
        <f t="shared" si="15"/>
        <v>9.7283707711648404E-4</v>
      </c>
    </row>
    <row r="787" spans="4:6" ht="15.6" x14ac:dyDescent="0.3">
      <c r="D787" s="145">
        <v>45057</v>
      </c>
      <c r="E787" s="187">
        <v>18297</v>
      </c>
      <c r="F787" s="146">
        <f t="shared" si="15"/>
        <v>-9.8825559238002736E-4</v>
      </c>
    </row>
    <row r="788" spans="4:6" ht="15.6" x14ac:dyDescent="0.3">
      <c r="D788" s="145">
        <v>45056</v>
      </c>
      <c r="E788" s="187">
        <v>18315.099999999999</v>
      </c>
      <c r="F788" s="146">
        <f t="shared" si="15"/>
        <v>2.6907990003255389E-3</v>
      </c>
    </row>
    <row r="789" spans="4:6" ht="15.6" x14ac:dyDescent="0.3">
      <c r="D789" s="145">
        <v>45055</v>
      </c>
      <c r="E789" s="187">
        <v>18265.95</v>
      </c>
      <c r="F789" s="146">
        <f t="shared" si="15"/>
        <v>8.4864545235596722E-5</v>
      </c>
    </row>
    <row r="790" spans="4:6" ht="15.6" x14ac:dyDescent="0.3">
      <c r="D790" s="145">
        <v>45054</v>
      </c>
      <c r="E790" s="187">
        <v>18264.400000000001</v>
      </c>
      <c r="F790" s="146">
        <f t="shared" si="15"/>
        <v>1.0814101499806439E-2</v>
      </c>
    </row>
    <row r="791" spans="4:6" ht="15.6" x14ac:dyDescent="0.3">
      <c r="D791" s="145">
        <v>45051</v>
      </c>
      <c r="E791" s="187">
        <v>18069</v>
      </c>
      <c r="F791" s="146">
        <f t="shared" si="15"/>
        <v>-1.0232364508813596E-2</v>
      </c>
    </row>
    <row r="792" spans="4:6" ht="15.6" x14ac:dyDescent="0.3">
      <c r="D792" s="145">
        <v>45050</v>
      </c>
      <c r="E792" s="187">
        <v>18255.8</v>
      </c>
      <c r="F792" s="146">
        <f t="shared" si="15"/>
        <v>9.1736526284076358E-3</v>
      </c>
    </row>
    <row r="793" spans="4:6" ht="15.6" x14ac:dyDescent="0.3">
      <c r="D793" s="145">
        <v>45049</v>
      </c>
      <c r="E793" s="187">
        <v>18089.849999999999</v>
      </c>
      <c r="F793" s="146">
        <f t="shared" si="15"/>
        <v>-3.1849853837826458E-3</v>
      </c>
    </row>
    <row r="794" spans="4:6" ht="15.6" x14ac:dyDescent="0.3">
      <c r="D794" s="145">
        <v>45048</v>
      </c>
      <c r="E794" s="187">
        <v>18147.650000000001</v>
      </c>
      <c r="F794" s="146">
        <f t="shared" si="15"/>
        <v>4.5751453086078087E-3</v>
      </c>
    </row>
    <row r="795" spans="4:6" ht="15.6" x14ac:dyDescent="0.3">
      <c r="D795" s="145">
        <v>45044</v>
      </c>
      <c r="E795" s="187">
        <v>18065</v>
      </c>
      <c r="F795" s="146">
        <f t="shared" ref="F795:F858" si="16">E795/E796-1</f>
        <v>8.3700575772884811E-3</v>
      </c>
    </row>
    <row r="796" spans="4:6" ht="15.6" x14ac:dyDescent="0.3">
      <c r="D796" s="145">
        <v>45043</v>
      </c>
      <c r="E796" s="187">
        <v>17915.05</v>
      </c>
      <c r="F796" s="146">
        <f t="shared" si="16"/>
        <v>5.6950868998968396E-3</v>
      </c>
    </row>
    <row r="797" spans="4:6" ht="15.6" x14ac:dyDescent="0.3">
      <c r="D797" s="145">
        <v>45042</v>
      </c>
      <c r="E797" s="187">
        <v>17813.599999999999</v>
      </c>
      <c r="F797" s="146">
        <f t="shared" si="16"/>
        <v>2.4958847447134058E-3</v>
      </c>
    </row>
    <row r="798" spans="4:6" ht="15.6" x14ac:dyDescent="0.3">
      <c r="D798" s="145">
        <v>45041</v>
      </c>
      <c r="E798" s="187">
        <v>17769.25</v>
      </c>
      <c r="F798" s="146">
        <f t="shared" si="16"/>
        <v>1.4568797411995682E-3</v>
      </c>
    </row>
    <row r="799" spans="4:6" ht="15.6" x14ac:dyDescent="0.3">
      <c r="D799" s="145">
        <v>45040</v>
      </c>
      <c r="E799" s="187">
        <v>17743.400000000001</v>
      </c>
      <c r="F799" s="146">
        <f t="shared" si="16"/>
        <v>6.7719962210730511E-3</v>
      </c>
    </row>
    <row r="800" spans="4:6" ht="15.6" x14ac:dyDescent="0.3">
      <c r="D800" s="145">
        <v>45037</v>
      </c>
      <c r="E800" s="187">
        <v>17624.05</v>
      </c>
      <c r="F800" s="146">
        <f t="shared" si="16"/>
        <v>-2.2695743697065396E-5</v>
      </c>
    </row>
    <row r="801" spans="4:6" ht="15.6" x14ac:dyDescent="0.3">
      <c r="D801" s="145">
        <v>45036</v>
      </c>
      <c r="E801" s="187">
        <v>17624.45</v>
      </c>
      <c r="F801" s="146">
        <f t="shared" si="16"/>
        <v>3.2351897836124799E-4</v>
      </c>
    </row>
    <row r="802" spans="4:6" ht="15.6" x14ac:dyDescent="0.3">
      <c r="D802" s="145">
        <v>45035</v>
      </c>
      <c r="E802" s="187">
        <v>17618.75</v>
      </c>
      <c r="F802" s="146">
        <f t="shared" si="16"/>
        <v>-2.3442609490860189E-3</v>
      </c>
    </row>
    <row r="803" spans="4:6" ht="15.6" x14ac:dyDescent="0.3">
      <c r="D803" s="145">
        <v>45034</v>
      </c>
      <c r="E803" s="187">
        <v>17660.150000000001</v>
      </c>
      <c r="F803" s="146">
        <f t="shared" si="16"/>
        <v>-2.6373973914048943E-3</v>
      </c>
    </row>
    <row r="804" spans="4:6" ht="15.6" x14ac:dyDescent="0.3">
      <c r="D804" s="145">
        <v>45033</v>
      </c>
      <c r="E804" s="187">
        <v>17706.849999999999</v>
      </c>
      <c r="F804" s="146">
        <f t="shared" si="16"/>
        <v>-6.7954902400718664E-3</v>
      </c>
    </row>
    <row r="805" spans="4:6" ht="15.6" x14ac:dyDescent="0.3">
      <c r="D805" s="145">
        <v>45029</v>
      </c>
      <c r="E805" s="187">
        <v>17828</v>
      </c>
      <c r="F805" s="146">
        <f t="shared" si="16"/>
        <v>8.7579439042451135E-4</v>
      </c>
    </row>
    <row r="806" spans="4:6" ht="15.6" x14ac:dyDescent="0.3">
      <c r="D806" s="145">
        <v>45028</v>
      </c>
      <c r="E806" s="187">
        <v>17812.400000000001</v>
      </c>
      <c r="F806" s="146">
        <f t="shared" si="16"/>
        <v>5.083990227002344E-3</v>
      </c>
    </row>
    <row r="807" spans="4:6" ht="15.6" x14ac:dyDescent="0.3">
      <c r="D807" s="145">
        <v>45027</v>
      </c>
      <c r="E807" s="187">
        <v>17722.3</v>
      </c>
      <c r="F807" s="146">
        <f t="shared" si="16"/>
        <v>5.5747685690858972E-3</v>
      </c>
    </row>
    <row r="808" spans="4:6" ht="15.6" x14ac:dyDescent="0.3">
      <c r="D808" s="145">
        <v>45026</v>
      </c>
      <c r="E808" s="187">
        <v>17624.05</v>
      </c>
      <c r="F808" s="146">
        <f t="shared" si="16"/>
        <v>1.4148410576646508E-3</v>
      </c>
    </row>
    <row r="809" spans="4:6" ht="15.6" x14ac:dyDescent="0.3">
      <c r="D809" s="145">
        <v>45022</v>
      </c>
      <c r="E809" s="187">
        <v>17599.150000000001</v>
      </c>
      <c r="F809" s="146">
        <f t="shared" si="16"/>
        <v>2.3978971410345551E-3</v>
      </c>
    </row>
    <row r="810" spans="4:6" ht="15.6" x14ac:dyDescent="0.3">
      <c r="D810" s="145">
        <v>45021</v>
      </c>
      <c r="E810" s="187">
        <v>17557.05</v>
      </c>
      <c r="F810" s="146">
        <f t="shared" si="16"/>
        <v>9.1389552277409969E-3</v>
      </c>
    </row>
    <row r="811" spans="4:6" ht="15.6" x14ac:dyDescent="0.3">
      <c r="D811" s="145">
        <v>45019</v>
      </c>
      <c r="E811" s="187">
        <v>17398.05</v>
      </c>
      <c r="F811" s="146">
        <f t="shared" si="16"/>
        <v>2.2062529702329137E-3</v>
      </c>
    </row>
    <row r="812" spans="4:6" ht="15.6" x14ac:dyDescent="0.3">
      <c r="D812" s="145">
        <v>45016</v>
      </c>
      <c r="E812" s="187">
        <v>17359.75</v>
      </c>
      <c r="F812" s="146">
        <f t="shared" si="16"/>
        <v>1.6337152458622883E-2</v>
      </c>
    </row>
    <row r="813" spans="4:6" ht="15.6" x14ac:dyDescent="0.3">
      <c r="D813" s="145">
        <v>45014</v>
      </c>
      <c r="E813" s="187">
        <v>17080.7</v>
      </c>
      <c r="F813" s="146">
        <f t="shared" si="16"/>
        <v>7.6098562386073265E-3</v>
      </c>
    </row>
    <row r="814" spans="4:6" ht="15.6" x14ac:dyDescent="0.3">
      <c r="D814" s="145">
        <v>45013</v>
      </c>
      <c r="E814" s="187">
        <v>16951.7</v>
      </c>
      <c r="F814" s="146">
        <f t="shared" si="16"/>
        <v>-2.0016837692883316E-3</v>
      </c>
    </row>
    <row r="815" spans="4:6" ht="15.6" x14ac:dyDescent="0.3">
      <c r="D815" s="145">
        <v>45012</v>
      </c>
      <c r="E815" s="187">
        <v>16985.7</v>
      </c>
      <c r="F815" s="146">
        <f t="shared" si="16"/>
        <v>2.3989306611666983E-3</v>
      </c>
    </row>
    <row r="816" spans="4:6" ht="15.6" x14ac:dyDescent="0.3">
      <c r="D816" s="145">
        <v>45009</v>
      </c>
      <c r="E816" s="187">
        <v>16945.05</v>
      </c>
      <c r="F816" s="146">
        <f t="shared" si="16"/>
        <v>-7.7209563796709624E-3</v>
      </c>
    </row>
    <row r="817" spans="4:6" ht="15.6" x14ac:dyDescent="0.3">
      <c r="D817" s="145">
        <v>45008</v>
      </c>
      <c r="E817" s="187">
        <v>17076.900000000001</v>
      </c>
      <c r="F817" s="146">
        <f t="shared" si="16"/>
        <v>-4.3726934042292998E-3</v>
      </c>
    </row>
    <row r="818" spans="4:6" ht="15.6" x14ac:dyDescent="0.3">
      <c r="D818" s="145">
        <v>45007</v>
      </c>
      <c r="E818" s="187">
        <v>17151.900000000001</v>
      </c>
      <c r="F818" s="146">
        <f t="shared" si="16"/>
        <v>2.5953529153881494E-3</v>
      </c>
    </row>
    <row r="819" spans="4:6" ht="15.6" x14ac:dyDescent="0.3">
      <c r="D819" s="145">
        <v>45006</v>
      </c>
      <c r="E819" s="187">
        <v>17107.5</v>
      </c>
      <c r="F819" s="146">
        <f t="shared" si="16"/>
        <v>7.0106661015751914E-3</v>
      </c>
    </row>
    <row r="820" spans="4:6" ht="15.6" x14ac:dyDescent="0.3">
      <c r="D820" s="145">
        <v>45005</v>
      </c>
      <c r="E820" s="187">
        <v>16988.400000000001</v>
      </c>
      <c r="F820" s="146">
        <f t="shared" si="16"/>
        <v>-6.5292206747932235E-3</v>
      </c>
    </row>
    <row r="821" spans="4:6" ht="15.6" x14ac:dyDescent="0.3">
      <c r="D821" s="145">
        <v>45002</v>
      </c>
      <c r="E821" s="187">
        <v>17100.05</v>
      </c>
      <c r="F821" s="146">
        <f t="shared" si="16"/>
        <v>6.7380604747551143E-3</v>
      </c>
    </row>
    <row r="822" spans="4:6" ht="15.6" x14ac:dyDescent="0.3">
      <c r="D822" s="145">
        <v>45001</v>
      </c>
      <c r="E822" s="187">
        <v>16985.599999999999</v>
      </c>
      <c r="F822" s="146">
        <f t="shared" si="16"/>
        <v>7.9247473066157426E-4</v>
      </c>
    </row>
    <row r="823" spans="4:6" ht="15.6" x14ac:dyDescent="0.3">
      <c r="D823" s="145">
        <v>45000</v>
      </c>
      <c r="E823" s="187">
        <v>16972.150000000001</v>
      </c>
      <c r="F823" s="146">
        <f t="shared" si="16"/>
        <v>-4.1746610104849147E-3</v>
      </c>
    </row>
    <row r="824" spans="4:6" ht="15.6" x14ac:dyDescent="0.3">
      <c r="D824" s="145">
        <v>44999</v>
      </c>
      <c r="E824" s="187">
        <v>17043.3</v>
      </c>
      <c r="F824" s="146">
        <f t="shared" si="16"/>
        <v>-6.4706808205522437E-3</v>
      </c>
    </row>
    <row r="825" spans="4:6" ht="15.6" x14ac:dyDescent="0.3">
      <c r="D825" s="145">
        <v>44998</v>
      </c>
      <c r="E825" s="187">
        <v>17154.3</v>
      </c>
      <c r="F825" s="146">
        <f t="shared" si="16"/>
        <v>-1.4851058697862074E-2</v>
      </c>
    </row>
    <row r="826" spans="4:6" ht="15.6" x14ac:dyDescent="0.3">
      <c r="D826" s="145">
        <v>44995</v>
      </c>
      <c r="E826" s="187">
        <v>17412.900000000001</v>
      </c>
      <c r="F826" s="146">
        <f t="shared" si="16"/>
        <v>-1.0045708827943645E-2</v>
      </c>
    </row>
    <row r="827" spans="4:6" ht="15.6" x14ac:dyDescent="0.3">
      <c r="D827" s="145">
        <v>44994</v>
      </c>
      <c r="E827" s="187">
        <v>17589.599999999999</v>
      </c>
      <c r="F827" s="146">
        <f t="shared" si="16"/>
        <v>-9.2822061010230383E-3</v>
      </c>
    </row>
    <row r="828" spans="4:6" ht="15.6" x14ac:dyDescent="0.3">
      <c r="D828" s="145">
        <v>44993</v>
      </c>
      <c r="E828" s="187">
        <v>17754.400000000001</v>
      </c>
      <c r="F828" s="146">
        <f t="shared" si="16"/>
        <v>2.4249849673516621E-3</v>
      </c>
    </row>
    <row r="829" spans="4:6" ht="15.6" x14ac:dyDescent="0.3">
      <c r="D829" s="145">
        <v>44991</v>
      </c>
      <c r="E829" s="187">
        <v>17711.45</v>
      </c>
      <c r="F829" s="146">
        <f t="shared" si="16"/>
        <v>6.6555456723325079E-3</v>
      </c>
    </row>
    <row r="830" spans="4:6" ht="15.6" x14ac:dyDescent="0.3">
      <c r="D830" s="145">
        <v>44988</v>
      </c>
      <c r="E830" s="187">
        <v>17594.349999999999</v>
      </c>
      <c r="F830" s="146">
        <f t="shared" si="16"/>
        <v>1.5728644086387522E-2</v>
      </c>
    </row>
    <row r="831" spans="4:6" ht="15.6" x14ac:dyDescent="0.3">
      <c r="D831" s="145">
        <v>44987</v>
      </c>
      <c r="E831" s="187">
        <v>17321.900000000001</v>
      </c>
      <c r="F831" s="146">
        <f t="shared" si="16"/>
        <v>-7.3921688852723877E-3</v>
      </c>
    </row>
    <row r="832" spans="4:6" ht="15.6" x14ac:dyDescent="0.3">
      <c r="D832" s="145">
        <v>44986</v>
      </c>
      <c r="E832" s="187">
        <v>17450.900000000001</v>
      </c>
      <c r="F832" s="146">
        <f t="shared" si="16"/>
        <v>8.4922806642413473E-3</v>
      </c>
    </row>
    <row r="833" spans="4:6" ht="15.6" x14ac:dyDescent="0.3">
      <c r="D833" s="145">
        <v>44985</v>
      </c>
      <c r="E833" s="187">
        <v>17303.95</v>
      </c>
      <c r="F833" s="146">
        <f t="shared" si="16"/>
        <v>-5.1027155070805241E-3</v>
      </c>
    </row>
    <row r="834" spans="4:6" ht="15.6" x14ac:dyDescent="0.3">
      <c r="D834" s="145">
        <v>44984</v>
      </c>
      <c r="E834" s="187">
        <v>17392.7</v>
      </c>
      <c r="F834" s="146">
        <f t="shared" si="16"/>
        <v>-4.1853221724741374E-3</v>
      </c>
    </row>
    <row r="835" spans="4:6" ht="15.6" x14ac:dyDescent="0.3">
      <c r="D835" s="145">
        <v>44981</v>
      </c>
      <c r="E835" s="187">
        <v>17465.8</v>
      </c>
      <c r="F835" s="146">
        <f t="shared" si="16"/>
        <v>-2.5954743379256184E-3</v>
      </c>
    </row>
    <row r="836" spans="4:6" ht="15.6" x14ac:dyDescent="0.3">
      <c r="D836" s="145">
        <v>44980</v>
      </c>
      <c r="E836" s="187">
        <v>17511.25</v>
      </c>
      <c r="F836" s="146">
        <f t="shared" si="16"/>
        <v>-2.4523905823643499E-3</v>
      </c>
    </row>
    <row r="837" spans="4:6" ht="15.6" x14ac:dyDescent="0.3">
      <c r="D837" s="145">
        <v>44979</v>
      </c>
      <c r="E837" s="187">
        <v>17554.3</v>
      </c>
      <c r="F837" s="146">
        <f t="shared" si="16"/>
        <v>-1.528045011134993E-2</v>
      </c>
    </row>
    <row r="838" spans="4:6" ht="15.6" x14ac:dyDescent="0.3">
      <c r="D838" s="145">
        <v>44978</v>
      </c>
      <c r="E838" s="187">
        <v>17826.7</v>
      </c>
      <c r="F838" s="146">
        <f t="shared" si="16"/>
        <v>-1.0031045806573324E-3</v>
      </c>
    </row>
    <row r="839" spans="4:6" ht="15.6" x14ac:dyDescent="0.3">
      <c r="D839" s="145">
        <v>44977</v>
      </c>
      <c r="E839" s="187">
        <v>17844.599999999999</v>
      </c>
      <c r="F839" s="146">
        <f t="shared" si="16"/>
        <v>-5.5505400073562194E-3</v>
      </c>
    </row>
    <row r="840" spans="4:6" ht="15.6" x14ac:dyDescent="0.3">
      <c r="D840" s="145">
        <v>44974</v>
      </c>
      <c r="E840" s="187">
        <v>17944.2</v>
      </c>
      <c r="F840" s="146">
        <f t="shared" si="16"/>
        <v>-5.0815459210404867E-3</v>
      </c>
    </row>
    <row r="841" spans="4:6" ht="15.6" x14ac:dyDescent="0.3">
      <c r="D841" s="145">
        <v>44973</v>
      </c>
      <c r="E841" s="187">
        <v>18035.849999999999</v>
      </c>
      <c r="F841" s="146">
        <f t="shared" si="16"/>
        <v>1.1101335768226583E-3</v>
      </c>
    </row>
    <row r="842" spans="4:6" ht="15.6" x14ac:dyDescent="0.3">
      <c r="D842" s="145">
        <v>44972</v>
      </c>
      <c r="E842" s="187">
        <v>18015.849999999999</v>
      </c>
      <c r="F842" s="146">
        <f t="shared" si="16"/>
        <v>4.7964706899388254E-3</v>
      </c>
    </row>
    <row r="843" spans="4:6" ht="15.6" x14ac:dyDescent="0.3">
      <c r="D843" s="145">
        <v>44971</v>
      </c>
      <c r="E843" s="187">
        <v>17929.849999999999</v>
      </c>
      <c r="F843" s="146">
        <f t="shared" si="16"/>
        <v>8.9443978639234256E-3</v>
      </c>
    </row>
    <row r="844" spans="4:6" ht="15.6" x14ac:dyDescent="0.3">
      <c r="D844" s="145">
        <v>44970</v>
      </c>
      <c r="E844" s="187">
        <v>17770.900000000001</v>
      </c>
      <c r="F844" s="146">
        <f t="shared" si="16"/>
        <v>-4.7937725758125938E-3</v>
      </c>
    </row>
    <row r="845" spans="4:6" ht="15.6" x14ac:dyDescent="0.3">
      <c r="D845" s="145">
        <v>44967</v>
      </c>
      <c r="E845" s="187">
        <v>17856.5</v>
      </c>
      <c r="F845" s="146">
        <f t="shared" si="16"/>
        <v>-2.0650014390740656E-3</v>
      </c>
    </row>
    <row r="846" spans="4:6" ht="15.6" x14ac:dyDescent="0.3">
      <c r="D846" s="145">
        <v>44966</v>
      </c>
      <c r="E846" s="187">
        <v>17893.45</v>
      </c>
      <c r="F846" s="146">
        <f t="shared" si="16"/>
        <v>1.2170078951638796E-3</v>
      </c>
    </row>
    <row r="847" spans="4:6" ht="15.6" x14ac:dyDescent="0.3">
      <c r="D847" s="145">
        <v>44965</v>
      </c>
      <c r="E847" s="187">
        <v>17871.7</v>
      </c>
      <c r="F847" s="146">
        <f t="shared" si="16"/>
        <v>8.475580509550662E-3</v>
      </c>
    </row>
    <row r="848" spans="4:6" ht="15.6" x14ac:dyDescent="0.3">
      <c r="D848" s="145">
        <v>44964</v>
      </c>
      <c r="E848" s="187">
        <v>17721.5</v>
      </c>
      <c r="F848" s="146">
        <f t="shared" si="16"/>
        <v>-2.4261734010334601E-3</v>
      </c>
    </row>
    <row r="849" spans="4:6" ht="15.6" x14ac:dyDescent="0.3">
      <c r="D849" s="145">
        <v>44963</v>
      </c>
      <c r="E849" s="187">
        <v>17764.599999999999</v>
      </c>
      <c r="F849" s="146">
        <f t="shared" si="16"/>
        <v>-5.0100677437332486E-3</v>
      </c>
    </row>
    <row r="850" spans="4:6" ht="15.6" x14ac:dyDescent="0.3">
      <c r="D850" s="145">
        <v>44960</v>
      </c>
      <c r="E850" s="187">
        <v>17854.05</v>
      </c>
      <c r="F850" s="146">
        <f t="shared" si="16"/>
        <v>1.3835574433289199E-2</v>
      </c>
    </row>
    <row r="851" spans="4:6" ht="15.6" x14ac:dyDescent="0.3">
      <c r="D851" s="145">
        <v>44959</v>
      </c>
      <c r="E851" s="187">
        <v>17610.400000000001</v>
      </c>
      <c r="F851" s="146">
        <f t="shared" si="16"/>
        <v>-3.3491709382771351E-4</v>
      </c>
    </row>
    <row r="852" spans="4:6" ht="15.6" x14ac:dyDescent="0.3">
      <c r="D852" s="145">
        <v>44958</v>
      </c>
      <c r="E852" s="187">
        <v>17616.3</v>
      </c>
      <c r="F852" s="146">
        <f t="shared" si="16"/>
        <v>-2.5959466995808533E-3</v>
      </c>
    </row>
    <row r="853" spans="4:6" ht="15.6" x14ac:dyDescent="0.3">
      <c r="D853" s="145">
        <v>44957</v>
      </c>
      <c r="E853" s="187">
        <v>17662.150000000001</v>
      </c>
      <c r="F853" s="146">
        <f t="shared" si="16"/>
        <v>7.4791984792299537E-4</v>
      </c>
    </row>
    <row r="854" spans="4:6" ht="15.6" x14ac:dyDescent="0.3">
      <c r="D854" s="145">
        <v>44956</v>
      </c>
      <c r="E854" s="187">
        <v>17648.95</v>
      </c>
      <c r="F854" s="146">
        <f t="shared" si="16"/>
        <v>2.5334647402490695E-3</v>
      </c>
    </row>
    <row r="855" spans="4:6" ht="15.6" x14ac:dyDescent="0.3">
      <c r="D855" s="145">
        <v>44953</v>
      </c>
      <c r="E855" s="187">
        <v>17604.349999999999</v>
      </c>
      <c r="F855" s="146">
        <f t="shared" si="16"/>
        <v>-1.6074268036742945E-2</v>
      </c>
    </row>
    <row r="856" spans="4:6" ht="15.6" x14ac:dyDescent="0.3">
      <c r="D856" s="145">
        <v>44951</v>
      </c>
      <c r="E856" s="187">
        <v>17891.95</v>
      </c>
      <c r="F856" s="146">
        <f t="shared" si="16"/>
        <v>-1.2492893924926696E-2</v>
      </c>
    </row>
    <row r="857" spans="4:6" ht="15.6" x14ac:dyDescent="0.3">
      <c r="D857" s="145">
        <v>44950</v>
      </c>
      <c r="E857" s="187">
        <v>18118.3</v>
      </c>
      <c r="F857" s="146">
        <f t="shared" si="16"/>
        <v>-1.3798013637988937E-5</v>
      </c>
    </row>
    <row r="858" spans="4:6" ht="15.6" x14ac:dyDescent="0.3">
      <c r="D858" s="145">
        <v>44949</v>
      </c>
      <c r="E858" s="187">
        <v>18118.55</v>
      </c>
      <c r="F858" s="146">
        <f t="shared" si="16"/>
        <v>5.0422545367809768E-3</v>
      </c>
    </row>
    <row r="859" spans="4:6" ht="15.6" x14ac:dyDescent="0.3">
      <c r="D859" s="145">
        <v>44946</v>
      </c>
      <c r="E859" s="187">
        <v>18027.650000000001</v>
      </c>
      <c r="F859" s="146">
        <f t="shared" ref="F859:F922" si="17">E859/E860-1</f>
        <v>-4.4290183539181793E-3</v>
      </c>
    </row>
    <row r="860" spans="4:6" ht="15.6" x14ac:dyDescent="0.3">
      <c r="D860" s="145">
        <v>44945</v>
      </c>
      <c r="E860" s="187">
        <v>18107.849999999999</v>
      </c>
      <c r="F860" s="146">
        <f t="shared" si="17"/>
        <v>-3.1653670311885262E-3</v>
      </c>
    </row>
    <row r="861" spans="4:6" ht="15.6" x14ac:dyDescent="0.3">
      <c r="D861" s="145">
        <v>44944</v>
      </c>
      <c r="E861" s="187">
        <v>18165.349999999999</v>
      </c>
      <c r="F861" s="146">
        <f t="shared" si="17"/>
        <v>6.2066215041016726E-3</v>
      </c>
    </row>
    <row r="862" spans="4:6" ht="15.6" x14ac:dyDescent="0.3">
      <c r="D862" s="145">
        <v>44943</v>
      </c>
      <c r="E862" s="187">
        <v>18053.3</v>
      </c>
      <c r="F862" s="146">
        <f t="shared" si="17"/>
        <v>8.8545028318203212E-3</v>
      </c>
    </row>
    <row r="863" spans="4:6" ht="15.6" x14ac:dyDescent="0.3">
      <c r="D863" s="145">
        <v>44942</v>
      </c>
      <c r="E863" s="187">
        <v>17894.849999999999</v>
      </c>
      <c r="F863" s="146">
        <f t="shared" si="17"/>
        <v>-3.4388469977613134E-3</v>
      </c>
    </row>
    <row r="864" spans="4:6" ht="15.6" x14ac:dyDescent="0.3">
      <c r="D864" s="145">
        <v>44939</v>
      </c>
      <c r="E864" s="187">
        <v>17956.599999999999</v>
      </c>
      <c r="F864" s="146">
        <f t="shared" si="17"/>
        <v>5.5100738036306662E-3</v>
      </c>
    </row>
    <row r="865" spans="4:6" ht="15.6" x14ac:dyDescent="0.3">
      <c r="D865" s="145">
        <v>44938</v>
      </c>
      <c r="E865" s="187">
        <v>17858.2</v>
      </c>
      <c r="F865" s="146">
        <f t="shared" si="17"/>
        <v>-2.0954754494096894E-3</v>
      </c>
    </row>
    <row r="866" spans="4:6" ht="15.6" x14ac:dyDescent="0.3">
      <c r="D866" s="145">
        <v>44937</v>
      </c>
      <c r="E866" s="187">
        <v>17895.7</v>
      </c>
      <c r="F866" s="146">
        <f t="shared" si="17"/>
        <v>-1.0299121085846075E-3</v>
      </c>
    </row>
    <row r="867" spans="4:6" ht="15.6" x14ac:dyDescent="0.3">
      <c r="D867" s="145">
        <v>44936</v>
      </c>
      <c r="E867" s="187">
        <v>17914.150000000001</v>
      </c>
      <c r="F867" s="146">
        <f t="shared" si="17"/>
        <v>-1.0333569045146151E-2</v>
      </c>
    </row>
    <row r="868" spans="4:6" ht="15.6" x14ac:dyDescent="0.3">
      <c r="D868" s="145">
        <v>44935</v>
      </c>
      <c r="E868" s="187">
        <v>18101.2</v>
      </c>
      <c r="F868" s="146">
        <f t="shared" si="17"/>
        <v>1.3536251116355702E-2</v>
      </c>
    </row>
    <row r="869" spans="4:6" ht="15.6" x14ac:dyDescent="0.3">
      <c r="D869" s="145">
        <v>44932</v>
      </c>
      <c r="E869" s="187">
        <v>17859.45</v>
      </c>
      <c r="F869" s="146">
        <f t="shared" si="17"/>
        <v>-7.3754387330030591E-3</v>
      </c>
    </row>
    <row r="870" spans="4:6" ht="15.6" x14ac:dyDescent="0.3">
      <c r="D870" s="145">
        <v>44931</v>
      </c>
      <c r="E870" s="187">
        <v>17992.150000000001</v>
      </c>
      <c r="F870" s="146">
        <f t="shared" si="17"/>
        <v>-2.8155041165662809E-3</v>
      </c>
    </row>
    <row r="871" spans="4:6" ht="15.6" x14ac:dyDescent="0.3">
      <c r="D871" s="145">
        <v>44930</v>
      </c>
      <c r="E871" s="187">
        <v>18042.95</v>
      </c>
      <c r="F871" s="146">
        <f t="shared" si="17"/>
        <v>-1.0398984234240349E-2</v>
      </c>
    </row>
    <row r="872" spans="4:6" ht="15.6" x14ac:dyDescent="0.3">
      <c r="D872" s="145">
        <v>44929</v>
      </c>
      <c r="E872" s="187">
        <v>18232.55</v>
      </c>
      <c r="F872" s="146">
        <f t="shared" si="17"/>
        <v>1.9288416783669327E-3</v>
      </c>
    </row>
    <row r="873" spans="4:6" ht="15.6" x14ac:dyDescent="0.3">
      <c r="D873" s="145">
        <v>44928</v>
      </c>
      <c r="E873" s="187">
        <v>18197.45</v>
      </c>
      <c r="F873" s="146">
        <f t="shared" si="17"/>
        <v>5.0896698756719427E-3</v>
      </c>
    </row>
    <row r="874" spans="4:6" ht="15.6" x14ac:dyDescent="0.3">
      <c r="D874" s="145">
        <v>44925</v>
      </c>
      <c r="E874" s="187">
        <v>18105.3</v>
      </c>
      <c r="F874" s="146">
        <f t="shared" si="17"/>
        <v>-4.7111208839536456E-3</v>
      </c>
    </row>
    <row r="875" spans="4:6" ht="15.6" x14ac:dyDescent="0.3">
      <c r="D875" s="145">
        <v>44924</v>
      </c>
      <c r="E875" s="187">
        <v>18191</v>
      </c>
      <c r="F875" s="146">
        <f t="shared" si="17"/>
        <v>3.7798317009243299E-3</v>
      </c>
    </row>
    <row r="876" spans="4:6" ht="15.6" x14ac:dyDescent="0.3">
      <c r="D876" s="145">
        <v>44923</v>
      </c>
      <c r="E876" s="187">
        <v>18122.5</v>
      </c>
      <c r="F876" s="146">
        <f t="shared" si="17"/>
        <v>-5.4047197542506087E-4</v>
      </c>
    </row>
    <row r="877" spans="4:6" ht="15.6" x14ac:dyDescent="0.3">
      <c r="D877" s="145">
        <v>44922</v>
      </c>
      <c r="E877" s="187">
        <v>18132.3</v>
      </c>
      <c r="F877" s="146">
        <f t="shared" si="17"/>
        <v>6.5335894219133994E-3</v>
      </c>
    </row>
    <row r="878" spans="4:6" ht="15.6" x14ac:dyDescent="0.3">
      <c r="D878" s="145">
        <v>44921</v>
      </c>
      <c r="E878" s="187">
        <v>18014.599999999999</v>
      </c>
      <c r="F878" s="146">
        <f t="shared" si="17"/>
        <v>1.1669699216029894E-2</v>
      </c>
    </row>
    <row r="879" spans="4:6" ht="15.6" x14ac:dyDescent="0.3">
      <c r="D879" s="145">
        <v>44918</v>
      </c>
      <c r="E879" s="187">
        <v>17806.8</v>
      </c>
      <c r="F879" s="146">
        <f t="shared" si="17"/>
        <v>-1.7683224519855267E-2</v>
      </c>
    </row>
    <row r="880" spans="4:6" ht="15.6" x14ac:dyDescent="0.3">
      <c r="D880" s="145">
        <v>44917</v>
      </c>
      <c r="E880" s="187">
        <v>18127.349999999999</v>
      </c>
      <c r="F880" s="146">
        <f t="shared" si="17"/>
        <v>-3.9425026512299732E-3</v>
      </c>
    </row>
    <row r="881" spans="4:6" ht="15.6" x14ac:dyDescent="0.3">
      <c r="D881" s="145">
        <v>44916</v>
      </c>
      <c r="E881" s="187">
        <v>18199.099999999999</v>
      </c>
      <c r="F881" s="146">
        <f t="shared" si="17"/>
        <v>-1.0127656334136592E-2</v>
      </c>
    </row>
    <row r="882" spans="4:6" ht="15.6" x14ac:dyDescent="0.3">
      <c r="D882" s="145">
        <v>44915</v>
      </c>
      <c r="E882" s="187">
        <v>18385.3</v>
      </c>
      <c r="F882" s="146">
        <f t="shared" si="17"/>
        <v>-1.9082052827157359E-3</v>
      </c>
    </row>
    <row r="883" spans="4:6" ht="15.6" x14ac:dyDescent="0.3">
      <c r="D883" s="145">
        <v>44914</v>
      </c>
      <c r="E883" s="187">
        <v>18420.45</v>
      </c>
      <c r="F883" s="146">
        <f t="shared" si="17"/>
        <v>8.2899994526246523E-3</v>
      </c>
    </row>
    <row r="884" spans="4:6" ht="15.6" x14ac:dyDescent="0.3">
      <c r="D884" s="145">
        <v>44911</v>
      </c>
      <c r="E884" s="187">
        <v>18269</v>
      </c>
      <c r="F884" s="146">
        <f t="shared" si="17"/>
        <v>-7.9229319735649728E-3</v>
      </c>
    </row>
    <row r="885" spans="4:6" ht="15.6" x14ac:dyDescent="0.3">
      <c r="D885" s="145">
        <v>44910</v>
      </c>
      <c r="E885" s="187">
        <v>18414.900000000001</v>
      </c>
      <c r="F885" s="146">
        <f t="shared" si="17"/>
        <v>-1.3150913972444056E-2</v>
      </c>
    </row>
    <row r="886" spans="4:6" ht="15.6" x14ac:dyDescent="0.3">
      <c r="D886" s="145">
        <v>44909</v>
      </c>
      <c r="E886" s="187">
        <v>18660.3</v>
      </c>
      <c r="F886" s="146">
        <f t="shared" si="17"/>
        <v>2.8106190885639482E-3</v>
      </c>
    </row>
    <row r="887" spans="4:6" ht="15.6" x14ac:dyDescent="0.3">
      <c r="D887" s="145">
        <v>44908</v>
      </c>
      <c r="E887" s="187">
        <v>18608</v>
      </c>
      <c r="F887" s="146">
        <f t="shared" si="17"/>
        <v>5.9928151093546767E-3</v>
      </c>
    </row>
    <row r="888" spans="4:6" ht="15.6" x14ac:dyDescent="0.3">
      <c r="D888" s="145">
        <v>44907</v>
      </c>
      <c r="E888" s="187">
        <v>18497.150000000001</v>
      </c>
      <c r="F888" s="146">
        <f t="shared" si="17"/>
        <v>2.9735194576385737E-5</v>
      </c>
    </row>
    <row r="889" spans="4:6" ht="15.6" x14ac:dyDescent="0.3">
      <c r="D889" s="145">
        <v>44904</v>
      </c>
      <c r="E889" s="187">
        <v>18496.599999999999</v>
      </c>
      <c r="F889" s="146">
        <f t="shared" si="17"/>
        <v>-6.058782278800745E-3</v>
      </c>
    </row>
    <row r="890" spans="4:6" ht="15.6" x14ac:dyDescent="0.3">
      <c r="D890" s="145">
        <v>44903</v>
      </c>
      <c r="E890" s="187">
        <v>18609.349999999999</v>
      </c>
      <c r="F890" s="146">
        <f t="shared" si="17"/>
        <v>2.6319334069664357E-3</v>
      </c>
    </row>
    <row r="891" spans="4:6" ht="15.6" x14ac:dyDescent="0.3">
      <c r="D891" s="145">
        <v>44902</v>
      </c>
      <c r="E891" s="187">
        <v>18560.5</v>
      </c>
      <c r="F891" s="146">
        <f t="shared" si="17"/>
        <v>-4.4119027503989328E-3</v>
      </c>
    </row>
    <row r="892" spans="4:6" ht="15.6" x14ac:dyDescent="0.3">
      <c r="D892" s="145">
        <v>44901</v>
      </c>
      <c r="E892" s="187">
        <v>18642.75</v>
      </c>
      <c r="F892" s="146">
        <f t="shared" si="17"/>
        <v>-3.1174720136034617E-3</v>
      </c>
    </row>
    <row r="893" spans="4:6" ht="15.6" x14ac:dyDescent="0.3">
      <c r="D893" s="145">
        <v>44900</v>
      </c>
      <c r="E893" s="187">
        <v>18701.05</v>
      </c>
      <c r="F893" s="146">
        <f t="shared" si="17"/>
        <v>2.6476109990847263E-4</v>
      </c>
    </row>
    <row r="894" spans="4:6" ht="15.6" x14ac:dyDescent="0.3">
      <c r="D894" s="145">
        <v>44897</v>
      </c>
      <c r="E894" s="187">
        <v>18696.099999999999</v>
      </c>
      <c r="F894" s="146">
        <f t="shared" si="17"/>
        <v>-6.18737541528247E-3</v>
      </c>
    </row>
    <row r="895" spans="4:6" ht="15.6" x14ac:dyDescent="0.3">
      <c r="D895" s="145">
        <v>44896</v>
      </c>
      <c r="E895" s="187">
        <v>18812.5</v>
      </c>
      <c r="F895" s="146">
        <f t="shared" si="17"/>
        <v>2.8867144498316843E-3</v>
      </c>
    </row>
    <row r="896" spans="4:6" ht="15.6" x14ac:dyDescent="0.3">
      <c r="D896" s="145">
        <v>44895</v>
      </c>
      <c r="E896" s="187">
        <v>18758.349999999999</v>
      </c>
      <c r="F896" s="146">
        <f t="shared" si="17"/>
        <v>7.5356978845797506E-3</v>
      </c>
    </row>
    <row r="897" spans="4:6" ht="15.6" x14ac:dyDescent="0.3">
      <c r="D897" s="145">
        <v>44894</v>
      </c>
      <c r="E897" s="187">
        <v>18618.05</v>
      </c>
      <c r="F897" s="146">
        <f t="shared" si="17"/>
        <v>2.9790844567749719E-3</v>
      </c>
    </row>
    <row r="898" spans="4:6" ht="15.6" x14ac:dyDescent="0.3">
      <c r="D898" s="145">
        <v>44893</v>
      </c>
      <c r="E898" s="187">
        <v>18562.75</v>
      </c>
      <c r="F898" s="146">
        <f t="shared" si="17"/>
        <v>2.7008413120686026E-3</v>
      </c>
    </row>
    <row r="899" spans="4:6" ht="15.6" x14ac:dyDescent="0.3">
      <c r="D899" s="145">
        <v>44890</v>
      </c>
      <c r="E899" s="187">
        <v>18512.75</v>
      </c>
      <c r="F899" s="146">
        <f t="shared" si="17"/>
        <v>1.5499807943044619E-3</v>
      </c>
    </row>
    <row r="900" spans="4:6" ht="15.6" x14ac:dyDescent="0.3">
      <c r="D900" s="145">
        <v>44889</v>
      </c>
      <c r="E900" s="187">
        <v>18484.099999999999</v>
      </c>
      <c r="F900" s="146">
        <f t="shared" si="17"/>
        <v>1.1870971273727493E-2</v>
      </c>
    </row>
    <row r="901" spans="4:6" ht="15.6" x14ac:dyDescent="0.3">
      <c r="D901" s="145">
        <v>44888</v>
      </c>
      <c r="E901" s="187">
        <v>18267.25</v>
      </c>
      <c r="F901" s="146">
        <f t="shared" si="17"/>
        <v>1.2634152223720552E-3</v>
      </c>
    </row>
    <row r="902" spans="4:6" ht="15.6" x14ac:dyDescent="0.3">
      <c r="D902" s="145">
        <v>44887</v>
      </c>
      <c r="E902" s="187">
        <v>18244.2</v>
      </c>
      <c r="F902" s="146">
        <f t="shared" si="17"/>
        <v>4.6393299541023225E-3</v>
      </c>
    </row>
    <row r="903" spans="4:6" ht="15.6" x14ac:dyDescent="0.3">
      <c r="D903" s="145">
        <v>44886</v>
      </c>
      <c r="E903" s="187">
        <v>18159.95</v>
      </c>
      <c r="F903" s="146">
        <f t="shared" si="17"/>
        <v>-8.0676657025888776E-3</v>
      </c>
    </row>
    <row r="904" spans="4:6" ht="15.6" x14ac:dyDescent="0.3">
      <c r="D904" s="145">
        <v>44883</v>
      </c>
      <c r="E904" s="187">
        <v>18307.650000000001</v>
      </c>
      <c r="F904" s="146">
        <f t="shared" si="17"/>
        <v>-1.9761337556354341E-3</v>
      </c>
    </row>
    <row r="905" spans="4:6" ht="15.6" x14ac:dyDescent="0.3">
      <c r="D905" s="145">
        <v>44882</v>
      </c>
      <c r="E905" s="187">
        <v>18343.900000000001</v>
      </c>
      <c r="F905" s="146">
        <f t="shared" si="17"/>
        <v>-3.5714964706010655E-3</v>
      </c>
    </row>
    <row r="906" spans="4:6" ht="15.6" x14ac:dyDescent="0.3">
      <c r="D906" s="145">
        <v>44881</v>
      </c>
      <c r="E906" s="187">
        <v>18409.650000000001</v>
      </c>
      <c r="F906" s="146">
        <f t="shared" si="17"/>
        <v>3.3961115880765114E-4</v>
      </c>
    </row>
    <row r="907" spans="4:6" ht="15.6" x14ac:dyDescent="0.3">
      <c r="D907" s="145">
        <v>44880</v>
      </c>
      <c r="E907" s="187">
        <v>18403.400000000001</v>
      </c>
      <c r="F907" s="146">
        <f t="shared" si="17"/>
        <v>4.0509243472828249E-3</v>
      </c>
    </row>
    <row r="908" spans="4:6" ht="15.6" x14ac:dyDescent="0.3">
      <c r="D908" s="145">
        <v>44879</v>
      </c>
      <c r="E908" s="187">
        <v>18329.150000000001</v>
      </c>
      <c r="F908" s="146">
        <f t="shared" si="17"/>
        <v>-1.1199093173185348E-3</v>
      </c>
    </row>
    <row r="909" spans="4:6" ht="15.6" x14ac:dyDescent="0.3">
      <c r="D909" s="145">
        <v>44876</v>
      </c>
      <c r="E909" s="187">
        <v>18349.7</v>
      </c>
      <c r="F909" s="146">
        <f t="shared" si="17"/>
        <v>1.7833172474234882E-2</v>
      </c>
    </row>
    <row r="910" spans="4:6" ht="15.6" x14ac:dyDescent="0.3">
      <c r="D910" s="145">
        <v>44875</v>
      </c>
      <c r="E910" s="187">
        <v>18028.2</v>
      </c>
      <c r="F910" s="146">
        <f t="shared" si="17"/>
        <v>-7.0936828771271943E-3</v>
      </c>
    </row>
    <row r="911" spans="4:6" ht="15.6" x14ac:dyDescent="0.3">
      <c r="D911" s="145">
        <v>44874</v>
      </c>
      <c r="E911" s="187">
        <v>18157</v>
      </c>
      <c r="F911" s="146">
        <f t="shared" si="17"/>
        <v>-2.5160964247258333E-3</v>
      </c>
    </row>
    <row r="912" spans="4:6" ht="15.6" x14ac:dyDescent="0.3">
      <c r="D912" s="145">
        <v>44872</v>
      </c>
      <c r="E912" s="187">
        <v>18202.8</v>
      </c>
      <c r="F912" s="146">
        <f t="shared" si="17"/>
        <v>4.7275647659812403E-3</v>
      </c>
    </row>
    <row r="913" spans="4:6" ht="15.6" x14ac:dyDescent="0.3">
      <c r="D913" s="145">
        <v>44869</v>
      </c>
      <c r="E913" s="187">
        <v>18117.150000000001</v>
      </c>
      <c r="F913" s="146">
        <f t="shared" si="17"/>
        <v>3.5701030870729511E-3</v>
      </c>
    </row>
    <row r="914" spans="4:6" ht="15.6" x14ac:dyDescent="0.3">
      <c r="D914" s="145">
        <v>44868</v>
      </c>
      <c r="E914" s="187">
        <v>18052.7</v>
      </c>
      <c r="F914" s="146">
        <f t="shared" si="17"/>
        <v>-1.6673256704555772E-3</v>
      </c>
    </row>
    <row r="915" spans="4:6" ht="15.6" x14ac:dyDescent="0.3">
      <c r="D915" s="145">
        <v>44867</v>
      </c>
      <c r="E915" s="187">
        <v>18082.849999999999</v>
      </c>
      <c r="F915" s="146">
        <f t="shared" si="17"/>
        <v>-3.4471546507656159E-3</v>
      </c>
    </row>
    <row r="916" spans="4:6" ht="15.6" x14ac:dyDescent="0.3">
      <c r="D916" s="145">
        <v>44866</v>
      </c>
      <c r="E916" s="187">
        <v>18145.400000000001</v>
      </c>
      <c r="F916" s="146">
        <f t="shared" si="17"/>
        <v>7.3949878415739967E-3</v>
      </c>
    </row>
    <row r="917" spans="4:6" ht="15.6" x14ac:dyDescent="0.3">
      <c r="D917" s="145">
        <v>44865</v>
      </c>
      <c r="E917" s="187">
        <v>18012.2</v>
      </c>
      <c r="F917" s="146">
        <f t="shared" si="17"/>
        <v>1.2672318798210069E-2</v>
      </c>
    </row>
    <row r="918" spans="4:6" ht="15.6" x14ac:dyDescent="0.3">
      <c r="D918" s="145">
        <v>44862</v>
      </c>
      <c r="E918" s="187">
        <v>17786.8</v>
      </c>
      <c r="F918" s="146">
        <f t="shared" si="17"/>
        <v>2.8105170280121605E-3</v>
      </c>
    </row>
    <row r="919" spans="4:6" ht="15.6" x14ac:dyDescent="0.3">
      <c r="D919" s="145">
        <v>44861</v>
      </c>
      <c r="E919" s="187">
        <v>17736.95</v>
      </c>
      <c r="F919" s="146">
        <f t="shared" si="17"/>
        <v>4.5649298977423758E-3</v>
      </c>
    </row>
    <row r="920" spans="4:6" ht="15.6" x14ac:dyDescent="0.3">
      <c r="D920" s="145">
        <v>44859</v>
      </c>
      <c r="E920" s="187">
        <v>17656.349999999999</v>
      </c>
      <c r="F920" s="146">
        <f t="shared" si="17"/>
        <v>-4.1960999957701972E-3</v>
      </c>
    </row>
    <row r="921" spans="4:6" ht="15.6" x14ac:dyDescent="0.3">
      <c r="D921" s="145">
        <v>44858</v>
      </c>
      <c r="E921" s="187">
        <v>17730.75</v>
      </c>
      <c r="F921" s="146">
        <f t="shared" si="17"/>
        <v>8.7874012164108617E-3</v>
      </c>
    </row>
    <row r="922" spans="4:6" ht="15.6" x14ac:dyDescent="0.3">
      <c r="D922" s="145">
        <v>44855</v>
      </c>
      <c r="E922" s="187">
        <v>17576.3</v>
      </c>
      <c r="F922" s="146">
        <f t="shared" si="17"/>
        <v>7.0314479373934091E-4</v>
      </c>
    </row>
    <row r="923" spans="4:6" ht="15.6" x14ac:dyDescent="0.3">
      <c r="D923" s="145">
        <v>44854</v>
      </c>
      <c r="E923" s="187">
        <v>17563.95</v>
      </c>
      <c r="F923" s="146">
        <f t="shared" ref="F923:F986" si="18">E923/E924-1</f>
        <v>2.9522191608730708E-3</v>
      </c>
    </row>
    <row r="924" spans="4:6" ht="15.6" x14ac:dyDescent="0.3">
      <c r="D924" s="145">
        <v>44853</v>
      </c>
      <c r="E924" s="187">
        <v>17512.25</v>
      </c>
      <c r="F924" s="146">
        <f t="shared" si="18"/>
        <v>1.4467931800570266E-3</v>
      </c>
    </row>
    <row r="925" spans="4:6" ht="15.6" x14ac:dyDescent="0.3">
      <c r="D925" s="145">
        <v>44852</v>
      </c>
      <c r="E925" s="187">
        <v>17486.95</v>
      </c>
      <c r="F925" s="146">
        <f t="shared" si="18"/>
        <v>1.0117376587067906E-2</v>
      </c>
    </row>
    <row r="926" spans="4:6" ht="15.6" x14ac:dyDescent="0.3">
      <c r="D926" s="145">
        <v>44851</v>
      </c>
      <c r="E926" s="187">
        <v>17311.8</v>
      </c>
      <c r="F926" s="146">
        <f t="shared" si="18"/>
        <v>7.337495708641395E-3</v>
      </c>
    </row>
    <row r="927" spans="4:6" ht="15.6" x14ac:dyDescent="0.3">
      <c r="D927" s="145">
        <v>44848</v>
      </c>
      <c r="E927" s="187">
        <v>17185.7</v>
      </c>
      <c r="F927" s="146">
        <f t="shared" si="18"/>
        <v>1.0070910731235783E-2</v>
      </c>
    </row>
    <row r="928" spans="4:6" ht="15.6" x14ac:dyDescent="0.3">
      <c r="D928" s="145">
        <v>44847</v>
      </c>
      <c r="E928" s="187">
        <v>17014.349999999999</v>
      </c>
      <c r="F928" s="146">
        <f t="shared" si="18"/>
        <v>-6.380083627274602E-3</v>
      </c>
    </row>
    <row r="929" spans="4:6" ht="15.6" x14ac:dyDescent="0.3">
      <c r="D929" s="145">
        <v>44846</v>
      </c>
      <c r="E929" s="187">
        <v>17123.599999999999</v>
      </c>
      <c r="F929" s="146">
        <f t="shared" si="18"/>
        <v>8.2462147195374591E-3</v>
      </c>
    </row>
    <row r="930" spans="4:6" ht="15.6" x14ac:dyDescent="0.3">
      <c r="D930" s="145">
        <v>44845</v>
      </c>
      <c r="E930" s="187">
        <v>16983.55</v>
      </c>
      <c r="F930" s="146">
        <f t="shared" si="18"/>
        <v>-1.4932428513427354E-2</v>
      </c>
    </row>
    <row r="931" spans="4:6" ht="15.6" x14ac:dyDescent="0.3">
      <c r="D931" s="145">
        <v>44844</v>
      </c>
      <c r="E931" s="187">
        <v>17241</v>
      </c>
      <c r="F931" s="146">
        <f t="shared" si="18"/>
        <v>-4.2536233767359599E-3</v>
      </c>
    </row>
    <row r="932" spans="4:6" ht="15.6" x14ac:dyDescent="0.3">
      <c r="D932" s="145">
        <v>44841</v>
      </c>
      <c r="E932" s="187">
        <v>17314.650000000001</v>
      </c>
      <c r="F932" s="146">
        <f t="shared" si="18"/>
        <v>-9.8951061055385647E-4</v>
      </c>
    </row>
    <row r="933" spans="4:6" ht="15.6" x14ac:dyDescent="0.3">
      <c r="D933" s="145">
        <v>44840</v>
      </c>
      <c r="E933" s="187">
        <v>17331.8</v>
      </c>
      <c r="F933" s="146">
        <f t="shared" si="18"/>
        <v>3.3286442865991805E-3</v>
      </c>
    </row>
    <row r="934" spans="4:6" ht="15.6" x14ac:dyDescent="0.3">
      <c r="D934" s="145">
        <v>44838</v>
      </c>
      <c r="E934" s="187">
        <v>17274.3</v>
      </c>
      <c r="F934" s="146">
        <f t="shared" si="18"/>
        <v>2.2913601009039386E-2</v>
      </c>
    </row>
    <row r="935" spans="4:6" ht="15.6" x14ac:dyDescent="0.3">
      <c r="D935" s="145">
        <v>44837</v>
      </c>
      <c r="E935" s="187">
        <v>16887.349999999999</v>
      </c>
      <c r="F935" s="146">
        <f t="shared" si="18"/>
        <v>-1.2109264172080247E-2</v>
      </c>
    </row>
    <row r="936" spans="4:6" ht="15.6" x14ac:dyDescent="0.3">
      <c r="D936" s="145">
        <v>44834</v>
      </c>
      <c r="E936" s="187">
        <v>17094.349999999999</v>
      </c>
      <c r="F936" s="146">
        <f t="shared" si="18"/>
        <v>1.6425755584756896E-2</v>
      </c>
    </row>
    <row r="937" spans="4:6" ht="15.6" x14ac:dyDescent="0.3">
      <c r="D937" s="145">
        <v>44833</v>
      </c>
      <c r="E937" s="187">
        <v>16818.099999999999</v>
      </c>
      <c r="F937" s="146">
        <f t="shared" si="18"/>
        <v>-2.4023347134399797E-3</v>
      </c>
    </row>
    <row r="938" spans="4:6" ht="15.6" x14ac:dyDescent="0.3">
      <c r="D938" s="145">
        <v>44832</v>
      </c>
      <c r="E938" s="187">
        <v>16858.599999999999</v>
      </c>
      <c r="F938" s="146">
        <f t="shared" si="18"/>
        <v>-8.7491327304586308E-3</v>
      </c>
    </row>
    <row r="939" spans="4:6" ht="15.6" x14ac:dyDescent="0.3">
      <c r="D939" s="145">
        <v>44831</v>
      </c>
      <c r="E939" s="187">
        <v>17007.400000000001</v>
      </c>
      <c r="F939" s="146">
        <f t="shared" si="18"/>
        <v>-5.230279202880217E-4</v>
      </c>
    </row>
    <row r="940" spans="4:6" ht="15.6" x14ac:dyDescent="0.3">
      <c r="D940" s="145">
        <v>44830</v>
      </c>
      <c r="E940" s="187">
        <v>17016.3</v>
      </c>
      <c r="F940" s="146">
        <f t="shared" si="18"/>
        <v>-1.7951388989083661E-2</v>
      </c>
    </row>
    <row r="941" spans="4:6" ht="15.6" x14ac:dyDescent="0.3">
      <c r="D941" s="145">
        <v>44827</v>
      </c>
      <c r="E941" s="187">
        <v>17327.349999999999</v>
      </c>
      <c r="F941" s="146">
        <f t="shared" si="18"/>
        <v>-1.7155611521401326E-2</v>
      </c>
    </row>
    <row r="942" spans="4:6" ht="15.6" x14ac:dyDescent="0.3">
      <c r="D942" s="145">
        <v>44826</v>
      </c>
      <c r="E942" s="187">
        <v>17629.8</v>
      </c>
      <c r="F942" s="146">
        <f t="shared" si="18"/>
        <v>-4.9976436857833706E-3</v>
      </c>
    </row>
    <row r="943" spans="4:6" ht="15.6" x14ac:dyDescent="0.3">
      <c r="D943" s="145">
        <v>44825</v>
      </c>
      <c r="E943" s="187">
        <v>17718.349999999999</v>
      </c>
      <c r="F943" s="146">
        <f t="shared" si="18"/>
        <v>-5.4949835122430901E-3</v>
      </c>
    </row>
    <row r="944" spans="4:6" ht="15.6" x14ac:dyDescent="0.3">
      <c r="D944" s="145">
        <v>44824</v>
      </c>
      <c r="E944" s="187">
        <v>17816.25</v>
      </c>
      <c r="F944" s="146">
        <f t="shared" si="18"/>
        <v>1.1008809885230342E-2</v>
      </c>
    </row>
    <row r="945" spans="4:6" ht="15.6" x14ac:dyDescent="0.3">
      <c r="D945" s="145">
        <v>44823</v>
      </c>
      <c r="E945" s="187">
        <v>17622.25</v>
      </c>
      <c r="F945" s="146">
        <f t="shared" si="18"/>
        <v>5.2136661941664109E-3</v>
      </c>
    </row>
    <row r="946" spans="4:6" ht="15.6" x14ac:dyDescent="0.3">
      <c r="D946" s="145">
        <v>44820</v>
      </c>
      <c r="E946" s="187">
        <v>17530.849999999999</v>
      </c>
      <c r="F946" s="146">
        <f t="shared" si="18"/>
        <v>-1.9384809871681674E-2</v>
      </c>
    </row>
    <row r="947" spans="4:6" ht="15.6" x14ac:dyDescent="0.3">
      <c r="D947" s="145">
        <v>44819</v>
      </c>
      <c r="E947" s="187">
        <v>17877.400000000001</v>
      </c>
      <c r="F947" s="146">
        <f t="shared" si="18"/>
        <v>-7.0179823647850137E-3</v>
      </c>
    </row>
    <row r="948" spans="4:6" ht="15.6" x14ac:dyDescent="0.3">
      <c r="D948" s="145">
        <v>44818</v>
      </c>
      <c r="E948" s="187">
        <v>18003.75</v>
      </c>
      <c r="F948" s="146">
        <f t="shared" si="18"/>
        <v>-3.6690545958644183E-3</v>
      </c>
    </row>
    <row r="949" spans="4:6" ht="15.6" x14ac:dyDescent="0.3">
      <c r="D949" s="145">
        <v>44817</v>
      </c>
      <c r="E949" s="187">
        <v>18070.05</v>
      </c>
      <c r="F949" s="146">
        <f t="shared" si="18"/>
        <v>7.4541364324403059E-3</v>
      </c>
    </row>
    <row r="950" spans="4:6" ht="15.6" x14ac:dyDescent="0.3">
      <c r="D950" s="145">
        <v>44816</v>
      </c>
      <c r="E950" s="187">
        <v>17936.349999999999</v>
      </c>
      <c r="F950" s="146">
        <f t="shared" si="18"/>
        <v>5.775695536733183E-3</v>
      </c>
    </row>
    <row r="951" spans="4:6" ht="15.6" x14ac:dyDescent="0.3">
      <c r="D951" s="145">
        <v>44813</v>
      </c>
      <c r="E951" s="187">
        <v>17833.349999999999</v>
      </c>
      <c r="F951" s="146">
        <f t="shared" si="18"/>
        <v>1.9439567385348688E-3</v>
      </c>
    </row>
    <row r="952" spans="4:6" ht="15.6" x14ac:dyDescent="0.3">
      <c r="D952" s="145">
        <v>44812</v>
      </c>
      <c r="E952" s="187">
        <v>17798.75</v>
      </c>
      <c r="F952" s="146">
        <f t="shared" si="18"/>
        <v>9.8925353487209211E-3</v>
      </c>
    </row>
    <row r="953" spans="4:6" ht="15.6" x14ac:dyDescent="0.3">
      <c r="D953" s="145">
        <v>44811</v>
      </c>
      <c r="E953" s="187">
        <v>17624.400000000001</v>
      </c>
      <c r="F953" s="146">
        <f t="shared" si="18"/>
        <v>-1.7671447019640407E-3</v>
      </c>
    </row>
    <row r="954" spans="4:6" ht="15.6" x14ac:dyDescent="0.3">
      <c r="D954" s="145">
        <v>44810</v>
      </c>
      <c r="E954" s="187">
        <v>17655.599999999999</v>
      </c>
      <c r="F954" s="146">
        <f t="shared" si="18"/>
        <v>-5.773868152022521E-4</v>
      </c>
    </row>
    <row r="955" spans="4:6" ht="15.6" x14ac:dyDescent="0.3">
      <c r="D955" s="145">
        <v>44809</v>
      </c>
      <c r="E955" s="187">
        <v>17665.8</v>
      </c>
      <c r="F955" s="146">
        <f t="shared" si="18"/>
        <v>7.2037606652430863E-3</v>
      </c>
    </row>
    <row r="956" spans="4:6" ht="15.6" x14ac:dyDescent="0.3">
      <c r="D956" s="145">
        <v>44806</v>
      </c>
      <c r="E956" s="187">
        <v>17539.45</v>
      </c>
      <c r="F956" s="146">
        <f t="shared" si="18"/>
        <v>-1.9096153407660577E-4</v>
      </c>
    </row>
    <row r="957" spans="4:6" ht="15.6" x14ac:dyDescent="0.3">
      <c r="D957" s="145">
        <v>44805</v>
      </c>
      <c r="E957" s="187">
        <v>17542.8</v>
      </c>
      <c r="F957" s="146">
        <f t="shared" si="18"/>
        <v>-1.2190795808393329E-2</v>
      </c>
    </row>
    <row r="958" spans="4:6" ht="15.6" x14ac:dyDescent="0.3">
      <c r="D958" s="145">
        <v>44803</v>
      </c>
      <c r="E958" s="187">
        <v>17759.3</v>
      </c>
      <c r="F958" s="146">
        <f t="shared" si="18"/>
        <v>2.5784241808131325E-2</v>
      </c>
    </row>
    <row r="959" spans="4:6" ht="15.6" x14ac:dyDescent="0.3">
      <c r="D959" s="145">
        <v>44802</v>
      </c>
      <c r="E959" s="187">
        <v>17312.900000000001</v>
      </c>
      <c r="F959" s="146">
        <f t="shared" si="18"/>
        <v>-1.400998923622776E-2</v>
      </c>
    </row>
    <row r="960" spans="4:6" ht="15.6" x14ac:dyDescent="0.3">
      <c r="D960" s="145">
        <v>44799</v>
      </c>
      <c r="E960" s="187">
        <v>17558.900000000001</v>
      </c>
      <c r="F960" s="146">
        <f t="shared" si="18"/>
        <v>2.0801885581069879E-3</v>
      </c>
    </row>
    <row r="961" spans="4:6" ht="15.6" x14ac:dyDescent="0.3">
      <c r="D961" s="145">
        <v>44798</v>
      </c>
      <c r="E961" s="187">
        <v>17522.45</v>
      </c>
      <c r="F961" s="146">
        <f t="shared" si="18"/>
        <v>-4.6861820113093255E-3</v>
      </c>
    </row>
    <row r="962" spans="4:6" ht="15.6" x14ac:dyDescent="0.3">
      <c r="D962" s="145">
        <v>44797</v>
      </c>
      <c r="E962" s="187">
        <v>17604.95</v>
      </c>
      <c r="F962" s="146">
        <f t="shared" si="18"/>
        <v>1.5616555255297815E-3</v>
      </c>
    </row>
    <row r="963" spans="4:6" ht="15.6" x14ac:dyDescent="0.3">
      <c r="D963" s="145">
        <v>44796</v>
      </c>
      <c r="E963" s="187">
        <v>17577.5</v>
      </c>
      <c r="F963" s="146">
        <f t="shared" si="18"/>
        <v>4.9626372872439983E-3</v>
      </c>
    </row>
    <row r="964" spans="4:6" ht="15.6" x14ac:dyDescent="0.3">
      <c r="D964" s="145">
        <v>44795</v>
      </c>
      <c r="E964" s="187">
        <v>17490.7</v>
      </c>
      <c r="F964" s="146">
        <f t="shared" si="18"/>
        <v>-1.5077329384039717E-2</v>
      </c>
    </row>
    <row r="965" spans="4:6" ht="15.6" x14ac:dyDescent="0.3">
      <c r="D965" s="145">
        <v>44792</v>
      </c>
      <c r="E965" s="187">
        <v>17758.45</v>
      </c>
      <c r="F965" s="146">
        <f t="shared" si="18"/>
        <v>-1.1029432239022086E-2</v>
      </c>
    </row>
    <row r="966" spans="4:6" ht="15.6" x14ac:dyDescent="0.3">
      <c r="D966" s="145">
        <v>44791</v>
      </c>
      <c r="E966" s="187">
        <v>17956.5</v>
      </c>
      <c r="F966" s="146">
        <f t="shared" si="18"/>
        <v>6.826699360520383E-4</v>
      </c>
    </row>
    <row r="967" spans="4:6" ht="15.6" x14ac:dyDescent="0.3">
      <c r="D967" s="145">
        <v>44790</v>
      </c>
      <c r="E967" s="187">
        <v>17944.25</v>
      </c>
      <c r="F967" s="146">
        <f t="shared" si="18"/>
        <v>6.6759231988331447E-3</v>
      </c>
    </row>
    <row r="968" spans="4:6" ht="15.6" x14ac:dyDescent="0.3">
      <c r="D968" s="145">
        <v>44789</v>
      </c>
      <c r="E968" s="187">
        <v>17825.25</v>
      </c>
      <c r="F968" s="146">
        <f t="shared" si="18"/>
        <v>7.1815415735541066E-3</v>
      </c>
    </row>
    <row r="969" spans="4:6" ht="15.6" x14ac:dyDescent="0.3">
      <c r="D969" s="145">
        <v>44785</v>
      </c>
      <c r="E969" s="187">
        <v>17698.150000000001</v>
      </c>
      <c r="F969" s="146">
        <f t="shared" si="18"/>
        <v>2.2169998301151406E-3</v>
      </c>
    </row>
    <row r="970" spans="4:6" ht="15.6" x14ac:dyDescent="0.3">
      <c r="D970" s="145">
        <v>44784</v>
      </c>
      <c r="E970" s="187">
        <v>17659</v>
      </c>
      <c r="F970" s="146">
        <f t="shared" si="18"/>
        <v>7.0859293688247948E-3</v>
      </c>
    </row>
    <row r="971" spans="4:6" ht="15.6" x14ac:dyDescent="0.3">
      <c r="D971" s="145">
        <v>44783</v>
      </c>
      <c r="E971" s="187">
        <v>17534.75</v>
      </c>
      <c r="F971" s="146">
        <f t="shared" si="18"/>
        <v>5.5063879806693805E-4</v>
      </c>
    </row>
    <row r="972" spans="4:6" ht="15.6" x14ac:dyDescent="0.3">
      <c r="D972" s="145">
        <v>44781</v>
      </c>
      <c r="E972" s="187">
        <v>17525.099999999999</v>
      </c>
      <c r="F972" s="146">
        <f t="shared" si="18"/>
        <v>7.3343871245867831E-3</v>
      </c>
    </row>
    <row r="973" spans="4:6" ht="15.6" x14ac:dyDescent="0.3">
      <c r="D973" s="145">
        <v>44778</v>
      </c>
      <c r="E973" s="187">
        <v>17397.5</v>
      </c>
      <c r="F973" s="146">
        <f t="shared" si="18"/>
        <v>8.9172707398454953E-4</v>
      </c>
    </row>
    <row r="974" spans="4:6" ht="15.6" x14ac:dyDescent="0.3">
      <c r="D974" s="145">
        <v>44777</v>
      </c>
      <c r="E974" s="187">
        <v>17382</v>
      </c>
      <c r="F974" s="146">
        <f t="shared" si="18"/>
        <v>-3.5368915036970705E-4</v>
      </c>
    </row>
    <row r="975" spans="4:6" ht="15.6" x14ac:dyDescent="0.3">
      <c r="D975" s="145">
        <v>44776</v>
      </c>
      <c r="E975" s="187">
        <v>17388.150000000001</v>
      </c>
      <c r="F975" s="146">
        <f t="shared" si="18"/>
        <v>2.4617406870390823E-3</v>
      </c>
    </row>
    <row r="976" spans="4:6" ht="15.6" x14ac:dyDescent="0.3">
      <c r="D976" s="145">
        <v>44775</v>
      </c>
      <c r="E976" s="187">
        <v>17345.45</v>
      </c>
      <c r="F976" s="146">
        <f t="shared" si="18"/>
        <v>3.1141778714594004E-4</v>
      </c>
    </row>
    <row r="977" spans="4:6" ht="15.6" x14ac:dyDescent="0.3">
      <c r="D977" s="145">
        <v>44774</v>
      </c>
      <c r="E977" s="187">
        <v>17340.05</v>
      </c>
      <c r="F977" s="146">
        <f t="shared" si="18"/>
        <v>1.0595486136406596E-2</v>
      </c>
    </row>
    <row r="978" spans="4:6" ht="15.6" x14ac:dyDescent="0.3">
      <c r="D978" s="145">
        <v>44771</v>
      </c>
      <c r="E978" s="187">
        <v>17158.25</v>
      </c>
      <c r="F978" s="146">
        <f t="shared" si="18"/>
        <v>1.3505930441357172E-2</v>
      </c>
    </row>
    <row r="979" spans="4:6" ht="15.6" x14ac:dyDescent="0.3">
      <c r="D979" s="145">
        <v>44770</v>
      </c>
      <c r="E979" s="187">
        <v>16929.599999999999</v>
      </c>
      <c r="F979" s="146">
        <f t="shared" si="18"/>
        <v>1.7293802353110843E-2</v>
      </c>
    </row>
    <row r="980" spans="4:6" ht="15.6" x14ac:dyDescent="0.3">
      <c r="D980" s="145">
        <v>44769</v>
      </c>
      <c r="E980" s="187">
        <v>16641.8</v>
      </c>
      <c r="F980" s="146">
        <f t="shared" si="18"/>
        <v>9.5821061220529025E-3</v>
      </c>
    </row>
    <row r="981" spans="4:6" ht="15.6" x14ac:dyDescent="0.3">
      <c r="D981" s="145">
        <v>44768</v>
      </c>
      <c r="E981" s="187">
        <v>16483.849999999999</v>
      </c>
      <c r="F981" s="146">
        <f t="shared" si="18"/>
        <v>-8.8479345800013265E-3</v>
      </c>
    </row>
    <row r="982" spans="4:6" ht="15.6" x14ac:dyDescent="0.3">
      <c r="D982" s="145">
        <v>44767</v>
      </c>
      <c r="E982" s="187">
        <v>16631</v>
      </c>
      <c r="F982" s="146">
        <f t="shared" si="18"/>
        <v>-5.2902457915781076E-3</v>
      </c>
    </row>
    <row r="983" spans="4:6" ht="15.6" x14ac:dyDescent="0.3">
      <c r="D983" s="145">
        <v>44764</v>
      </c>
      <c r="E983" s="187">
        <v>16719.45</v>
      </c>
      <c r="F983" s="146">
        <f t="shared" si="18"/>
        <v>6.8773430089881238E-3</v>
      </c>
    </row>
    <row r="984" spans="4:6" ht="15.6" x14ac:dyDescent="0.3">
      <c r="D984" s="145">
        <v>44763</v>
      </c>
      <c r="E984" s="187">
        <v>16605.25</v>
      </c>
      <c r="F984" s="146">
        <f t="shared" si="18"/>
        <v>5.1086959811390553E-3</v>
      </c>
    </row>
    <row r="985" spans="4:6" ht="15.6" x14ac:dyDescent="0.3">
      <c r="D985" s="145">
        <v>44762</v>
      </c>
      <c r="E985" s="187">
        <v>16520.849999999999</v>
      </c>
      <c r="F985" s="146">
        <f t="shared" si="18"/>
        <v>1.1033900327712232E-2</v>
      </c>
    </row>
    <row r="986" spans="4:6" ht="15.6" x14ac:dyDescent="0.3">
      <c r="D986" s="145">
        <v>44761</v>
      </c>
      <c r="E986" s="187">
        <v>16340.55</v>
      </c>
      <c r="F986" s="146">
        <f t="shared" si="18"/>
        <v>3.8117762693121726E-3</v>
      </c>
    </row>
    <row r="987" spans="4:6" ht="15.6" x14ac:dyDescent="0.3">
      <c r="D987" s="145">
        <v>44760</v>
      </c>
      <c r="E987" s="187">
        <v>16278.5</v>
      </c>
      <c r="F987" s="146">
        <f t="shared" ref="F987:F1050" si="19">E987/E988-1</f>
        <v>1.4287316501756964E-2</v>
      </c>
    </row>
    <row r="988" spans="4:6" ht="15.6" x14ac:dyDescent="0.3">
      <c r="D988" s="145">
        <v>44757</v>
      </c>
      <c r="E988" s="187">
        <v>16049.2</v>
      </c>
      <c r="F988" s="146">
        <f t="shared" si="19"/>
        <v>6.9359701103921534E-3</v>
      </c>
    </row>
    <row r="989" spans="4:6" ht="15.6" x14ac:dyDescent="0.3">
      <c r="D989" s="145">
        <v>44756</v>
      </c>
      <c r="E989" s="187">
        <v>15938.65</v>
      </c>
      <c r="F989" s="146">
        <f t="shared" si="19"/>
        <v>-1.7536552752143164E-3</v>
      </c>
    </row>
    <row r="990" spans="4:6" ht="15.6" x14ac:dyDescent="0.3">
      <c r="D990" s="145">
        <v>44755</v>
      </c>
      <c r="E990" s="187">
        <v>15966.65</v>
      </c>
      <c r="F990" s="146">
        <f t="shared" si="19"/>
        <v>-5.7073289202468347E-3</v>
      </c>
    </row>
    <row r="991" spans="4:6" ht="15.6" x14ac:dyDescent="0.3">
      <c r="D991" s="145">
        <v>44754</v>
      </c>
      <c r="E991" s="187">
        <v>16058.3</v>
      </c>
      <c r="F991" s="146">
        <f t="shared" si="19"/>
        <v>-9.7249629995067588E-3</v>
      </c>
    </row>
    <row r="992" spans="4:6" ht="15.6" x14ac:dyDescent="0.3">
      <c r="D992" s="145">
        <v>44753</v>
      </c>
      <c r="E992" s="187">
        <v>16216</v>
      </c>
      <c r="F992" s="146">
        <f t="shared" si="19"/>
        <v>-2.8359000283595392E-4</v>
      </c>
    </row>
    <row r="993" spans="4:6" ht="15.6" x14ac:dyDescent="0.3">
      <c r="D993" s="145">
        <v>44750</v>
      </c>
      <c r="E993" s="187">
        <v>16220.6</v>
      </c>
      <c r="F993" s="146">
        <f t="shared" si="19"/>
        <v>5.4360964240776077E-3</v>
      </c>
    </row>
    <row r="994" spans="4:6" ht="15.6" x14ac:dyDescent="0.3">
      <c r="D994" s="145">
        <v>44749</v>
      </c>
      <c r="E994" s="187">
        <v>16132.9</v>
      </c>
      <c r="F994" s="146">
        <f t="shared" si="19"/>
        <v>8.9494552777396041E-3</v>
      </c>
    </row>
    <row r="995" spans="4:6" ht="15.6" x14ac:dyDescent="0.3">
      <c r="D995" s="145">
        <v>44748</v>
      </c>
      <c r="E995" s="187">
        <v>15989.8</v>
      </c>
      <c r="F995" s="146">
        <f t="shared" si="19"/>
        <v>1.1318177074603808E-2</v>
      </c>
    </row>
    <row r="996" spans="4:6" ht="15.6" x14ac:dyDescent="0.3">
      <c r="D996" s="145">
        <v>44747</v>
      </c>
      <c r="E996" s="187">
        <v>15810.85</v>
      </c>
      <c r="F996" s="146">
        <f t="shared" si="19"/>
        <v>-1.5471713602793757E-3</v>
      </c>
    </row>
    <row r="997" spans="4:6" ht="15.6" x14ac:dyDescent="0.3">
      <c r="D997" s="145">
        <v>44746</v>
      </c>
      <c r="E997" s="187">
        <v>15835.35</v>
      </c>
      <c r="F997" s="146">
        <f t="shared" si="19"/>
        <v>5.2882005834162804E-3</v>
      </c>
    </row>
    <row r="998" spans="4:6" ht="15.6" x14ac:dyDescent="0.3">
      <c r="D998" s="145">
        <v>44743</v>
      </c>
      <c r="E998" s="187">
        <v>15752.05</v>
      </c>
      <c r="F998" s="146">
        <f t="shared" si="19"/>
        <v>-1.7870439314966458E-3</v>
      </c>
    </row>
    <row r="999" spans="4:6" ht="15.6" x14ac:dyDescent="0.3">
      <c r="D999" s="145">
        <v>44742</v>
      </c>
      <c r="E999" s="187">
        <v>15780.25</v>
      </c>
      <c r="F999" s="146">
        <f t="shared" si="19"/>
        <v>-1.193105936414085E-3</v>
      </c>
    </row>
    <row r="1000" spans="4:6" ht="15.6" x14ac:dyDescent="0.3">
      <c r="D1000" s="145">
        <v>44741</v>
      </c>
      <c r="E1000" s="187">
        <v>15799.1</v>
      </c>
      <c r="F1000" s="146">
        <f t="shared" si="19"/>
        <v>-3.2239340828507101E-3</v>
      </c>
    </row>
    <row r="1001" spans="4:6" ht="15.6" x14ac:dyDescent="0.3">
      <c r="D1001" s="145">
        <v>44740</v>
      </c>
      <c r="E1001" s="187">
        <v>15850.2</v>
      </c>
      <c r="F1001" s="146">
        <f t="shared" si="19"/>
        <v>1.1464087089165798E-3</v>
      </c>
    </row>
    <row r="1002" spans="4:6" ht="15.6" x14ac:dyDescent="0.3">
      <c r="D1002" s="145">
        <v>44739</v>
      </c>
      <c r="E1002" s="187">
        <v>15832.05</v>
      </c>
      <c r="F1002" s="146">
        <f t="shared" si="19"/>
        <v>8.4590028186060096E-3</v>
      </c>
    </row>
    <row r="1003" spans="4:6" ht="15.6" x14ac:dyDescent="0.3">
      <c r="D1003" s="145">
        <v>44736</v>
      </c>
      <c r="E1003" s="187">
        <v>15699.25</v>
      </c>
      <c r="F1003" s="146">
        <f t="shared" si="19"/>
        <v>9.1664979285386305E-3</v>
      </c>
    </row>
    <row r="1004" spans="4:6" ht="15.6" x14ac:dyDescent="0.3">
      <c r="D1004" s="145">
        <v>44735</v>
      </c>
      <c r="E1004" s="187">
        <v>15556.65</v>
      </c>
      <c r="F1004" s="146">
        <f t="shared" si="19"/>
        <v>9.300409386698627E-3</v>
      </c>
    </row>
    <row r="1005" spans="4:6" ht="15.6" x14ac:dyDescent="0.3">
      <c r="D1005" s="145">
        <v>44734</v>
      </c>
      <c r="E1005" s="187">
        <v>15413.3</v>
      </c>
      <c r="F1005" s="146">
        <f t="shared" si="19"/>
        <v>-1.4419264905235707E-2</v>
      </c>
    </row>
    <row r="1006" spans="4:6" ht="15.6" x14ac:dyDescent="0.3">
      <c r="D1006" s="145">
        <v>44733</v>
      </c>
      <c r="E1006" s="187">
        <v>15638.8</v>
      </c>
      <c r="F1006" s="146">
        <f t="shared" si="19"/>
        <v>1.8804376504464093E-2</v>
      </c>
    </row>
    <row r="1007" spans="4:6" ht="15.6" x14ac:dyDescent="0.3">
      <c r="D1007" s="145">
        <v>44732</v>
      </c>
      <c r="E1007" s="187">
        <v>15350.15</v>
      </c>
      <c r="F1007" s="146">
        <f t="shared" si="19"/>
        <v>3.7041880537482808E-3</v>
      </c>
    </row>
    <row r="1008" spans="4:6" ht="15.6" x14ac:dyDescent="0.3">
      <c r="D1008" s="145">
        <v>44729</v>
      </c>
      <c r="E1008" s="187">
        <v>15293.5</v>
      </c>
      <c r="F1008" s="146">
        <f t="shared" si="19"/>
        <v>-4.3683189458745275E-3</v>
      </c>
    </row>
    <row r="1009" spans="4:6" ht="15.6" x14ac:dyDescent="0.3">
      <c r="D1009" s="145">
        <v>44728</v>
      </c>
      <c r="E1009" s="187">
        <v>15360.6</v>
      </c>
      <c r="F1009" s="146">
        <f t="shared" si="19"/>
        <v>-2.1128398594201458E-2</v>
      </c>
    </row>
    <row r="1010" spans="4:6" ht="15.6" x14ac:dyDescent="0.3">
      <c r="D1010" s="145">
        <v>44727</v>
      </c>
      <c r="E1010" s="187">
        <v>15692.15</v>
      </c>
      <c r="F1010" s="146">
        <f t="shared" si="19"/>
        <v>-2.5393939779178032E-3</v>
      </c>
    </row>
    <row r="1011" spans="4:6" ht="15.6" x14ac:dyDescent="0.3">
      <c r="D1011" s="145">
        <v>44726</v>
      </c>
      <c r="E1011" s="187">
        <v>15732.1</v>
      </c>
      <c r="F1011" s="146">
        <f t="shared" si="19"/>
        <v>-2.6815599959427727E-3</v>
      </c>
    </row>
    <row r="1012" spans="4:6" ht="15.6" x14ac:dyDescent="0.3">
      <c r="D1012" s="145">
        <v>44725</v>
      </c>
      <c r="E1012" s="187">
        <v>15774.4</v>
      </c>
      <c r="F1012" s="146">
        <f t="shared" si="19"/>
        <v>-2.6379784962164643E-2</v>
      </c>
    </row>
    <row r="1013" spans="4:6" ht="15.6" x14ac:dyDescent="0.3">
      <c r="D1013" s="145">
        <v>44722</v>
      </c>
      <c r="E1013" s="187">
        <v>16201.8</v>
      </c>
      <c r="F1013" s="146">
        <f t="shared" si="19"/>
        <v>-1.6767709869463077E-2</v>
      </c>
    </row>
    <row r="1014" spans="4:6" ht="15.6" x14ac:dyDescent="0.3">
      <c r="D1014" s="145">
        <v>44721</v>
      </c>
      <c r="E1014" s="187">
        <v>16478.099999999999</v>
      </c>
      <c r="F1014" s="146">
        <f t="shared" si="19"/>
        <v>7.4497516239968586E-3</v>
      </c>
    </row>
    <row r="1015" spans="4:6" ht="15.6" x14ac:dyDescent="0.3">
      <c r="D1015" s="145">
        <v>44720</v>
      </c>
      <c r="E1015" s="187">
        <v>16356.25</v>
      </c>
      <c r="F1015" s="146">
        <f t="shared" si="19"/>
        <v>-3.6609843235554385E-3</v>
      </c>
    </row>
    <row r="1016" spans="4:6" ht="15.6" x14ac:dyDescent="0.3">
      <c r="D1016" s="145">
        <v>44719</v>
      </c>
      <c r="E1016" s="187">
        <v>16416.349999999999</v>
      </c>
      <c r="F1016" s="146">
        <f t="shared" si="19"/>
        <v>-9.2458757178076612E-3</v>
      </c>
    </row>
    <row r="1017" spans="4:6" ht="15.6" x14ac:dyDescent="0.3">
      <c r="D1017" s="145">
        <v>44718</v>
      </c>
      <c r="E1017" s="187">
        <v>16569.55</v>
      </c>
      <c r="F1017" s="146">
        <f t="shared" si="19"/>
        <v>-8.8939539202737006E-4</v>
      </c>
    </row>
    <row r="1018" spans="4:6" ht="15.6" x14ac:dyDescent="0.3">
      <c r="D1018" s="145">
        <v>44715</v>
      </c>
      <c r="E1018" s="187">
        <v>16584.3</v>
      </c>
      <c r="F1018" s="146">
        <f t="shared" si="19"/>
        <v>-2.6280971854703017E-3</v>
      </c>
    </row>
    <row r="1019" spans="4:6" ht="15.6" x14ac:dyDescent="0.3">
      <c r="D1019" s="145">
        <v>44714</v>
      </c>
      <c r="E1019" s="187">
        <v>16628</v>
      </c>
      <c r="F1019" s="146">
        <f t="shared" si="19"/>
        <v>6.3700049931154634E-3</v>
      </c>
    </row>
    <row r="1020" spans="4:6" ht="15.6" x14ac:dyDescent="0.3">
      <c r="D1020" s="145">
        <v>44713</v>
      </c>
      <c r="E1020" s="187">
        <v>16522.75</v>
      </c>
      <c r="F1020" s="146">
        <f t="shared" si="19"/>
        <v>-3.7263597746094446E-3</v>
      </c>
    </row>
    <row r="1021" spans="4:6" ht="15.6" x14ac:dyDescent="0.3">
      <c r="D1021" s="145">
        <v>44712</v>
      </c>
      <c r="E1021" s="187">
        <v>16584.55</v>
      </c>
      <c r="F1021" s="146">
        <f t="shared" si="19"/>
        <v>-4.6124575365816822E-3</v>
      </c>
    </row>
    <row r="1022" spans="4:6" ht="15.6" x14ac:dyDescent="0.3">
      <c r="D1022" s="145">
        <v>44711</v>
      </c>
      <c r="E1022" s="187">
        <v>16661.400000000001</v>
      </c>
      <c r="F1022" s="146">
        <f t="shared" si="19"/>
        <v>1.8893193374693196E-2</v>
      </c>
    </row>
    <row r="1023" spans="4:6" ht="15.6" x14ac:dyDescent="0.3">
      <c r="D1023" s="145">
        <v>44708</v>
      </c>
      <c r="E1023" s="187">
        <v>16352.45</v>
      </c>
      <c r="F1023" s="146">
        <f t="shared" si="19"/>
        <v>1.1273859549849607E-2</v>
      </c>
    </row>
    <row r="1024" spans="4:6" ht="15.6" x14ac:dyDescent="0.3">
      <c r="D1024" s="145">
        <v>44707</v>
      </c>
      <c r="E1024" s="187">
        <v>16170.15</v>
      </c>
      <c r="F1024" s="146">
        <f t="shared" si="19"/>
        <v>9.0073506470815801E-3</v>
      </c>
    </row>
    <row r="1025" spans="4:6" ht="15.6" x14ac:dyDescent="0.3">
      <c r="D1025" s="145">
        <v>44706</v>
      </c>
      <c r="E1025" s="187">
        <v>16025.8</v>
      </c>
      <c r="F1025" s="146">
        <f t="shared" si="19"/>
        <v>-6.1611829967473941E-3</v>
      </c>
    </row>
    <row r="1026" spans="4:6" ht="15.6" x14ac:dyDescent="0.3">
      <c r="D1026" s="145">
        <v>44705</v>
      </c>
      <c r="E1026" s="187">
        <v>16125.15</v>
      </c>
      <c r="F1026" s="146">
        <f t="shared" si="19"/>
        <v>-5.5227663786564518E-3</v>
      </c>
    </row>
    <row r="1027" spans="4:6" ht="15.6" x14ac:dyDescent="0.3">
      <c r="D1027" s="145">
        <v>44704</v>
      </c>
      <c r="E1027" s="187">
        <v>16214.7</v>
      </c>
      <c r="F1027" s="146">
        <f t="shared" si="19"/>
        <v>-3.1630103005320098E-3</v>
      </c>
    </row>
    <row r="1028" spans="4:6" ht="15.6" x14ac:dyDescent="0.3">
      <c r="D1028" s="145">
        <v>44701</v>
      </c>
      <c r="E1028" s="187">
        <v>16266.15</v>
      </c>
      <c r="F1028" s="146">
        <f t="shared" si="19"/>
        <v>2.8891039508140759E-2</v>
      </c>
    </row>
    <row r="1029" spans="4:6" ht="15.6" x14ac:dyDescent="0.3">
      <c r="D1029" s="145">
        <v>44700</v>
      </c>
      <c r="E1029" s="187">
        <v>15809.4</v>
      </c>
      <c r="F1029" s="146">
        <f t="shared" si="19"/>
        <v>-2.6532761094314794E-2</v>
      </c>
    </row>
    <row r="1030" spans="4:6" ht="15.6" x14ac:dyDescent="0.3">
      <c r="D1030" s="145">
        <v>44699</v>
      </c>
      <c r="E1030" s="187">
        <v>16240.3</v>
      </c>
      <c r="F1030" s="146">
        <f t="shared" si="19"/>
        <v>-1.1685619922137125E-3</v>
      </c>
    </row>
    <row r="1031" spans="4:6" ht="15.6" x14ac:dyDescent="0.3">
      <c r="D1031" s="145">
        <v>44698</v>
      </c>
      <c r="E1031" s="187">
        <v>16259.3</v>
      </c>
      <c r="F1031" s="146">
        <f t="shared" si="19"/>
        <v>2.6321935577536149E-2</v>
      </c>
    </row>
    <row r="1032" spans="4:6" ht="15.6" x14ac:dyDescent="0.3">
      <c r="D1032" s="145">
        <v>44697</v>
      </c>
      <c r="E1032" s="187">
        <v>15842.3</v>
      </c>
      <c r="F1032" s="146">
        <f t="shared" si="19"/>
        <v>3.811267793044637E-3</v>
      </c>
    </row>
    <row r="1033" spans="4:6" ht="15.6" x14ac:dyDescent="0.3">
      <c r="D1033" s="145">
        <v>44694</v>
      </c>
      <c r="E1033" s="187">
        <v>15782.15</v>
      </c>
      <c r="F1033" s="146">
        <f t="shared" si="19"/>
        <v>-1.6352479757085758E-3</v>
      </c>
    </row>
    <row r="1034" spans="4:6" ht="15.6" x14ac:dyDescent="0.3">
      <c r="D1034" s="145">
        <v>44693</v>
      </c>
      <c r="E1034" s="187">
        <v>15808</v>
      </c>
      <c r="F1034" s="146">
        <f t="shared" si="19"/>
        <v>-2.2211775766835085E-2</v>
      </c>
    </row>
    <row r="1035" spans="4:6" ht="15.6" x14ac:dyDescent="0.3">
      <c r="D1035" s="145">
        <v>44692</v>
      </c>
      <c r="E1035" s="187">
        <v>16167.1</v>
      </c>
      <c r="F1035" s="146">
        <f t="shared" si="19"/>
        <v>-4.4919812439000451E-3</v>
      </c>
    </row>
    <row r="1036" spans="4:6" ht="15.6" x14ac:dyDescent="0.3">
      <c r="D1036" s="145">
        <v>44691</v>
      </c>
      <c r="E1036" s="187">
        <v>16240.05</v>
      </c>
      <c r="F1036" s="146">
        <f t="shared" si="19"/>
        <v>-3.7909807782553484E-3</v>
      </c>
    </row>
    <row r="1037" spans="4:6" ht="15.6" x14ac:dyDescent="0.3">
      <c r="D1037" s="145">
        <v>44690</v>
      </c>
      <c r="E1037" s="187">
        <v>16301.85</v>
      </c>
      <c r="F1037" s="146">
        <f t="shared" si="19"/>
        <v>-6.6661588849112885E-3</v>
      </c>
    </row>
    <row r="1038" spans="4:6" ht="15.6" x14ac:dyDescent="0.3">
      <c r="D1038" s="145">
        <v>44687</v>
      </c>
      <c r="E1038" s="187">
        <v>16411.25</v>
      </c>
      <c r="F1038" s="146">
        <f t="shared" si="19"/>
        <v>-1.6268398605737144E-2</v>
      </c>
    </row>
    <row r="1039" spans="4:6" ht="15.6" x14ac:dyDescent="0.3">
      <c r="D1039" s="145">
        <v>44686</v>
      </c>
      <c r="E1039" s="187">
        <v>16682.650000000001</v>
      </c>
      <c r="F1039" s="146">
        <f t="shared" si="19"/>
        <v>3.0280136230653731E-4</v>
      </c>
    </row>
    <row r="1040" spans="4:6" ht="15.6" x14ac:dyDescent="0.3">
      <c r="D1040" s="145">
        <v>44685</v>
      </c>
      <c r="E1040" s="187">
        <v>16677.599999999999</v>
      </c>
      <c r="F1040" s="146">
        <f t="shared" si="19"/>
        <v>-2.293618292704358E-2</v>
      </c>
    </row>
    <row r="1041" spans="4:6" ht="15.6" x14ac:dyDescent="0.3">
      <c r="D1041" s="145">
        <v>44683</v>
      </c>
      <c r="E1041" s="187">
        <v>17069.099999999999</v>
      </c>
      <c r="F1041" s="146">
        <f t="shared" si="19"/>
        <v>-1.9558486892305993E-3</v>
      </c>
    </row>
    <row r="1042" spans="4:6" ht="15.6" x14ac:dyDescent="0.3">
      <c r="D1042" s="145">
        <v>44680</v>
      </c>
      <c r="E1042" s="187">
        <v>17102.55</v>
      </c>
      <c r="F1042" s="146">
        <f t="shared" si="19"/>
        <v>-8.263240756043011E-3</v>
      </c>
    </row>
    <row r="1043" spans="4:6" ht="15.6" x14ac:dyDescent="0.3">
      <c r="D1043" s="145">
        <v>44679</v>
      </c>
      <c r="E1043" s="187">
        <v>17245.05</v>
      </c>
      <c r="F1043" s="146">
        <f t="shared" si="19"/>
        <v>1.2128486242839465E-2</v>
      </c>
    </row>
    <row r="1044" spans="4:6" ht="15.6" x14ac:dyDescent="0.3">
      <c r="D1044" s="145">
        <v>44678</v>
      </c>
      <c r="E1044" s="187">
        <v>17038.400000000001</v>
      </c>
      <c r="F1044" s="146">
        <f t="shared" si="19"/>
        <v>-9.4414213292404181E-3</v>
      </c>
    </row>
    <row r="1045" spans="4:6" ht="15.6" x14ac:dyDescent="0.3">
      <c r="D1045" s="145">
        <v>44677</v>
      </c>
      <c r="E1045" s="187">
        <v>17200.8</v>
      </c>
      <c r="F1045" s="146">
        <f t="shared" si="19"/>
        <v>1.4560028783852541E-2</v>
      </c>
    </row>
    <row r="1046" spans="4:6" ht="15.6" x14ac:dyDescent="0.3">
      <c r="D1046" s="145">
        <v>44676</v>
      </c>
      <c r="E1046" s="187">
        <v>16953.95</v>
      </c>
      <c r="F1046" s="146">
        <f t="shared" si="19"/>
        <v>-1.2695121986728397E-2</v>
      </c>
    </row>
    <row r="1047" spans="4:6" ht="15.6" x14ac:dyDescent="0.3">
      <c r="D1047" s="145">
        <v>44673</v>
      </c>
      <c r="E1047" s="187">
        <v>17171.95</v>
      </c>
      <c r="F1047" s="146">
        <f t="shared" si="19"/>
        <v>-1.2686429860975235E-2</v>
      </c>
    </row>
    <row r="1048" spans="4:6" ht="15.6" x14ac:dyDescent="0.3">
      <c r="D1048" s="145">
        <v>44672</v>
      </c>
      <c r="E1048" s="187">
        <v>17392.599999999999</v>
      </c>
      <c r="F1048" s="146">
        <f t="shared" si="19"/>
        <v>1.4941747317867238E-2</v>
      </c>
    </row>
    <row r="1049" spans="4:6" ht="15.6" x14ac:dyDescent="0.3">
      <c r="D1049" s="145">
        <v>44671</v>
      </c>
      <c r="E1049" s="187">
        <v>17136.55</v>
      </c>
      <c r="F1049" s="146">
        <f t="shared" si="19"/>
        <v>1.0490221804211775E-2</v>
      </c>
    </row>
    <row r="1050" spans="4:6" ht="15.6" x14ac:dyDescent="0.3">
      <c r="D1050" s="145">
        <v>44670</v>
      </c>
      <c r="E1050" s="187">
        <v>16958.650000000001</v>
      </c>
      <c r="F1050" s="146">
        <f t="shared" si="19"/>
        <v>-1.251917909122402E-2</v>
      </c>
    </row>
    <row r="1051" spans="4:6" ht="15.6" x14ac:dyDescent="0.3">
      <c r="D1051" s="145">
        <v>44669</v>
      </c>
      <c r="E1051" s="187">
        <v>17173.650000000001</v>
      </c>
      <c r="F1051" s="146">
        <f t="shared" ref="F1051:F1114" si="20">E1051/E1052-1</f>
        <v>-1.7281188396425895E-2</v>
      </c>
    </row>
    <row r="1052" spans="4:6" ht="15.6" x14ac:dyDescent="0.3">
      <c r="D1052" s="145">
        <v>44664</v>
      </c>
      <c r="E1052" s="187">
        <v>17475.650000000001</v>
      </c>
      <c r="F1052" s="146">
        <f t="shared" si="20"/>
        <v>-3.1174594844354253E-3</v>
      </c>
    </row>
    <row r="1053" spans="4:6" ht="15.6" x14ac:dyDescent="0.3">
      <c r="D1053" s="145">
        <v>44663</v>
      </c>
      <c r="E1053" s="187">
        <v>17530.3</v>
      </c>
      <c r="F1053" s="146">
        <f t="shared" si="20"/>
        <v>-8.1838986814674053E-3</v>
      </c>
    </row>
    <row r="1054" spans="4:6" ht="15.6" x14ac:dyDescent="0.3">
      <c r="D1054" s="145">
        <v>44662</v>
      </c>
      <c r="E1054" s="187">
        <v>17674.95</v>
      </c>
      <c r="F1054" s="146">
        <f t="shared" si="20"/>
        <v>-6.1514758762618582E-3</v>
      </c>
    </row>
    <row r="1055" spans="4:6" ht="15.6" x14ac:dyDescent="0.3">
      <c r="D1055" s="145">
        <v>44659</v>
      </c>
      <c r="E1055" s="187">
        <v>17784.349999999999</v>
      </c>
      <c r="F1055" s="146">
        <f t="shared" si="20"/>
        <v>8.208826188876639E-3</v>
      </c>
    </row>
    <row r="1056" spans="4:6" ht="15.6" x14ac:dyDescent="0.3">
      <c r="D1056" s="145">
        <v>44658</v>
      </c>
      <c r="E1056" s="187">
        <v>17639.55</v>
      </c>
      <c r="F1056" s="146">
        <f t="shared" si="20"/>
        <v>-9.4397632478178117E-3</v>
      </c>
    </row>
    <row r="1057" spans="4:6" ht="15.6" x14ac:dyDescent="0.3">
      <c r="D1057" s="145">
        <v>44657</v>
      </c>
      <c r="E1057" s="187">
        <v>17807.650000000001</v>
      </c>
      <c r="F1057" s="146">
        <f t="shared" si="20"/>
        <v>-8.3391805049728429E-3</v>
      </c>
    </row>
    <row r="1058" spans="4:6" ht="15.6" x14ac:dyDescent="0.3">
      <c r="D1058" s="145">
        <v>44656</v>
      </c>
      <c r="E1058" s="187">
        <v>17957.400000000001</v>
      </c>
      <c r="F1058" s="146">
        <f t="shared" si="20"/>
        <v>-5.3175579115291027E-3</v>
      </c>
    </row>
    <row r="1059" spans="4:6" ht="15.6" x14ac:dyDescent="0.3">
      <c r="D1059" s="145">
        <v>44655</v>
      </c>
      <c r="E1059" s="187">
        <v>18053.400000000001</v>
      </c>
      <c r="F1059" s="146">
        <f t="shared" si="20"/>
        <v>2.1671774063478866E-2</v>
      </c>
    </row>
    <row r="1060" spans="4:6" ht="15.6" x14ac:dyDescent="0.3">
      <c r="D1060" s="145">
        <v>44652</v>
      </c>
      <c r="E1060" s="187">
        <v>17670.45</v>
      </c>
      <c r="F1060" s="146">
        <f t="shared" si="20"/>
        <v>1.1778009991554539E-2</v>
      </c>
    </row>
    <row r="1061" spans="4:6" ht="15.6" x14ac:dyDescent="0.3">
      <c r="D1061" s="145">
        <v>44651</v>
      </c>
      <c r="E1061" s="187">
        <v>17464.75</v>
      </c>
      <c r="F1061" s="146">
        <f t="shared" si="20"/>
        <v>-1.9144771620018819E-3</v>
      </c>
    </row>
    <row r="1062" spans="4:6" ht="15.6" x14ac:dyDescent="0.3">
      <c r="D1062" s="145">
        <v>44650</v>
      </c>
      <c r="E1062" s="187">
        <v>17498.25</v>
      </c>
      <c r="F1062" s="146">
        <f t="shared" si="20"/>
        <v>9.9825111253484256E-3</v>
      </c>
    </row>
    <row r="1063" spans="4:6" ht="15.6" x14ac:dyDescent="0.3">
      <c r="D1063" s="145">
        <v>44649</v>
      </c>
      <c r="E1063" s="187">
        <v>17325.3</v>
      </c>
      <c r="F1063" s="146">
        <f t="shared" si="20"/>
        <v>5.9981419115084922E-3</v>
      </c>
    </row>
    <row r="1064" spans="4:6" ht="15.6" x14ac:dyDescent="0.3">
      <c r="D1064" s="145">
        <v>44648</v>
      </c>
      <c r="E1064" s="187">
        <v>17222</v>
      </c>
      <c r="F1064" s="146">
        <f t="shared" si="20"/>
        <v>4.0226199498629711E-3</v>
      </c>
    </row>
    <row r="1065" spans="4:6" ht="15.6" x14ac:dyDescent="0.3">
      <c r="D1065" s="145">
        <v>44645</v>
      </c>
      <c r="E1065" s="187">
        <v>17153</v>
      </c>
      <c r="F1065" s="146">
        <f t="shared" si="20"/>
        <v>-4.049875890900112E-3</v>
      </c>
    </row>
    <row r="1066" spans="4:6" ht="15.6" x14ac:dyDescent="0.3">
      <c r="D1066" s="145">
        <v>44644</v>
      </c>
      <c r="E1066" s="187">
        <v>17222.75</v>
      </c>
      <c r="F1066" s="146">
        <f t="shared" si="20"/>
        <v>-1.3278710863320331E-3</v>
      </c>
    </row>
    <row r="1067" spans="4:6" ht="15.6" x14ac:dyDescent="0.3">
      <c r="D1067" s="145">
        <v>44643</v>
      </c>
      <c r="E1067" s="187">
        <v>17245.650000000001</v>
      </c>
      <c r="F1067" s="146">
        <f t="shared" si="20"/>
        <v>-4.0339580144955756E-3</v>
      </c>
    </row>
    <row r="1068" spans="4:6" ht="15.6" x14ac:dyDescent="0.3">
      <c r="D1068" s="145">
        <v>44642</v>
      </c>
      <c r="E1068" s="187">
        <v>17315.5</v>
      </c>
      <c r="F1068" s="146">
        <f t="shared" si="20"/>
        <v>1.1561200168247909E-2</v>
      </c>
    </row>
    <row r="1069" spans="4:6" ht="15.6" x14ac:dyDescent="0.3">
      <c r="D1069" s="145">
        <v>44641</v>
      </c>
      <c r="E1069" s="187">
        <v>17117.599999999999</v>
      </c>
      <c r="F1069" s="146">
        <f t="shared" si="20"/>
        <v>-9.8021351242694177E-3</v>
      </c>
    </row>
    <row r="1070" spans="4:6" ht="15.6" x14ac:dyDescent="0.3">
      <c r="D1070" s="145">
        <v>44637</v>
      </c>
      <c r="E1070" s="187">
        <v>17287.05</v>
      </c>
      <c r="F1070" s="146">
        <f t="shared" si="20"/>
        <v>1.8361918900052121E-2</v>
      </c>
    </row>
    <row r="1071" spans="4:6" ht="15.6" x14ac:dyDescent="0.3">
      <c r="D1071" s="145">
        <v>44636</v>
      </c>
      <c r="E1071" s="187">
        <v>16975.349999999999</v>
      </c>
      <c r="F1071" s="146">
        <f t="shared" si="20"/>
        <v>1.8745123927264018E-2</v>
      </c>
    </row>
    <row r="1072" spans="4:6" ht="15.6" x14ac:dyDescent="0.3">
      <c r="D1072" s="145">
        <v>44635</v>
      </c>
      <c r="E1072" s="187">
        <v>16663</v>
      </c>
      <c r="F1072" s="146">
        <f t="shared" si="20"/>
        <v>-1.2346410768583338E-2</v>
      </c>
    </row>
    <row r="1073" spans="4:6" ht="15.6" x14ac:dyDescent="0.3">
      <c r="D1073" s="145">
        <v>44634</v>
      </c>
      <c r="E1073" s="187">
        <v>16871.3</v>
      </c>
      <c r="F1073" s="146">
        <f t="shared" si="20"/>
        <v>1.4482470408196946E-2</v>
      </c>
    </row>
    <row r="1074" spans="4:6" ht="15.6" x14ac:dyDescent="0.3">
      <c r="D1074" s="145">
        <v>44631</v>
      </c>
      <c r="E1074" s="187">
        <v>16630.45</v>
      </c>
      <c r="F1074" s="146">
        <f t="shared" si="20"/>
        <v>2.1422244183453287E-3</v>
      </c>
    </row>
    <row r="1075" spans="4:6" ht="15.6" x14ac:dyDescent="0.3">
      <c r="D1075" s="145">
        <v>44630</v>
      </c>
      <c r="E1075" s="187">
        <v>16594.900000000001</v>
      </c>
      <c r="F1075" s="146">
        <f t="shared" si="20"/>
        <v>1.5267339029142901E-2</v>
      </c>
    </row>
    <row r="1076" spans="4:6" ht="15.6" x14ac:dyDescent="0.3">
      <c r="D1076" s="145">
        <v>44629</v>
      </c>
      <c r="E1076" s="187">
        <v>16345.35</v>
      </c>
      <c r="F1076" s="146">
        <f t="shared" si="20"/>
        <v>2.0726326931423289E-2</v>
      </c>
    </row>
    <row r="1077" spans="4:6" ht="15.6" x14ac:dyDescent="0.3">
      <c r="D1077" s="145">
        <v>44628</v>
      </c>
      <c r="E1077" s="187">
        <v>16013.45</v>
      </c>
      <c r="F1077" s="146">
        <f t="shared" si="20"/>
        <v>9.4747890551372116E-3</v>
      </c>
    </row>
    <row r="1078" spans="4:6" ht="15.6" x14ac:dyDescent="0.3">
      <c r="D1078" s="145">
        <v>44627</v>
      </c>
      <c r="E1078" s="187">
        <v>15863.15</v>
      </c>
      <c r="F1078" s="146">
        <f t="shared" si="20"/>
        <v>-2.3526732264925077E-2</v>
      </c>
    </row>
    <row r="1079" spans="4:6" ht="15.6" x14ac:dyDescent="0.3">
      <c r="D1079" s="145">
        <v>44624</v>
      </c>
      <c r="E1079" s="187">
        <v>16245.35</v>
      </c>
      <c r="F1079" s="146">
        <f t="shared" si="20"/>
        <v>-1.5316961701534404E-2</v>
      </c>
    </row>
    <row r="1080" spans="4:6" ht="15.6" x14ac:dyDescent="0.3">
      <c r="D1080" s="145">
        <v>44623</v>
      </c>
      <c r="E1080" s="187">
        <v>16498.05</v>
      </c>
      <c r="F1080" s="146">
        <f t="shared" si="20"/>
        <v>-6.4976710155095763E-3</v>
      </c>
    </row>
    <row r="1081" spans="4:6" ht="15.6" x14ac:dyDescent="0.3">
      <c r="D1081" s="145">
        <v>44622</v>
      </c>
      <c r="E1081" s="187">
        <v>16605.95</v>
      </c>
      <c r="F1081" s="146">
        <f t="shared" si="20"/>
        <v>-1.1191563603451304E-2</v>
      </c>
    </row>
    <row r="1082" spans="4:6" ht="15.6" x14ac:dyDescent="0.3">
      <c r="D1082" s="145">
        <v>44620</v>
      </c>
      <c r="E1082" s="187">
        <v>16793.900000000001</v>
      </c>
      <c r="F1082" s="146">
        <f t="shared" si="20"/>
        <v>8.1340344811027254E-3</v>
      </c>
    </row>
    <row r="1083" spans="4:6" ht="15.6" x14ac:dyDescent="0.3">
      <c r="D1083" s="145">
        <v>44617</v>
      </c>
      <c r="E1083" s="187">
        <v>16658.400000000001</v>
      </c>
      <c r="F1083" s="146">
        <f t="shared" si="20"/>
        <v>2.5261648392566505E-2</v>
      </c>
    </row>
    <row r="1084" spans="4:6" ht="15.6" x14ac:dyDescent="0.3">
      <c r="D1084" s="145">
        <v>44616</v>
      </c>
      <c r="E1084" s="187">
        <v>16247.95</v>
      </c>
      <c r="F1084" s="146">
        <f t="shared" si="20"/>
        <v>-4.7781049917219764E-2</v>
      </c>
    </row>
    <row r="1085" spans="4:6" ht="15.6" x14ac:dyDescent="0.3">
      <c r="D1085" s="145">
        <v>44615</v>
      </c>
      <c r="E1085" s="187">
        <v>17063.25</v>
      </c>
      <c r="F1085" s="146">
        <f t="shared" si="20"/>
        <v>-1.693755046161427E-3</v>
      </c>
    </row>
    <row r="1086" spans="4:6" ht="15.6" x14ac:dyDescent="0.3">
      <c r="D1086" s="145">
        <v>44614</v>
      </c>
      <c r="E1086" s="187">
        <v>17092.2</v>
      </c>
      <c r="F1086" s="146">
        <f t="shared" si="20"/>
        <v>-6.651498112648313E-3</v>
      </c>
    </row>
    <row r="1087" spans="4:6" ht="15.6" x14ac:dyDescent="0.3">
      <c r="D1087" s="145">
        <v>44613</v>
      </c>
      <c r="E1087" s="187">
        <v>17206.650000000001</v>
      </c>
      <c r="F1087" s="146">
        <f t="shared" si="20"/>
        <v>-4.0315345299628547E-3</v>
      </c>
    </row>
    <row r="1088" spans="4:6" ht="15.6" x14ac:dyDescent="0.3">
      <c r="D1088" s="145">
        <v>44610</v>
      </c>
      <c r="E1088" s="187">
        <v>17276.3</v>
      </c>
      <c r="F1088" s="146">
        <f t="shared" si="20"/>
        <v>-1.6354033031679149E-3</v>
      </c>
    </row>
    <row r="1089" spans="4:6" ht="15.6" x14ac:dyDescent="0.3">
      <c r="D1089" s="145">
        <v>44609</v>
      </c>
      <c r="E1089" s="187">
        <v>17304.599999999999</v>
      </c>
      <c r="F1089" s="146">
        <f t="shared" si="20"/>
        <v>-1.0160372239093052E-3</v>
      </c>
    </row>
    <row r="1090" spans="4:6" ht="15.6" x14ac:dyDescent="0.3">
      <c r="D1090" s="145">
        <v>44608</v>
      </c>
      <c r="E1090" s="187">
        <v>17322.2</v>
      </c>
      <c r="F1090" s="146">
        <f t="shared" si="20"/>
        <v>-1.7432696823791449E-3</v>
      </c>
    </row>
    <row r="1091" spans="4:6" ht="15.6" x14ac:dyDescent="0.3">
      <c r="D1091" s="145">
        <v>44607</v>
      </c>
      <c r="E1091" s="187">
        <v>17352.45</v>
      </c>
      <c r="F1091" s="146">
        <f t="shared" si="20"/>
        <v>3.0259220557152133E-2</v>
      </c>
    </row>
    <row r="1092" spans="4:6" ht="15.6" x14ac:dyDescent="0.3">
      <c r="D1092" s="145">
        <v>44606</v>
      </c>
      <c r="E1092" s="187">
        <v>16842.8</v>
      </c>
      <c r="F1092" s="146">
        <f t="shared" si="20"/>
        <v>-3.0616267859969293E-2</v>
      </c>
    </row>
    <row r="1093" spans="4:6" ht="15.6" x14ac:dyDescent="0.3">
      <c r="D1093" s="145">
        <v>44603</v>
      </c>
      <c r="E1093" s="187">
        <v>17374.75</v>
      </c>
      <c r="F1093" s="146">
        <f t="shared" si="20"/>
        <v>-1.3126318808804993E-2</v>
      </c>
    </row>
    <row r="1094" spans="4:6" ht="15.6" x14ac:dyDescent="0.3">
      <c r="D1094" s="145">
        <v>44602</v>
      </c>
      <c r="E1094" s="187">
        <v>17605.849999999999</v>
      </c>
      <c r="F1094" s="146">
        <f t="shared" si="20"/>
        <v>8.1339685520904759E-3</v>
      </c>
    </row>
    <row r="1095" spans="4:6" ht="15.6" x14ac:dyDescent="0.3">
      <c r="D1095" s="145">
        <v>44601</v>
      </c>
      <c r="E1095" s="187">
        <v>17463.8</v>
      </c>
      <c r="F1095" s="146">
        <f t="shared" si="20"/>
        <v>1.1412107084425305E-2</v>
      </c>
    </row>
    <row r="1096" spans="4:6" ht="15.6" x14ac:dyDescent="0.3">
      <c r="D1096" s="145">
        <v>44600</v>
      </c>
      <c r="E1096" s="187">
        <v>17266.75</v>
      </c>
      <c r="F1096" s="146">
        <f t="shared" si="20"/>
        <v>3.0876748617372218E-3</v>
      </c>
    </row>
    <row r="1097" spans="4:6" ht="15.6" x14ac:dyDescent="0.3">
      <c r="D1097" s="145">
        <v>44599</v>
      </c>
      <c r="E1097" s="187">
        <v>17213.599999999999</v>
      </c>
      <c r="F1097" s="146">
        <f t="shared" si="20"/>
        <v>-1.7281046796412514E-2</v>
      </c>
    </row>
    <row r="1098" spans="4:6" ht="15.6" x14ac:dyDescent="0.3">
      <c r="D1098" s="145">
        <v>44596</v>
      </c>
      <c r="E1098" s="187">
        <v>17516.3</v>
      </c>
      <c r="F1098" s="146">
        <f t="shared" si="20"/>
        <v>-2.4999715265202616E-3</v>
      </c>
    </row>
    <row r="1099" spans="4:6" ht="15.6" x14ac:dyDescent="0.3">
      <c r="D1099" s="145">
        <v>44595</v>
      </c>
      <c r="E1099" s="187">
        <v>17560.2</v>
      </c>
      <c r="F1099" s="146">
        <f t="shared" si="20"/>
        <v>-1.2362204724409409E-2</v>
      </c>
    </row>
    <row r="1100" spans="4:6" ht="15.6" x14ac:dyDescent="0.3">
      <c r="D1100" s="145">
        <v>44594</v>
      </c>
      <c r="E1100" s="187">
        <v>17780</v>
      </c>
      <c r="F1100" s="146">
        <f t="shared" si="20"/>
        <v>1.1557816104706076E-2</v>
      </c>
    </row>
    <row r="1101" spans="4:6" ht="15.6" x14ac:dyDescent="0.3">
      <c r="D1101" s="145">
        <v>44593</v>
      </c>
      <c r="E1101" s="187">
        <v>17576.849999999999</v>
      </c>
      <c r="F1101" s="146">
        <f t="shared" si="20"/>
        <v>1.3667938303964622E-2</v>
      </c>
    </row>
    <row r="1102" spans="4:6" ht="15.6" x14ac:dyDescent="0.3">
      <c r="D1102" s="145">
        <v>44592</v>
      </c>
      <c r="E1102" s="187">
        <v>17339.849999999999</v>
      </c>
      <c r="F1102" s="146">
        <f t="shared" si="20"/>
        <v>1.3910694394498657E-2</v>
      </c>
    </row>
    <row r="1103" spans="4:6" ht="15.6" x14ac:dyDescent="0.3">
      <c r="D1103" s="145">
        <v>44589</v>
      </c>
      <c r="E1103" s="187">
        <v>17101.95</v>
      </c>
      <c r="F1103" s="146">
        <f t="shared" si="20"/>
        <v>-4.7924769800389289E-4</v>
      </c>
    </row>
    <row r="1104" spans="4:6" ht="15.6" x14ac:dyDescent="0.3">
      <c r="D1104" s="145">
        <v>44588</v>
      </c>
      <c r="E1104" s="187">
        <v>17110.150000000001</v>
      </c>
      <c r="F1104" s="146">
        <f t="shared" si="20"/>
        <v>-9.7118003003827669E-3</v>
      </c>
    </row>
    <row r="1105" spans="4:6" ht="15.6" x14ac:dyDescent="0.3">
      <c r="D1105" s="145">
        <v>44586</v>
      </c>
      <c r="E1105" s="187">
        <v>17277.95</v>
      </c>
      <c r="F1105" s="146">
        <f t="shared" si="20"/>
        <v>7.5135138287141245E-3</v>
      </c>
    </row>
    <row r="1106" spans="4:6" ht="15.6" x14ac:dyDescent="0.3">
      <c r="D1106" s="145">
        <v>44585</v>
      </c>
      <c r="E1106" s="187">
        <v>17149.099999999999</v>
      </c>
      <c r="F1106" s="146">
        <f t="shared" si="20"/>
        <v>-2.6567861430481288E-2</v>
      </c>
    </row>
    <row r="1107" spans="4:6" ht="15.6" x14ac:dyDescent="0.3">
      <c r="D1107" s="145">
        <v>44582</v>
      </c>
      <c r="E1107" s="187">
        <v>17617.150000000001</v>
      </c>
      <c r="F1107" s="146">
        <f t="shared" si="20"/>
        <v>-7.875767303035297E-3</v>
      </c>
    </row>
    <row r="1108" spans="4:6" ht="15.6" x14ac:dyDescent="0.3">
      <c r="D1108" s="145">
        <v>44581</v>
      </c>
      <c r="E1108" s="187">
        <v>17757</v>
      </c>
      <c r="F1108" s="146">
        <f t="shared" si="20"/>
        <v>-1.0112384605093117E-2</v>
      </c>
    </row>
    <row r="1109" spans="4:6" ht="15.6" x14ac:dyDescent="0.3">
      <c r="D1109" s="145">
        <v>44580</v>
      </c>
      <c r="E1109" s="187">
        <v>17938.400000000001</v>
      </c>
      <c r="F1109" s="146">
        <f t="shared" si="20"/>
        <v>-9.6422192838863108E-3</v>
      </c>
    </row>
    <row r="1110" spans="4:6" ht="15.6" x14ac:dyDescent="0.3">
      <c r="D1110" s="145">
        <v>44579</v>
      </c>
      <c r="E1110" s="187">
        <v>18113.05</v>
      </c>
      <c r="F1110" s="146">
        <f t="shared" si="20"/>
        <v>-1.0653754349167821E-2</v>
      </c>
    </row>
    <row r="1111" spans="4:6" ht="15.6" x14ac:dyDescent="0.3">
      <c r="D1111" s="145">
        <v>44578</v>
      </c>
      <c r="E1111" s="187">
        <v>18308.099999999999</v>
      </c>
      <c r="F1111" s="146">
        <f t="shared" si="20"/>
        <v>2.8675896635306231E-3</v>
      </c>
    </row>
    <row r="1112" spans="4:6" ht="15.6" x14ac:dyDescent="0.3">
      <c r="D1112" s="145">
        <v>44575</v>
      </c>
      <c r="E1112" s="187">
        <v>18255.75</v>
      </c>
      <c r="F1112" s="146">
        <f t="shared" si="20"/>
        <v>-1.1228077862612817E-4</v>
      </c>
    </row>
    <row r="1113" spans="4:6" ht="15.6" x14ac:dyDescent="0.3">
      <c r="D1113" s="145">
        <v>44574</v>
      </c>
      <c r="E1113" s="187">
        <v>18257.8</v>
      </c>
      <c r="F1113" s="146">
        <f t="shared" si="20"/>
        <v>2.495559331991748E-3</v>
      </c>
    </row>
    <row r="1114" spans="4:6" ht="15.6" x14ac:dyDescent="0.3">
      <c r="D1114" s="145">
        <v>44573</v>
      </c>
      <c r="E1114" s="187">
        <v>18212.349999999999</v>
      </c>
      <c r="F1114" s="146">
        <f t="shared" si="20"/>
        <v>8.6731373662130018E-3</v>
      </c>
    </row>
    <row r="1115" spans="4:6" ht="15.6" x14ac:dyDescent="0.3">
      <c r="D1115" s="145">
        <v>44572</v>
      </c>
      <c r="E1115" s="187">
        <v>18055.75</v>
      </c>
      <c r="F1115" s="146">
        <f t="shared" ref="F1115:F1178" si="21">E1115/E1116-1</f>
        <v>2.9133547738471322E-3</v>
      </c>
    </row>
    <row r="1116" spans="4:6" ht="15.6" x14ac:dyDescent="0.3">
      <c r="D1116" s="145">
        <v>44571</v>
      </c>
      <c r="E1116" s="187">
        <v>18003.3</v>
      </c>
      <c r="F1116" s="146">
        <f t="shared" si="21"/>
        <v>1.0700230734251415E-2</v>
      </c>
    </row>
    <row r="1117" spans="4:6" ht="15.6" x14ac:dyDescent="0.3">
      <c r="D1117" s="145">
        <v>44568</v>
      </c>
      <c r="E1117" s="187">
        <v>17812.7</v>
      </c>
      <c r="F1117" s="146">
        <f t="shared" si="21"/>
        <v>3.7642497703693767E-3</v>
      </c>
    </row>
    <row r="1118" spans="4:6" ht="15.6" x14ac:dyDescent="0.3">
      <c r="D1118" s="145">
        <v>44567</v>
      </c>
      <c r="E1118" s="187">
        <v>17745.900000000001</v>
      </c>
      <c r="F1118" s="146">
        <f t="shared" si="21"/>
        <v>-1.0005439254682558E-2</v>
      </c>
    </row>
    <row r="1119" spans="4:6" ht="15.6" x14ac:dyDescent="0.3">
      <c r="D1119" s="145">
        <v>44566</v>
      </c>
      <c r="E1119" s="187">
        <v>17925.25</v>
      </c>
      <c r="F1119" s="146">
        <f t="shared" si="21"/>
        <v>6.7395852346920915E-3</v>
      </c>
    </row>
    <row r="1120" spans="4:6" ht="15.6" x14ac:dyDescent="0.3">
      <c r="D1120" s="145">
        <v>44565</v>
      </c>
      <c r="E1120" s="187">
        <v>17805.25</v>
      </c>
      <c r="F1120" s="146">
        <f t="shared" si="21"/>
        <v>1.0186829459255531E-2</v>
      </c>
    </row>
    <row r="1121" spans="4:6" ht="15.6" x14ac:dyDescent="0.3">
      <c r="D1121" s="145">
        <v>44564</v>
      </c>
      <c r="E1121" s="187">
        <v>17625.7</v>
      </c>
      <c r="F1121" s="146">
        <f t="shared" si="21"/>
        <v>1.5653406553513438E-2</v>
      </c>
    </row>
    <row r="1122" spans="4:6" ht="15.6" x14ac:dyDescent="0.3">
      <c r="D1122" s="145">
        <v>44561</v>
      </c>
      <c r="E1122" s="187">
        <v>17354.05</v>
      </c>
      <c r="F1122" s="146">
        <f t="shared" si="21"/>
        <v>8.7247405392365529E-3</v>
      </c>
    </row>
    <row r="1123" spans="4:6" ht="15.6" x14ac:dyDescent="0.3">
      <c r="D1123" s="145">
        <v>44560</v>
      </c>
      <c r="E1123" s="187">
        <v>17203.95</v>
      </c>
      <c r="F1123" s="146">
        <f t="shared" si="21"/>
        <v>-5.6060324394646699E-4</v>
      </c>
    </row>
    <row r="1124" spans="4:6" ht="15.6" x14ac:dyDescent="0.3">
      <c r="D1124" s="145">
        <v>44559</v>
      </c>
      <c r="E1124" s="187">
        <v>17213.599999999999</v>
      </c>
      <c r="F1124" s="146">
        <f t="shared" si="21"/>
        <v>-1.1402376220388533E-3</v>
      </c>
    </row>
    <row r="1125" spans="4:6" ht="15.6" x14ac:dyDescent="0.3">
      <c r="D1125" s="145">
        <v>44558</v>
      </c>
      <c r="E1125" s="187">
        <v>17233.25</v>
      </c>
      <c r="F1125" s="146">
        <f t="shared" si="21"/>
        <v>8.6034091740434526E-3</v>
      </c>
    </row>
    <row r="1126" spans="4:6" ht="15.6" x14ac:dyDescent="0.3">
      <c r="D1126" s="145">
        <v>44557</v>
      </c>
      <c r="E1126" s="187">
        <v>17086.25</v>
      </c>
      <c r="F1126" s="146">
        <f t="shared" si="21"/>
        <v>4.8518709108285041E-3</v>
      </c>
    </row>
    <row r="1127" spans="4:6" ht="15.6" x14ac:dyDescent="0.3">
      <c r="D1127" s="145">
        <v>44554</v>
      </c>
      <c r="E1127" s="187">
        <v>17003.75</v>
      </c>
      <c r="F1127" s="146">
        <f t="shared" si="21"/>
        <v>-4.0327776671390536E-3</v>
      </c>
    </row>
    <row r="1128" spans="4:6" ht="15.6" x14ac:dyDescent="0.3">
      <c r="D1128" s="145">
        <v>44553</v>
      </c>
      <c r="E1128" s="187">
        <v>17072.599999999999</v>
      </c>
      <c r="F1128" s="146">
        <f t="shared" si="21"/>
        <v>6.9092828559547126E-3</v>
      </c>
    </row>
    <row r="1129" spans="4:6" ht="15.6" x14ac:dyDescent="0.3">
      <c r="D1129" s="145">
        <v>44552</v>
      </c>
      <c r="E1129" s="187">
        <v>16955.45</v>
      </c>
      <c r="F1129" s="146">
        <f t="shared" si="21"/>
        <v>1.1007194030117962E-2</v>
      </c>
    </row>
    <row r="1130" spans="4:6" ht="15.6" x14ac:dyDescent="0.3">
      <c r="D1130" s="145">
        <v>44551</v>
      </c>
      <c r="E1130" s="187">
        <v>16770.849999999999</v>
      </c>
      <c r="F1130" s="146">
        <f t="shared" si="21"/>
        <v>9.4286814893282944E-3</v>
      </c>
    </row>
    <row r="1131" spans="4:6" ht="15.6" x14ac:dyDescent="0.3">
      <c r="D1131" s="145">
        <v>44550</v>
      </c>
      <c r="E1131" s="187">
        <v>16614.2</v>
      </c>
      <c r="F1131" s="146">
        <f t="shared" si="21"/>
        <v>-2.1842545274709746E-2</v>
      </c>
    </row>
    <row r="1132" spans="4:6" ht="15.6" x14ac:dyDescent="0.3">
      <c r="D1132" s="145">
        <v>44547</v>
      </c>
      <c r="E1132" s="187">
        <v>16985.2</v>
      </c>
      <c r="F1132" s="146">
        <f t="shared" si="21"/>
        <v>-1.5259386377866946E-2</v>
      </c>
    </row>
    <row r="1133" spans="4:6" ht="15.6" x14ac:dyDescent="0.3">
      <c r="D1133" s="145">
        <v>44546</v>
      </c>
      <c r="E1133" s="187">
        <v>17248.400000000001</v>
      </c>
      <c r="F1133" s="146">
        <f t="shared" si="21"/>
        <v>1.5678167860917469E-3</v>
      </c>
    </row>
    <row r="1134" spans="4:6" ht="15.6" x14ac:dyDescent="0.3">
      <c r="D1134" s="145">
        <v>44545</v>
      </c>
      <c r="E1134" s="187">
        <v>17221.400000000001</v>
      </c>
      <c r="F1134" s="146">
        <f t="shared" si="21"/>
        <v>-5.9740604563374156E-3</v>
      </c>
    </row>
    <row r="1135" spans="4:6" ht="15.6" x14ac:dyDescent="0.3">
      <c r="D1135" s="145">
        <v>44544</v>
      </c>
      <c r="E1135" s="187">
        <v>17324.900000000001</v>
      </c>
      <c r="F1135" s="146">
        <f t="shared" si="21"/>
        <v>-2.4959336720740133E-3</v>
      </c>
    </row>
    <row r="1136" spans="4:6" ht="15.6" x14ac:dyDescent="0.3">
      <c r="D1136" s="145">
        <v>44543</v>
      </c>
      <c r="E1136" s="187">
        <v>17368.25</v>
      </c>
      <c r="F1136" s="146">
        <f t="shared" si="21"/>
        <v>-8.1690108672685113E-3</v>
      </c>
    </row>
    <row r="1137" spans="4:6" ht="15.6" x14ac:dyDescent="0.3">
      <c r="D1137" s="145">
        <v>44540</v>
      </c>
      <c r="E1137" s="187">
        <v>17511.3</v>
      </c>
      <c r="F1137" s="146">
        <f t="shared" si="21"/>
        <v>-3.1683778761593118E-4</v>
      </c>
    </row>
    <row r="1138" spans="4:6" ht="15.6" x14ac:dyDescent="0.3">
      <c r="D1138" s="145">
        <v>44539</v>
      </c>
      <c r="E1138" s="187">
        <v>17516.849999999999</v>
      </c>
      <c r="F1138" s="146">
        <f t="shared" si="21"/>
        <v>2.6960889537628319E-3</v>
      </c>
    </row>
    <row r="1139" spans="4:6" ht="15.6" x14ac:dyDescent="0.3">
      <c r="D1139" s="145">
        <v>44538</v>
      </c>
      <c r="E1139" s="187">
        <v>17469.75</v>
      </c>
      <c r="F1139" s="146">
        <f t="shared" si="21"/>
        <v>1.7060902268771105E-2</v>
      </c>
    </row>
    <row r="1140" spans="4:6" ht="15.6" x14ac:dyDescent="0.3">
      <c r="D1140" s="145">
        <v>44537</v>
      </c>
      <c r="E1140" s="187">
        <v>17176.7</v>
      </c>
      <c r="F1140" s="146">
        <f t="shared" si="21"/>
        <v>1.5636594775976009E-2</v>
      </c>
    </row>
    <row r="1141" spans="4:6" ht="15.6" x14ac:dyDescent="0.3">
      <c r="D1141" s="145">
        <v>44536</v>
      </c>
      <c r="E1141" s="187">
        <v>16912.25</v>
      </c>
      <c r="F1141" s="146">
        <f t="shared" si="21"/>
        <v>-1.6540964254769808E-2</v>
      </c>
    </row>
    <row r="1142" spans="4:6" ht="15.6" x14ac:dyDescent="0.3">
      <c r="D1142" s="145">
        <v>44533</v>
      </c>
      <c r="E1142" s="187">
        <v>17196.7</v>
      </c>
      <c r="F1142" s="146">
        <f t="shared" si="21"/>
        <v>-1.1777618789022948E-2</v>
      </c>
    </row>
    <row r="1143" spans="4:6" ht="15.6" x14ac:dyDescent="0.3">
      <c r="D1143" s="145">
        <v>44532</v>
      </c>
      <c r="E1143" s="187">
        <v>17401.650000000001</v>
      </c>
      <c r="F1143" s="146">
        <f t="shared" si="21"/>
        <v>1.3674571413592407E-2</v>
      </c>
    </row>
    <row r="1144" spans="4:6" ht="15.6" x14ac:dyDescent="0.3">
      <c r="D1144" s="145">
        <v>44531</v>
      </c>
      <c r="E1144" s="187">
        <v>17166.900000000001</v>
      </c>
      <c r="F1144" s="146">
        <f t="shared" si="21"/>
        <v>1.0816571670827724E-2</v>
      </c>
    </row>
    <row r="1145" spans="4:6" ht="15.6" x14ac:dyDescent="0.3">
      <c r="D1145" s="145">
        <v>44530</v>
      </c>
      <c r="E1145" s="187">
        <v>16983.2</v>
      </c>
      <c r="F1145" s="146">
        <f t="shared" si="21"/>
        <v>-4.1485990049225929E-3</v>
      </c>
    </row>
    <row r="1146" spans="4:6" ht="15.6" x14ac:dyDescent="0.3">
      <c r="D1146" s="145">
        <v>44529</v>
      </c>
      <c r="E1146" s="187">
        <v>17053.95</v>
      </c>
      <c r="F1146" s="146">
        <f t="shared" si="21"/>
        <v>1.6151341001793273E-3</v>
      </c>
    </row>
    <row r="1147" spans="4:6" ht="15.6" x14ac:dyDescent="0.3">
      <c r="D1147" s="145">
        <v>44526</v>
      </c>
      <c r="E1147" s="187">
        <v>17026.45</v>
      </c>
      <c r="F1147" s="146">
        <f t="shared" si="21"/>
        <v>-2.9071209637180129E-2</v>
      </c>
    </row>
    <row r="1148" spans="4:6" ht="15.6" x14ac:dyDescent="0.3">
      <c r="D1148" s="145">
        <v>44525</v>
      </c>
      <c r="E1148" s="187">
        <v>17536.25</v>
      </c>
      <c r="F1148" s="146">
        <f t="shared" si="21"/>
        <v>6.959497675860904E-3</v>
      </c>
    </row>
    <row r="1149" spans="4:6" ht="15.6" x14ac:dyDescent="0.3">
      <c r="D1149" s="145">
        <v>44524</v>
      </c>
      <c r="E1149" s="187">
        <v>17415.05</v>
      </c>
      <c r="F1149" s="146">
        <f t="shared" si="21"/>
        <v>-5.0447485767010081E-3</v>
      </c>
    </row>
    <row r="1150" spans="4:6" ht="15.6" x14ac:dyDescent="0.3">
      <c r="D1150" s="145">
        <v>44523</v>
      </c>
      <c r="E1150" s="187">
        <v>17503.349999999999</v>
      </c>
      <c r="F1150" s="146">
        <f t="shared" si="21"/>
        <v>4.9837654414910393E-3</v>
      </c>
    </row>
    <row r="1151" spans="4:6" ht="15.6" x14ac:dyDescent="0.3">
      <c r="D1151" s="145">
        <v>44522</v>
      </c>
      <c r="E1151" s="187">
        <v>17416.55</v>
      </c>
      <c r="F1151" s="146">
        <f t="shared" si="21"/>
        <v>-1.9603372962262444E-2</v>
      </c>
    </row>
    <row r="1152" spans="4:6" ht="15.6" x14ac:dyDescent="0.3">
      <c r="D1152" s="145">
        <v>44518</v>
      </c>
      <c r="E1152" s="187">
        <v>17764.8</v>
      </c>
      <c r="F1152" s="146">
        <f t="shared" si="21"/>
        <v>-7.4782176309388104E-3</v>
      </c>
    </row>
    <row r="1153" spans="4:6" ht="15.6" x14ac:dyDescent="0.3">
      <c r="D1153" s="145">
        <v>44517</v>
      </c>
      <c r="E1153" s="187">
        <v>17898.650000000001</v>
      </c>
      <c r="F1153" s="146">
        <f t="shared" si="21"/>
        <v>-5.5863593937507394E-3</v>
      </c>
    </row>
    <row r="1154" spans="4:6" ht="15.6" x14ac:dyDescent="0.3">
      <c r="D1154" s="145">
        <v>44516</v>
      </c>
      <c r="E1154" s="187">
        <v>17999.2</v>
      </c>
      <c r="F1154" s="146">
        <f t="shared" si="21"/>
        <v>-6.0879816891180605E-3</v>
      </c>
    </row>
    <row r="1155" spans="4:6" ht="15.6" x14ac:dyDescent="0.3">
      <c r="D1155" s="145">
        <v>44515</v>
      </c>
      <c r="E1155" s="187">
        <v>18109.45</v>
      </c>
      <c r="F1155" s="146">
        <f t="shared" si="21"/>
        <v>3.7010951374805146E-4</v>
      </c>
    </row>
    <row r="1156" spans="4:6" ht="15.6" x14ac:dyDescent="0.3">
      <c r="D1156" s="145">
        <v>44512</v>
      </c>
      <c r="E1156" s="187">
        <v>18102.75</v>
      </c>
      <c r="F1156" s="146">
        <f t="shared" si="21"/>
        <v>1.2820584549279479E-2</v>
      </c>
    </row>
    <row r="1157" spans="4:6" ht="15.6" x14ac:dyDescent="0.3">
      <c r="D1157" s="145">
        <v>44511</v>
      </c>
      <c r="E1157" s="187">
        <v>17873.599999999999</v>
      </c>
      <c r="F1157" s="146">
        <f t="shared" si="21"/>
        <v>-7.9701618453479339E-3</v>
      </c>
    </row>
    <row r="1158" spans="4:6" ht="15.6" x14ac:dyDescent="0.3">
      <c r="D1158" s="145">
        <v>44510</v>
      </c>
      <c r="E1158" s="187">
        <v>18017.2</v>
      </c>
      <c r="F1158" s="146">
        <f t="shared" si="21"/>
        <v>-1.4990925086938445E-3</v>
      </c>
    </row>
    <row r="1159" spans="4:6" ht="15.6" x14ac:dyDescent="0.3">
      <c r="D1159" s="145">
        <v>44509</v>
      </c>
      <c r="E1159" s="187">
        <v>18044.25</v>
      </c>
      <c r="F1159" s="146">
        <f t="shared" si="21"/>
        <v>-1.3448782553109329E-3</v>
      </c>
    </row>
    <row r="1160" spans="4:6" ht="15.6" x14ac:dyDescent="0.3">
      <c r="D1160" s="145">
        <v>44508</v>
      </c>
      <c r="E1160" s="187">
        <v>18068.55</v>
      </c>
      <c r="F1160" s="146">
        <f t="shared" si="21"/>
        <v>8.469704411502077E-3</v>
      </c>
    </row>
    <row r="1161" spans="4:6" ht="15.6" x14ac:dyDescent="0.3">
      <c r="D1161" s="145">
        <v>44504</v>
      </c>
      <c r="E1161" s="187">
        <v>17916.8</v>
      </c>
      <c r="F1161" s="146">
        <f t="shared" si="21"/>
        <v>4.913288313552977E-3</v>
      </c>
    </row>
    <row r="1162" spans="4:6" ht="15.6" x14ac:dyDescent="0.3">
      <c r="D1162" s="145">
        <v>44503</v>
      </c>
      <c r="E1162" s="187">
        <v>17829.2</v>
      </c>
      <c r="F1162" s="146">
        <f t="shared" si="21"/>
        <v>-3.3400507016901892E-3</v>
      </c>
    </row>
    <row r="1163" spans="4:6" ht="15.6" x14ac:dyDescent="0.3">
      <c r="D1163" s="145">
        <v>44502</v>
      </c>
      <c r="E1163" s="187">
        <v>17888.95</v>
      </c>
      <c r="F1163" s="146">
        <f t="shared" si="21"/>
        <v>-2.2699829611844136E-3</v>
      </c>
    </row>
    <row r="1164" spans="4:6" ht="15.6" x14ac:dyDescent="0.3">
      <c r="D1164" s="145">
        <v>44501</v>
      </c>
      <c r="E1164" s="187">
        <v>17929.650000000001</v>
      </c>
      <c r="F1164" s="146">
        <f t="shared" si="21"/>
        <v>1.4599655380227672E-2</v>
      </c>
    </row>
    <row r="1165" spans="4:6" ht="15.6" x14ac:dyDescent="0.3">
      <c r="D1165" s="145">
        <v>44498</v>
      </c>
      <c r="E1165" s="187">
        <v>17671.650000000001</v>
      </c>
      <c r="F1165" s="146">
        <f t="shared" si="21"/>
        <v>-1.0393537638774042E-2</v>
      </c>
    </row>
    <row r="1166" spans="4:6" ht="15.6" x14ac:dyDescent="0.3">
      <c r="D1166" s="145">
        <v>44497</v>
      </c>
      <c r="E1166" s="187">
        <v>17857.25</v>
      </c>
      <c r="F1166" s="146">
        <f t="shared" si="21"/>
        <v>-1.9422380490858537E-2</v>
      </c>
    </row>
    <row r="1167" spans="4:6" ht="15.6" x14ac:dyDescent="0.3">
      <c r="D1167" s="145">
        <v>44496</v>
      </c>
      <c r="E1167" s="187">
        <v>18210.95</v>
      </c>
      <c r="F1167" s="146">
        <f t="shared" si="21"/>
        <v>-3.1447745834337626E-3</v>
      </c>
    </row>
    <row r="1168" spans="4:6" ht="15.6" x14ac:dyDescent="0.3">
      <c r="D1168" s="145">
        <v>44495</v>
      </c>
      <c r="E1168" s="187">
        <v>18268.400000000001</v>
      </c>
      <c r="F1168" s="146">
        <f t="shared" si="21"/>
        <v>7.8894810597283094E-3</v>
      </c>
    </row>
    <row r="1169" spans="4:6" ht="15.6" x14ac:dyDescent="0.3">
      <c r="D1169" s="145">
        <v>44494</v>
      </c>
      <c r="E1169" s="187">
        <v>18125.400000000001</v>
      </c>
      <c r="F1169" s="146">
        <f t="shared" si="21"/>
        <v>5.7963334050969983E-4</v>
      </c>
    </row>
    <row r="1170" spans="4:6" ht="15.6" x14ac:dyDescent="0.3">
      <c r="D1170" s="145">
        <v>44491</v>
      </c>
      <c r="E1170" s="187">
        <v>18114.900000000001</v>
      </c>
      <c r="F1170" s="146">
        <f t="shared" si="21"/>
        <v>-3.4767109873967694E-3</v>
      </c>
    </row>
    <row r="1171" spans="4:6" ht="15.6" x14ac:dyDescent="0.3">
      <c r="D1171" s="145">
        <v>44490</v>
      </c>
      <c r="E1171" s="187">
        <v>18178.099999999999</v>
      </c>
      <c r="F1171" s="146">
        <f t="shared" si="21"/>
        <v>-4.8449081930955762E-3</v>
      </c>
    </row>
    <row r="1172" spans="4:6" ht="15.6" x14ac:dyDescent="0.3">
      <c r="D1172" s="145">
        <v>44489</v>
      </c>
      <c r="E1172" s="187">
        <v>18266.599999999999</v>
      </c>
      <c r="F1172" s="146">
        <f t="shared" si="21"/>
        <v>-8.2606040040720252E-3</v>
      </c>
    </row>
    <row r="1173" spans="4:6" ht="15.6" x14ac:dyDescent="0.3">
      <c r="D1173" s="145">
        <v>44488</v>
      </c>
      <c r="E1173" s="187">
        <v>18418.75</v>
      </c>
      <c r="F1173" s="146">
        <f t="shared" si="21"/>
        <v>-3.1552655862272516E-3</v>
      </c>
    </row>
    <row r="1174" spans="4:6" ht="15.6" x14ac:dyDescent="0.3">
      <c r="D1174" s="145">
        <v>44487</v>
      </c>
      <c r="E1174" s="187">
        <v>18477.05</v>
      </c>
      <c r="F1174" s="146">
        <f t="shared" si="21"/>
        <v>7.5523964544634836E-3</v>
      </c>
    </row>
    <row r="1175" spans="4:6" ht="15.6" x14ac:dyDescent="0.3">
      <c r="D1175" s="145">
        <v>44483</v>
      </c>
      <c r="E1175" s="187">
        <v>18338.55</v>
      </c>
      <c r="F1175" s="146">
        <f t="shared" si="21"/>
        <v>9.7347447244895413E-3</v>
      </c>
    </row>
    <row r="1176" spans="4:6" ht="15.6" x14ac:dyDescent="0.3">
      <c r="D1176" s="145">
        <v>44482</v>
      </c>
      <c r="E1176" s="187">
        <v>18161.75</v>
      </c>
      <c r="F1176" s="146">
        <f t="shared" si="21"/>
        <v>9.4375540172131345E-3</v>
      </c>
    </row>
    <row r="1177" spans="4:6" ht="15.6" x14ac:dyDescent="0.3">
      <c r="D1177" s="145">
        <v>44481</v>
      </c>
      <c r="E1177" s="187">
        <v>17991.95</v>
      </c>
      <c r="F1177" s="146">
        <f t="shared" si="21"/>
        <v>2.5632524330001516E-3</v>
      </c>
    </row>
    <row r="1178" spans="4:6" ht="15.6" x14ac:dyDescent="0.3">
      <c r="D1178" s="145">
        <v>44480</v>
      </c>
      <c r="E1178" s="187">
        <v>17945.95</v>
      </c>
      <c r="F1178" s="146">
        <f t="shared" si="21"/>
        <v>2.8359560105504222E-3</v>
      </c>
    </row>
    <row r="1179" spans="4:6" ht="15.6" x14ac:dyDescent="0.3">
      <c r="D1179" s="145">
        <v>44477</v>
      </c>
      <c r="E1179" s="187">
        <v>17895.2</v>
      </c>
      <c r="F1179" s="146">
        <f t="shared" ref="F1179:F1242" si="22">E1179/E1180-1</f>
        <v>5.893644588217839E-3</v>
      </c>
    </row>
    <row r="1180" spans="4:6" ht="15.6" x14ac:dyDescent="0.3">
      <c r="D1180" s="145">
        <v>44476</v>
      </c>
      <c r="E1180" s="187">
        <v>17790.349999999999</v>
      </c>
      <c r="F1180" s="146">
        <f t="shared" si="22"/>
        <v>8.1803241527824699E-3</v>
      </c>
    </row>
    <row r="1181" spans="4:6" ht="15.6" x14ac:dyDescent="0.3">
      <c r="D1181" s="145">
        <v>44475</v>
      </c>
      <c r="E1181" s="187">
        <v>17646</v>
      </c>
      <c r="F1181" s="146">
        <f t="shared" si="22"/>
        <v>-9.8921014683850395E-3</v>
      </c>
    </row>
    <row r="1182" spans="4:6" ht="15.6" x14ac:dyDescent="0.3">
      <c r="D1182" s="145">
        <v>44474</v>
      </c>
      <c r="E1182" s="187">
        <v>17822.3</v>
      </c>
      <c r="F1182" s="146">
        <f t="shared" si="22"/>
        <v>7.4076167596974773E-3</v>
      </c>
    </row>
    <row r="1183" spans="4:6" ht="15.6" x14ac:dyDescent="0.3">
      <c r="D1183" s="145">
        <v>44473</v>
      </c>
      <c r="E1183" s="187">
        <v>17691.25</v>
      </c>
      <c r="F1183" s="146">
        <f t="shared" si="22"/>
        <v>9.0805125470210246E-3</v>
      </c>
    </row>
    <row r="1184" spans="4:6" ht="15.6" x14ac:dyDescent="0.3">
      <c r="D1184" s="145">
        <v>44470</v>
      </c>
      <c r="E1184" s="187">
        <v>17532.05</v>
      </c>
      <c r="F1184" s="146">
        <f t="shared" si="22"/>
        <v>-4.8870057298866509E-3</v>
      </c>
    </row>
    <row r="1185" spans="4:6" ht="15.6" x14ac:dyDescent="0.3">
      <c r="D1185" s="145">
        <v>44469</v>
      </c>
      <c r="E1185" s="187">
        <v>17618.150000000001</v>
      </c>
      <c r="F1185" s="146">
        <f t="shared" si="22"/>
        <v>-5.2593541976024838E-3</v>
      </c>
    </row>
    <row r="1186" spans="4:6" ht="15.6" x14ac:dyDescent="0.3">
      <c r="D1186" s="145">
        <v>44468</v>
      </c>
      <c r="E1186" s="187">
        <v>17711.3</v>
      </c>
      <c r="F1186" s="146">
        <f t="shared" si="22"/>
        <v>-2.1015742086699651E-3</v>
      </c>
    </row>
    <row r="1187" spans="4:6" ht="15.6" x14ac:dyDescent="0.3">
      <c r="D1187" s="145">
        <v>44467</v>
      </c>
      <c r="E1187" s="187">
        <v>17748.599999999999</v>
      </c>
      <c r="F1187" s="146">
        <f t="shared" si="22"/>
        <v>-5.9646823596619658E-3</v>
      </c>
    </row>
    <row r="1188" spans="4:6" ht="15.6" x14ac:dyDescent="0.3">
      <c r="D1188" s="145">
        <v>44466</v>
      </c>
      <c r="E1188" s="187">
        <v>17855.099999999999</v>
      </c>
      <c r="F1188" s="146">
        <f t="shared" si="22"/>
        <v>1.0642349830836118E-4</v>
      </c>
    </row>
    <row r="1189" spans="4:6" ht="15.6" x14ac:dyDescent="0.3">
      <c r="D1189" s="145">
        <v>44463</v>
      </c>
      <c r="E1189" s="187">
        <v>17853.2</v>
      </c>
      <c r="F1189" s="146">
        <f t="shared" si="22"/>
        <v>1.6972498940972525E-3</v>
      </c>
    </row>
    <row r="1190" spans="4:6" ht="15.6" x14ac:dyDescent="0.3">
      <c r="D1190" s="145">
        <v>44462</v>
      </c>
      <c r="E1190" s="187">
        <v>17822.95</v>
      </c>
      <c r="F1190" s="146">
        <f t="shared" si="22"/>
        <v>1.574659550398505E-2</v>
      </c>
    </row>
    <row r="1191" spans="4:6" ht="15.6" x14ac:dyDescent="0.3">
      <c r="D1191" s="145">
        <v>44461</v>
      </c>
      <c r="E1191" s="187">
        <v>17546.650000000001</v>
      </c>
      <c r="F1191" s="146">
        <f t="shared" si="22"/>
        <v>-8.7404623619169453E-4</v>
      </c>
    </row>
    <row r="1192" spans="4:6" ht="15.6" x14ac:dyDescent="0.3">
      <c r="D1192" s="145">
        <v>44460</v>
      </c>
      <c r="E1192" s="187">
        <v>17562</v>
      </c>
      <c r="F1192" s="146">
        <f t="shared" si="22"/>
        <v>9.4901965292666368E-3</v>
      </c>
    </row>
    <row r="1193" spans="4:6" ht="15.6" x14ac:dyDescent="0.3">
      <c r="D1193" s="145">
        <v>44459</v>
      </c>
      <c r="E1193" s="187">
        <v>17396.900000000001</v>
      </c>
      <c r="F1193" s="146">
        <f t="shared" si="22"/>
        <v>-1.0705055117528173E-2</v>
      </c>
    </row>
    <row r="1194" spans="4:6" ht="15.6" x14ac:dyDescent="0.3">
      <c r="D1194" s="145">
        <v>44456</v>
      </c>
      <c r="E1194" s="187">
        <v>17585.150000000001</v>
      </c>
      <c r="F1194" s="146">
        <f t="shared" si="22"/>
        <v>-2.5156697580758225E-3</v>
      </c>
    </row>
    <row r="1195" spans="4:6" ht="15.6" x14ac:dyDescent="0.3">
      <c r="D1195" s="145">
        <v>44455</v>
      </c>
      <c r="E1195" s="187">
        <v>17629.5</v>
      </c>
      <c r="F1195" s="146">
        <f t="shared" si="22"/>
        <v>6.2815898900936418E-3</v>
      </c>
    </row>
    <row r="1196" spans="4:6" ht="15.6" x14ac:dyDescent="0.3">
      <c r="D1196" s="145">
        <v>44454</v>
      </c>
      <c r="E1196" s="187">
        <v>17519.45</v>
      </c>
      <c r="F1196" s="146">
        <f t="shared" si="22"/>
        <v>8.0235903337169123E-3</v>
      </c>
    </row>
    <row r="1197" spans="4:6" ht="15.6" x14ac:dyDescent="0.3">
      <c r="D1197" s="145">
        <v>44453</v>
      </c>
      <c r="E1197" s="187">
        <v>17380</v>
      </c>
      <c r="F1197" s="146">
        <f t="shared" si="22"/>
        <v>1.4231963722897145E-3</v>
      </c>
    </row>
    <row r="1198" spans="4:6" ht="15.6" x14ac:dyDescent="0.3">
      <c r="D1198" s="145">
        <v>44452</v>
      </c>
      <c r="E1198" s="187">
        <v>17355.3</v>
      </c>
      <c r="F1198" s="146">
        <f t="shared" si="22"/>
        <v>-8.0314348633370169E-4</v>
      </c>
    </row>
    <row r="1199" spans="4:6" ht="15.6" x14ac:dyDescent="0.3">
      <c r="D1199" s="145">
        <v>44448</v>
      </c>
      <c r="E1199" s="187">
        <v>17369.25</v>
      </c>
      <c r="F1199" s="146">
        <f t="shared" si="22"/>
        <v>9.0759789091543475E-4</v>
      </c>
    </row>
    <row r="1200" spans="4:6" ht="15.6" x14ac:dyDescent="0.3">
      <c r="D1200" s="145">
        <v>44447</v>
      </c>
      <c r="E1200" s="187">
        <v>17353.5</v>
      </c>
      <c r="F1200" s="146">
        <f t="shared" si="22"/>
        <v>-4.9533178590144278E-4</v>
      </c>
    </row>
    <row r="1201" spans="4:6" ht="15.6" x14ac:dyDescent="0.3">
      <c r="D1201" s="145">
        <v>44446</v>
      </c>
      <c r="E1201" s="187">
        <v>17362.099999999999</v>
      </c>
      <c r="F1201" s="146">
        <f t="shared" si="22"/>
        <v>-9.0345153011317514E-4</v>
      </c>
    </row>
    <row r="1202" spans="4:6" ht="15.6" x14ac:dyDescent="0.3">
      <c r="D1202" s="145">
        <v>44445</v>
      </c>
      <c r="E1202" s="187">
        <v>17377.8</v>
      </c>
      <c r="F1202" s="146">
        <f t="shared" si="22"/>
        <v>3.1286799510494845E-3</v>
      </c>
    </row>
    <row r="1203" spans="4:6" ht="15.6" x14ac:dyDescent="0.3">
      <c r="D1203" s="145">
        <v>44442</v>
      </c>
      <c r="E1203" s="187">
        <v>17323.599999999999</v>
      </c>
      <c r="F1203" s="146">
        <f t="shared" si="22"/>
        <v>5.1902762828452964E-3</v>
      </c>
    </row>
    <row r="1204" spans="4:6" ht="15.6" x14ac:dyDescent="0.3">
      <c r="D1204" s="145">
        <v>44441</v>
      </c>
      <c r="E1204" s="187">
        <v>17234.150000000001</v>
      </c>
      <c r="F1204" s="146">
        <f t="shared" si="22"/>
        <v>9.2467608520607758E-3</v>
      </c>
    </row>
    <row r="1205" spans="4:6" ht="15.6" x14ac:dyDescent="0.3">
      <c r="D1205" s="145">
        <v>44440</v>
      </c>
      <c r="E1205" s="187">
        <v>17076.25</v>
      </c>
      <c r="F1205" s="146">
        <f t="shared" si="22"/>
        <v>-3.2657802267076486E-3</v>
      </c>
    </row>
    <row r="1206" spans="4:6" ht="15.6" x14ac:dyDescent="0.3">
      <c r="D1206" s="145">
        <v>44439</v>
      </c>
      <c r="E1206" s="187">
        <v>17132.2</v>
      </c>
      <c r="F1206" s="146">
        <f t="shared" si="22"/>
        <v>1.1880539009689439E-2</v>
      </c>
    </row>
    <row r="1207" spans="4:6" ht="15.6" x14ac:dyDescent="0.3">
      <c r="D1207" s="145">
        <v>44438</v>
      </c>
      <c r="E1207" s="187">
        <v>16931.05</v>
      </c>
      <c r="F1207" s="146">
        <f t="shared" si="22"/>
        <v>1.3519742355673658E-2</v>
      </c>
    </row>
    <row r="1208" spans="4:6" ht="15.6" x14ac:dyDescent="0.3">
      <c r="D1208" s="145">
        <v>44435</v>
      </c>
      <c r="E1208" s="187">
        <v>16705.2</v>
      </c>
      <c r="F1208" s="146">
        <f t="shared" si="22"/>
        <v>4.1053321231718787E-3</v>
      </c>
    </row>
    <row r="1209" spans="4:6" ht="15.6" x14ac:dyDescent="0.3">
      <c r="D1209" s="145">
        <v>44434</v>
      </c>
      <c r="E1209" s="187">
        <v>16636.900000000001</v>
      </c>
      <c r="F1209" s="146">
        <f t="shared" si="22"/>
        <v>1.3525983414131026E-4</v>
      </c>
    </row>
    <row r="1210" spans="4:6" ht="15.6" x14ac:dyDescent="0.3">
      <c r="D1210" s="145">
        <v>44433</v>
      </c>
      <c r="E1210" s="187">
        <v>16634.650000000001</v>
      </c>
      <c r="F1210" s="146">
        <f t="shared" si="22"/>
        <v>6.0452582317793713E-4</v>
      </c>
    </row>
    <row r="1211" spans="4:6" ht="15.6" x14ac:dyDescent="0.3">
      <c r="D1211" s="145">
        <v>44432</v>
      </c>
      <c r="E1211" s="187">
        <v>16624.599999999999</v>
      </c>
      <c r="F1211" s="146">
        <f t="shared" si="22"/>
        <v>7.7683380363653409E-3</v>
      </c>
    </row>
    <row r="1212" spans="4:6" ht="15.6" x14ac:dyDescent="0.3">
      <c r="D1212" s="145">
        <v>44431</v>
      </c>
      <c r="E1212" s="187">
        <v>16496.45</v>
      </c>
      <c r="F1212" s="146">
        <f t="shared" si="22"/>
        <v>2.7932281693565653E-3</v>
      </c>
    </row>
    <row r="1213" spans="4:6" ht="15.6" x14ac:dyDescent="0.3">
      <c r="D1213" s="145">
        <v>44428</v>
      </c>
      <c r="E1213" s="187">
        <v>16450.5</v>
      </c>
      <c r="F1213" s="146">
        <f t="shared" si="22"/>
        <v>-7.1429218080916179E-3</v>
      </c>
    </row>
    <row r="1214" spans="4:6" ht="15.6" x14ac:dyDescent="0.3">
      <c r="D1214" s="145">
        <v>44426</v>
      </c>
      <c r="E1214" s="187">
        <v>16568.849999999999</v>
      </c>
      <c r="F1214" s="146">
        <f t="shared" si="22"/>
        <v>-2.7536022534397908E-3</v>
      </c>
    </row>
    <row r="1215" spans="4:6" ht="15.6" x14ac:dyDescent="0.3">
      <c r="D1215" s="145">
        <v>44425</v>
      </c>
      <c r="E1215" s="187">
        <v>16614.599999999999</v>
      </c>
      <c r="F1215" s="146">
        <f t="shared" si="22"/>
        <v>3.1123494766964743E-3</v>
      </c>
    </row>
    <row r="1216" spans="4:6" ht="15.6" x14ac:dyDescent="0.3">
      <c r="D1216" s="145">
        <v>44424</v>
      </c>
      <c r="E1216" s="187">
        <v>16563.05</v>
      </c>
      <c r="F1216" s="146">
        <f t="shared" si="22"/>
        <v>2.0539533307923907E-3</v>
      </c>
    </row>
    <row r="1217" spans="4:6" ht="15.6" x14ac:dyDescent="0.3">
      <c r="D1217" s="145">
        <v>44421</v>
      </c>
      <c r="E1217" s="187">
        <v>16529.099999999999</v>
      </c>
      <c r="F1217" s="146">
        <f t="shared" si="22"/>
        <v>1.006453032191823E-2</v>
      </c>
    </row>
    <row r="1218" spans="4:6" ht="15.6" x14ac:dyDescent="0.3">
      <c r="D1218" s="145">
        <v>44420</v>
      </c>
      <c r="E1218" s="187">
        <v>16364.4</v>
      </c>
      <c r="F1218" s="146">
        <f t="shared" si="22"/>
        <v>5.0453714934974858E-3</v>
      </c>
    </row>
    <row r="1219" spans="4:6" ht="15.6" x14ac:dyDescent="0.3">
      <c r="D1219" s="145">
        <v>44419</v>
      </c>
      <c r="E1219" s="187">
        <v>16282.25</v>
      </c>
      <c r="F1219" s="146">
        <f t="shared" si="22"/>
        <v>1.3206307086566227E-4</v>
      </c>
    </row>
    <row r="1220" spans="4:6" ht="15.6" x14ac:dyDescent="0.3">
      <c r="D1220" s="145">
        <v>44418</v>
      </c>
      <c r="E1220" s="187">
        <v>16280.1</v>
      </c>
      <c r="F1220" s="146">
        <f t="shared" si="22"/>
        <v>1.3439330801285898E-3</v>
      </c>
    </row>
    <row r="1221" spans="4:6" ht="15.6" x14ac:dyDescent="0.3">
      <c r="D1221" s="145">
        <v>44417</v>
      </c>
      <c r="E1221" s="187">
        <v>16258.25</v>
      </c>
      <c r="F1221" s="146">
        <f t="shared" si="22"/>
        <v>1.2347427670553746E-3</v>
      </c>
    </row>
    <row r="1222" spans="4:6" ht="15.6" x14ac:dyDescent="0.3">
      <c r="D1222" s="145">
        <v>44414</v>
      </c>
      <c r="E1222" s="187">
        <v>16238.2</v>
      </c>
      <c r="F1222" s="146">
        <f t="shared" si="22"/>
        <v>-3.4612693775851744E-3</v>
      </c>
    </row>
    <row r="1223" spans="4:6" ht="15.6" x14ac:dyDescent="0.3">
      <c r="D1223" s="145">
        <v>44413</v>
      </c>
      <c r="E1223" s="187">
        <v>16294.6</v>
      </c>
      <c r="F1223" s="146">
        <f t="shared" si="22"/>
        <v>2.201884517922581E-3</v>
      </c>
    </row>
    <row r="1224" spans="4:6" ht="15.6" x14ac:dyDescent="0.3">
      <c r="D1224" s="145">
        <v>44412</v>
      </c>
      <c r="E1224" s="187">
        <v>16258.8</v>
      </c>
      <c r="F1224" s="146">
        <f t="shared" si="22"/>
        <v>7.9382545758877043E-3</v>
      </c>
    </row>
    <row r="1225" spans="4:6" ht="15.6" x14ac:dyDescent="0.3">
      <c r="D1225" s="145">
        <v>44411</v>
      </c>
      <c r="E1225" s="187">
        <v>16130.75</v>
      </c>
      <c r="F1225" s="146">
        <f t="shared" si="22"/>
        <v>1.5460980853186701E-2</v>
      </c>
    </row>
    <row r="1226" spans="4:6" ht="15.6" x14ac:dyDescent="0.3">
      <c r="D1226" s="145">
        <v>44410</v>
      </c>
      <c r="E1226" s="187">
        <v>15885.15</v>
      </c>
      <c r="F1226" s="146">
        <f t="shared" si="22"/>
        <v>7.7459628688609783E-3</v>
      </c>
    </row>
    <row r="1227" spans="4:6" ht="15.6" x14ac:dyDescent="0.3">
      <c r="D1227" s="145">
        <v>44407</v>
      </c>
      <c r="E1227" s="187">
        <v>15763.05</v>
      </c>
      <c r="F1227" s="146">
        <f t="shared" si="22"/>
        <v>-9.7601475430109108E-4</v>
      </c>
    </row>
    <row r="1228" spans="4:6" ht="15.6" x14ac:dyDescent="0.3">
      <c r="D1228" s="145">
        <v>44406</v>
      </c>
      <c r="E1228" s="187">
        <v>15778.45</v>
      </c>
      <c r="F1228" s="146">
        <f t="shared" si="22"/>
        <v>4.3954574967854931E-3</v>
      </c>
    </row>
    <row r="1229" spans="4:6" ht="15.6" x14ac:dyDescent="0.3">
      <c r="D1229" s="145">
        <v>44405</v>
      </c>
      <c r="E1229" s="187">
        <v>15709.4</v>
      </c>
      <c r="F1229" s="146">
        <f t="shared" si="22"/>
        <v>-2.3529112911164773E-3</v>
      </c>
    </row>
    <row r="1230" spans="4:6" ht="15.6" x14ac:dyDescent="0.3">
      <c r="D1230" s="145">
        <v>44404</v>
      </c>
      <c r="E1230" s="187">
        <v>15746.45</v>
      </c>
      <c r="F1230" s="146">
        <f t="shared" si="22"/>
        <v>-4.929081263487789E-3</v>
      </c>
    </row>
    <row r="1231" spans="4:6" ht="15.6" x14ac:dyDescent="0.3">
      <c r="D1231" s="145">
        <v>44403</v>
      </c>
      <c r="E1231" s="187">
        <v>15824.45</v>
      </c>
      <c r="F1231" s="146">
        <f t="shared" si="22"/>
        <v>-1.9929301433836422E-3</v>
      </c>
    </row>
    <row r="1232" spans="4:6" ht="15.6" x14ac:dyDescent="0.3">
      <c r="D1232" s="145">
        <v>44400</v>
      </c>
      <c r="E1232" s="187">
        <v>15856.05</v>
      </c>
      <c r="F1232" s="146">
        <f t="shared" si="22"/>
        <v>2.022238301825352E-3</v>
      </c>
    </row>
    <row r="1233" spans="4:6" ht="15.6" x14ac:dyDescent="0.3">
      <c r="D1233" s="145">
        <v>44399</v>
      </c>
      <c r="E1233" s="187">
        <v>15824.05</v>
      </c>
      <c r="F1233" s="146">
        <f t="shared" si="22"/>
        <v>1.2279220322285456E-2</v>
      </c>
    </row>
    <row r="1234" spans="4:6" ht="15.6" x14ac:dyDescent="0.3">
      <c r="D1234" s="145">
        <v>44397</v>
      </c>
      <c r="E1234" s="187">
        <v>15632.1</v>
      </c>
      <c r="F1234" s="146">
        <f t="shared" si="22"/>
        <v>-7.6369315151976203E-3</v>
      </c>
    </row>
    <row r="1235" spans="4:6" ht="15.6" x14ac:dyDescent="0.3">
      <c r="D1235" s="145">
        <v>44396</v>
      </c>
      <c r="E1235" s="187">
        <v>15752.4</v>
      </c>
      <c r="F1235" s="146">
        <f t="shared" si="22"/>
        <v>-1.0738912543803436E-2</v>
      </c>
    </row>
    <row r="1236" spans="4:6" ht="15.6" x14ac:dyDescent="0.3">
      <c r="D1236" s="145">
        <v>44393</v>
      </c>
      <c r="E1236" s="187">
        <v>15923.4</v>
      </c>
      <c r="F1236" s="146">
        <f t="shared" si="22"/>
        <v>-5.023800253711741E-5</v>
      </c>
    </row>
    <row r="1237" spans="4:6" ht="15.6" x14ac:dyDescent="0.3">
      <c r="D1237" s="145">
        <v>44392</v>
      </c>
      <c r="E1237" s="187">
        <v>15924.2</v>
      </c>
      <c r="F1237" s="146">
        <f t="shared" si="22"/>
        <v>4.4310723825924381E-3</v>
      </c>
    </row>
    <row r="1238" spans="4:6" ht="15.6" x14ac:dyDescent="0.3">
      <c r="D1238" s="145">
        <v>44391</v>
      </c>
      <c r="E1238" s="187">
        <v>15853.95</v>
      </c>
      <c r="F1238" s="146">
        <f t="shared" si="22"/>
        <v>2.6308549962530403E-3</v>
      </c>
    </row>
    <row r="1239" spans="4:6" ht="15.6" x14ac:dyDescent="0.3">
      <c r="D1239" s="145">
        <v>44390</v>
      </c>
      <c r="E1239" s="187">
        <v>15812.35</v>
      </c>
      <c r="F1239" s="146">
        <f t="shared" si="22"/>
        <v>7.6309853051756971E-3</v>
      </c>
    </row>
    <row r="1240" spans="4:6" ht="15.6" x14ac:dyDescent="0.3">
      <c r="D1240" s="145">
        <v>44389</v>
      </c>
      <c r="E1240" s="187">
        <v>15692.6</v>
      </c>
      <c r="F1240" s="146">
        <f t="shared" si="22"/>
        <v>1.7845989113962624E-4</v>
      </c>
    </row>
    <row r="1241" spans="4:6" ht="15.6" x14ac:dyDescent="0.3">
      <c r="D1241" s="145">
        <v>44386</v>
      </c>
      <c r="E1241" s="187">
        <v>15689.8</v>
      </c>
      <c r="F1241" s="146">
        <f t="shared" si="22"/>
        <v>-2.4224467347834233E-3</v>
      </c>
    </row>
    <row r="1242" spans="4:6" ht="15.6" x14ac:dyDescent="0.3">
      <c r="D1242" s="145">
        <v>44385</v>
      </c>
      <c r="E1242" s="187">
        <v>15727.9</v>
      </c>
      <c r="F1242" s="146">
        <f t="shared" si="22"/>
        <v>-9.5562559628203925E-3</v>
      </c>
    </row>
    <row r="1243" spans="4:6" ht="15.6" x14ac:dyDescent="0.3">
      <c r="D1243" s="145">
        <v>44384</v>
      </c>
      <c r="E1243" s="187">
        <v>15879.65</v>
      </c>
      <c r="F1243" s="146">
        <f t="shared" ref="F1243:F1306" si="23">E1243/E1244-1</f>
        <v>3.8815924644002298E-3</v>
      </c>
    </row>
    <row r="1244" spans="4:6" ht="15.6" x14ac:dyDescent="0.3">
      <c r="D1244" s="145">
        <v>44383</v>
      </c>
      <c r="E1244" s="187">
        <v>15818.25</v>
      </c>
      <c r="F1244" s="146">
        <f t="shared" si="23"/>
        <v>-1.0167768174885738E-3</v>
      </c>
    </row>
    <row r="1245" spans="4:6" ht="15.6" x14ac:dyDescent="0.3">
      <c r="D1245" s="145">
        <v>44382</v>
      </c>
      <c r="E1245" s="187">
        <v>15834.35</v>
      </c>
      <c r="F1245" s="146">
        <f t="shared" si="23"/>
        <v>7.1332256300009611E-3</v>
      </c>
    </row>
    <row r="1246" spans="4:6" ht="15.6" x14ac:dyDescent="0.3">
      <c r="D1246" s="145">
        <v>44379</v>
      </c>
      <c r="E1246" s="187">
        <v>15722.2</v>
      </c>
      <c r="F1246" s="146">
        <f t="shared" si="23"/>
        <v>2.6913265306123257E-3</v>
      </c>
    </row>
    <row r="1247" spans="4:6" ht="15.6" x14ac:dyDescent="0.3">
      <c r="D1247" s="145">
        <v>44378</v>
      </c>
      <c r="E1247" s="187">
        <v>15680</v>
      </c>
      <c r="F1247" s="146">
        <f t="shared" si="23"/>
        <v>-2.639697229908089E-3</v>
      </c>
    </row>
    <row r="1248" spans="4:6" ht="15.6" x14ac:dyDescent="0.3">
      <c r="D1248" s="145">
        <v>44377</v>
      </c>
      <c r="E1248" s="187">
        <v>15721.5</v>
      </c>
      <c r="F1248" s="146">
        <f t="shared" si="23"/>
        <v>-1.7112795227467448E-3</v>
      </c>
    </row>
    <row r="1249" spans="4:6" ht="15.6" x14ac:dyDescent="0.3">
      <c r="D1249" s="145">
        <v>44376</v>
      </c>
      <c r="E1249" s="187">
        <v>15748.45</v>
      </c>
      <c r="F1249" s="146">
        <f t="shared" si="23"/>
        <v>-4.1891404832212764E-3</v>
      </c>
    </row>
    <row r="1250" spans="4:6" ht="15.6" x14ac:dyDescent="0.3">
      <c r="D1250" s="145">
        <v>44375</v>
      </c>
      <c r="E1250" s="187">
        <v>15814.7</v>
      </c>
      <c r="F1250" s="146">
        <f t="shared" si="23"/>
        <v>-2.8782466969518028E-3</v>
      </c>
    </row>
    <row r="1251" spans="4:6" ht="15.6" x14ac:dyDescent="0.3">
      <c r="D1251" s="145">
        <v>44372</v>
      </c>
      <c r="E1251" s="187">
        <v>15860.35</v>
      </c>
      <c r="F1251" s="146">
        <f t="shared" si="23"/>
        <v>4.4267262807582419E-3</v>
      </c>
    </row>
    <row r="1252" spans="4:6" ht="15.6" x14ac:dyDescent="0.3">
      <c r="D1252" s="145">
        <v>44371</v>
      </c>
      <c r="E1252" s="187">
        <v>15790.45</v>
      </c>
      <c r="F1252" s="146">
        <f t="shared" si="23"/>
        <v>6.5978408804769906E-3</v>
      </c>
    </row>
    <row r="1253" spans="4:6" ht="15.6" x14ac:dyDescent="0.3">
      <c r="D1253" s="145">
        <v>44370</v>
      </c>
      <c r="E1253" s="187">
        <v>15686.95</v>
      </c>
      <c r="F1253" s="146">
        <f t="shared" si="23"/>
        <v>-5.4397616141762528E-3</v>
      </c>
    </row>
    <row r="1254" spans="4:6" ht="15.6" x14ac:dyDescent="0.3">
      <c r="D1254" s="145">
        <v>44369</v>
      </c>
      <c r="E1254" s="187">
        <v>15772.75</v>
      </c>
      <c r="F1254" s="146">
        <f t="shared" si="23"/>
        <v>1.6670371193598932E-3</v>
      </c>
    </row>
    <row r="1255" spans="4:6" ht="15.6" x14ac:dyDescent="0.3">
      <c r="D1255" s="145">
        <v>44368</v>
      </c>
      <c r="E1255" s="187">
        <v>15746.5</v>
      </c>
      <c r="F1255" s="146">
        <f t="shared" si="23"/>
        <v>4.0265632023770426E-3</v>
      </c>
    </row>
    <row r="1256" spans="4:6" ht="15.6" x14ac:dyDescent="0.3">
      <c r="D1256" s="145">
        <v>44365</v>
      </c>
      <c r="E1256" s="187">
        <v>15683.35</v>
      </c>
      <c r="F1256" s="146">
        <f t="shared" si="23"/>
        <v>-5.1301987075713651E-4</v>
      </c>
    </row>
    <row r="1257" spans="4:6" ht="15.6" x14ac:dyDescent="0.3">
      <c r="D1257" s="145">
        <v>44364</v>
      </c>
      <c r="E1257" s="187">
        <v>15691.4</v>
      </c>
      <c r="F1257" s="146">
        <f t="shared" si="23"/>
        <v>-4.8295391484409755E-3</v>
      </c>
    </row>
    <row r="1258" spans="4:6" ht="15.6" x14ac:dyDescent="0.3">
      <c r="D1258" s="145">
        <v>44363</v>
      </c>
      <c r="E1258" s="187">
        <v>15767.55</v>
      </c>
      <c r="F1258" s="146">
        <f t="shared" si="23"/>
        <v>-6.4086204452006301E-3</v>
      </c>
    </row>
    <row r="1259" spans="4:6" ht="15.6" x14ac:dyDescent="0.3">
      <c r="D1259" s="145">
        <v>44362</v>
      </c>
      <c r="E1259" s="187">
        <v>15869.25</v>
      </c>
      <c r="F1259" s="146">
        <f t="shared" si="23"/>
        <v>3.6301887508418673E-3</v>
      </c>
    </row>
    <row r="1260" spans="4:6" ht="15.6" x14ac:dyDescent="0.3">
      <c r="D1260" s="145">
        <v>44361</v>
      </c>
      <c r="E1260" s="187">
        <v>15811.85</v>
      </c>
      <c r="F1260" s="146">
        <f t="shared" si="23"/>
        <v>7.911717887127967E-4</v>
      </c>
    </row>
    <row r="1261" spans="4:6" ht="15.6" x14ac:dyDescent="0.3">
      <c r="D1261" s="145">
        <v>44358</v>
      </c>
      <c r="E1261" s="187">
        <v>15799.35</v>
      </c>
      <c r="F1261" s="146">
        <f t="shared" si="23"/>
        <v>3.9141554542421186E-3</v>
      </c>
    </row>
    <row r="1262" spans="4:6" ht="15.6" x14ac:dyDescent="0.3">
      <c r="D1262" s="145">
        <v>44357</v>
      </c>
      <c r="E1262" s="187">
        <v>15737.75</v>
      </c>
      <c r="F1262" s="146">
        <f t="shared" si="23"/>
        <v>6.5492617690041666E-3</v>
      </c>
    </row>
    <row r="1263" spans="4:6" ht="15.6" x14ac:dyDescent="0.3">
      <c r="D1263" s="145">
        <v>44356</v>
      </c>
      <c r="E1263" s="187">
        <v>15635.35</v>
      </c>
      <c r="F1263" s="146">
        <f t="shared" si="23"/>
        <v>-6.6549767790547998E-3</v>
      </c>
    </row>
    <row r="1264" spans="4:6" ht="15.6" x14ac:dyDescent="0.3">
      <c r="D1264" s="145">
        <v>44355</v>
      </c>
      <c r="E1264" s="187">
        <v>15740.1</v>
      </c>
      <c r="F1264" s="146">
        <f t="shared" si="23"/>
        <v>-7.3325651598399322E-4</v>
      </c>
    </row>
    <row r="1265" spans="4:6" ht="15.6" x14ac:dyDescent="0.3">
      <c r="D1265" s="145">
        <v>44354</v>
      </c>
      <c r="E1265" s="187">
        <v>15751.65</v>
      </c>
      <c r="F1265" s="146">
        <f t="shared" si="23"/>
        <v>5.1945565641899893E-3</v>
      </c>
    </row>
    <row r="1266" spans="4:6" ht="15.6" x14ac:dyDescent="0.3">
      <c r="D1266" s="145">
        <v>44351</v>
      </c>
      <c r="E1266" s="187">
        <v>15670.25</v>
      </c>
      <c r="F1266" s="146">
        <f t="shared" si="23"/>
        <v>-1.2810421692314167E-3</v>
      </c>
    </row>
    <row r="1267" spans="4:6" ht="15.6" x14ac:dyDescent="0.3">
      <c r="D1267" s="145">
        <v>44350</v>
      </c>
      <c r="E1267" s="187">
        <v>15690.35</v>
      </c>
      <c r="F1267" s="146">
        <f t="shared" si="23"/>
        <v>7.3284883347670693E-3</v>
      </c>
    </row>
    <row r="1268" spans="4:6" ht="15.6" x14ac:dyDescent="0.3">
      <c r="D1268" s="145">
        <v>44349</v>
      </c>
      <c r="E1268" s="187">
        <v>15576.2</v>
      </c>
      <c r="F1268" s="146">
        <f t="shared" si="23"/>
        <v>8.667820235830348E-5</v>
      </c>
    </row>
    <row r="1269" spans="4:6" ht="15.6" x14ac:dyDescent="0.3">
      <c r="D1269" s="145">
        <v>44348</v>
      </c>
      <c r="E1269" s="187">
        <v>15574.85</v>
      </c>
      <c r="F1269" s="146">
        <f t="shared" si="23"/>
        <v>-5.1017788844098799E-4</v>
      </c>
    </row>
    <row r="1270" spans="4:6" ht="15.6" x14ac:dyDescent="0.3">
      <c r="D1270" s="145">
        <v>44347</v>
      </c>
      <c r="E1270" s="187">
        <v>15582.8</v>
      </c>
      <c r="F1270" s="146">
        <f t="shared" si="23"/>
        <v>9.5331262369904302E-3</v>
      </c>
    </row>
    <row r="1271" spans="4:6" ht="15.6" x14ac:dyDescent="0.3">
      <c r="D1271" s="145">
        <v>44344</v>
      </c>
      <c r="E1271" s="187">
        <v>15435.65</v>
      </c>
      <c r="F1271" s="146">
        <f t="shared" si="23"/>
        <v>6.3763826090357245E-3</v>
      </c>
    </row>
    <row r="1272" spans="4:6" ht="15.6" x14ac:dyDescent="0.3">
      <c r="D1272" s="145">
        <v>44343</v>
      </c>
      <c r="E1272" s="187">
        <v>15337.85</v>
      </c>
      <c r="F1272" s="146">
        <f t="shared" si="23"/>
        <v>2.3788595198495077E-3</v>
      </c>
    </row>
    <row r="1273" spans="4:6" ht="15.6" x14ac:dyDescent="0.3">
      <c r="D1273" s="145">
        <v>44342</v>
      </c>
      <c r="E1273" s="187">
        <v>15301.45</v>
      </c>
      <c r="F1273" s="146">
        <f t="shared" si="23"/>
        <v>6.115021583396052E-3</v>
      </c>
    </row>
    <row r="1274" spans="4:6" ht="15.6" x14ac:dyDescent="0.3">
      <c r="D1274" s="145">
        <v>44341</v>
      </c>
      <c r="E1274" s="187">
        <v>15208.45</v>
      </c>
      <c r="F1274" s="146">
        <f t="shared" si="23"/>
        <v>7.0734387440207769E-4</v>
      </c>
    </row>
    <row r="1275" spans="4:6" ht="15.6" x14ac:dyDescent="0.3">
      <c r="D1275" s="145">
        <v>44340</v>
      </c>
      <c r="E1275" s="187">
        <v>15197.7</v>
      </c>
      <c r="F1275" s="146">
        <f t="shared" si="23"/>
        <v>1.4760828451498842E-3</v>
      </c>
    </row>
    <row r="1276" spans="4:6" ht="15.6" x14ac:dyDescent="0.3">
      <c r="D1276" s="145">
        <v>44337</v>
      </c>
      <c r="E1276" s="187">
        <v>15175.3</v>
      </c>
      <c r="F1276" s="146">
        <f t="shared" si="23"/>
        <v>1.8063135438295186E-2</v>
      </c>
    </row>
    <row r="1277" spans="4:6" ht="15.6" x14ac:dyDescent="0.3">
      <c r="D1277" s="145">
        <v>44336</v>
      </c>
      <c r="E1277" s="187">
        <v>14906.05</v>
      </c>
      <c r="F1277" s="146">
        <f t="shared" si="23"/>
        <v>-8.2567372913776582E-3</v>
      </c>
    </row>
    <row r="1278" spans="4:6" ht="15.6" x14ac:dyDescent="0.3">
      <c r="D1278" s="145">
        <v>44335</v>
      </c>
      <c r="E1278" s="187">
        <v>15030.15</v>
      </c>
      <c r="F1278" s="146">
        <f t="shared" si="23"/>
        <v>-5.1594839854118835E-3</v>
      </c>
    </row>
    <row r="1279" spans="4:6" ht="15.6" x14ac:dyDescent="0.3">
      <c r="D1279" s="145">
        <v>44334</v>
      </c>
      <c r="E1279" s="187">
        <v>15108.1</v>
      </c>
      <c r="F1279" s="146">
        <f t="shared" si="23"/>
        <v>1.2393496011230853E-2</v>
      </c>
    </row>
    <row r="1280" spans="4:6" ht="15.6" x14ac:dyDescent="0.3">
      <c r="D1280" s="145">
        <v>44333</v>
      </c>
      <c r="E1280" s="187">
        <v>14923.15</v>
      </c>
      <c r="F1280" s="146">
        <f t="shared" si="23"/>
        <v>1.671572033956048E-2</v>
      </c>
    </row>
    <row r="1281" spans="4:6" ht="15.6" x14ac:dyDescent="0.3">
      <c r="D1281" s="145">
        <v>44330</v>
      </c>
      <c r="E1281" s="187">
        <v>14677.8</v>
      </c>
      <c r="F1281" s="146">
        <f t="shared" si="23"/>
        <v>-1.2724117987276129E-3</v>
      </c>
    </row>
    <row r="1282" spans="4:6" ht="15.6" x14ac:dyDescent="0.3">
      <c r="D1282" s="145">
        <v>44328</v>
      </c>
      <c r="E1282" s="187">
        <v>14696.5</v>
      </c>
      <c r="F1282" s="146">
        <f t="shared" si="23"/>
        <v>-1.0386680807366599E-2</v>
      </c>
    </row>
    <row r="1283" spans="4:6" ht="15.6" x14ac:dyDescent="0.3">
      <c r="D1283" s="145">
        <v>44327</v>
      </c>
      <c r="E1283" s="187">
        <v>14850.75</v>
      </c>
      <c r="F1283" s="146">
        <f t="shared" si="23"/>
        <v>-6.1302271731019653E-3</v>
      </c>
    </row>
    <row r="1284" spans="4:6" ht="15.6" x14ac:dyDescent="0.3">
      <c r="D1284" s="145">
        <v>44326</v>
      </c>
      <c r="E1284" s="187">
        <v>14942.35</v>
      </c>
      <c r="F1284" s="146">
        <f t="shared" si="23"/>
        <v>8.0414756647542163E-3</v>
      </c>
    </row>
    <row r="1285" spans="4:6" ht="15.6" x14ac:dyDescent="0.3">
      <c r="D1285" s="145">
        <v>44323</v>
      </c>
      <c r="E1285" s="187">
        <v>14823.15</v>
      </c>
      <c r="F1285" s="146">
        <f t="shared" si="23"/>
        <v>6.6792078669999366E-3</v>
      </c>
    </row>
    <row r="1286" spans="4:6" ht="15.6" x14ac:dyDescent="0.3">
      <c r="D1286" s="145">
        <v>44322</v>
      </c>
      <c r="E1286" s="187">
        <v>14724.8</v>
      </c>
      <c r="F1286" s="146">
        <f t="shared" si="23"/>
        <v>7.3163974182248737E-3</v>
      </c>
    </row>
    <row r="1287" spans="4:6" ht="15.6" x14ac:dyDescent="0.3">
      <c r="D1287" s="145">
        <v>44321</v>
      </c>
      <c r="E1287" s="187">
        <v>14617.85</v>
      </c>
      <c r="F1287" s="146">
        <f t="shared" si="23"/>
        <v>8.3709861000931252E-3</v>
      </c>
    </row>
    <row r="1288" spans="4:6" ht="15.6" x14ac:dyDescent="0.3">
      <c r="D1288" s="145">
        <v>44320</v>
      </c>
      <c r="E1288" s="187">
        <v>14496.5</v>
      </c>
      <c r="F1288" s="146">
        <f t="shared" si="23"/>
        <v>-9.4060809818130586E-3</v>
      </c>
    </row>
    <row r="1289" spans="4:6" ht="15.6" x14ac:dyDescent="0.3">
      <c r="D1289" s="145">
        <v>44319</v>
      </c>
      <c r="E1289" s="187">
        <v>14634.15</v>
      </c>
      <c r="F1289" s="146">
        <f t="shared" si="23"/>
        <v>2.0846006110275539E-4</v>
      </c>
    </row>
    <row r="1290" spans="4:6" ht="15.6" x14ac:dyDescent="0.3">
      <c r="D1290" s="145">
        <v>44316</v>
      </c>
      <c r="E1290" s="187">
        <v>14631.1</v>
      </c>
      <c r="F1290" s="146">
        <f t="shared" si="23"/>
        <v>-1.7710760058812003E-2</v>
      </c>
    </row>
    <row r="1291" spans="4:6" ht="15.6" x14ac:dyDescent="0.3">
      <c r="D1291" s="145">
        <v>44315</v>
      </c>
      <c r="E1291" s="187">
        <v>14894.9</v>
      </c>
      <c r="F1291" s="146">
        <f t="shared" si="23"/>
        <v>2.0417705211392967E-3</v>
      </c>
    </row>
    <row r="1292" spans="4:6" ht="15.6" x14ac:dyDescent="0.3">
      <c r="D1292" s="145">
        <v>44314</v>
      </c>
      <c r="E1292" s="187">
        <v>14864.55</v>
      </c>
      <c r="F1292" s="146">
        <f t="shared" si="23"/>
        <v>1.4433855067716328E-2</v>
      </c>
    </row>
    <row r="1293" spans="4:6" ht="15.6" x14ac:dyDescent="0.3">
      <c r="D1293" s="145">
        <v>44313</v>
      </c>
      <c r="E1293" s="187">
        <v>14653.05</v>
      </c>
      <c r="F1293" s="146">
        <f t="shared" si="23"/>
        <v>1.1601656886434109E-2</v>
      </c>
    </row>
    <row r="1294" spans="4:6" ht="15.6" x14ac:dyDescent="0.3">
      <c r="D1294" s="145">
        <v>44312</v>
      </c>
      <c r="E1294" s="187">
        <v>14485</v>
      </c>
      <c r="F1294" s="146">
        <f t="shared" si="23"/>
        <v>1.0016490776670217E-2</v>
      </c>
    </row>
    <row r="1295" spans="4:6" ht="15.6" x14ac:dyDescent="0.3">
      <c r="D1295" s="145">
        <v>44309</v>
      </c>
      <c r="E1295" s="187">
        <v>14341.35</v>
      </c>
      <c r="F1295" s="146">
        <f t="shared" si="23"/>
        <v>-4.4980789454502901E-3</v>
      </c>
    </row>
    <row r="1296" spans="4:6" ht="15.6" x14ac:dyDescent="0.3">
      <c r="D1296" s="145">
        <v>44308</v>
      </c>
      <c r="E1296" s="187">
        <v>14406.15</v>
      </c>
      <c r="F1296" s="146">
        <f t="shared" si="23"/>
        <v>7.6767577851766244E-3</v>
      </c>
    </row>
    <row r="1297" spans="4:6" ht="15.6" x14ac:dyDescent="0.3">
      <c r="D1297" s="145">
        <v>44306</v>
      </c>
      <c r="E1297" s="187">
        <v>14296.4</v>
      </c>
      <c r="F1297" s="146">
        <f t="shared" si="23"/>
        <v>-4.3908366963916201E-3</v>
      </c>
    </row>
    <row r="1298" spans="4:6" ht="15.6" x14ac:dyDescent="0.3">
      <c r="D1298" s="145">
        <v>44305</v>
      </c>
      <c r="E1298" s="187">
        <v>14359.45</v>
      </c>
      <c r="F1298" s="146">
        <f t="shared" si="23"/>
        <v>-1.7677018166146197E-2</v>
      </c>
    </row>
    <row r="1299" spans="4:6" ht="15.6" x14ac:dyDescent="0.3">
      <c r="D1299" s="145">
        <v>44302</v>
      </c>
      <c r="E1299" s="187">
        <v>14617.85</v>
      </c>
      <c r="F1299" s="146">
        <f t="shared" si="23"/>
        <v>2.4963223822047631E-3</v>
      </c>
    </row>
    <row r="1300" spans="4:6" ht="15.6" x14ac:dyDescent="0.3">
      <c r="D1300" s="145">
        <v>44301</v>
      </c>
      <c r="E1300" s="187">
        <v>14581.45</v>
      </c>
      <c r="F1300" s="146">
        <f t="shared" si="23"/>
        <v>5.2844575588770759E-3</v>
      </c>
    </row>
    <row r="1301" spans="4:6" ht="15.6" x14ac:dyDescent="0.3">
      <c r="D1301" s="145">
        <v>44299</v>
      </c>
      <c r="E1301" s="187">
        <v>14504.8</v>
      </c>
      <c r="F1301" s="146">
        <f t="shared" si="23"/>
        <v>1.3556195321016373E-2</v>
      </c>
    </row>
    <row r="1302" spans="4:6" ht="15.6" x14ac:dyDescent="0.3">
      <c r="D1302" s="145">
        <v>44298</v>
      </c>
      <c r="E1302" s="187">
        <v>14310.8</v>
      </c>
      <c r="F1302" s="146">
        <f t="shared" si="23"/>
        <v>-3.5325601539617946E-2</v>
      </c>
    </row>
    <row r="1303" spans="4:6" ht="15.6" x14ac:dyDescent="0.3">
      <c r="D1303" s="145">
        <v>44295</v>
      </c>
      <c r="E1303" s="187">
        <v>14834.85</v>
      </c>
      <c r="F1303" s="146">
        <f t="shared" si="23"/>
        <v>-2.6186986513196953E-3</v>
      </c>
    </row>
    <row r="1304" spans="4:6" ht="15.6" x14ac:dyDescent="0.3">
      <c r="D1304" s="145">
        <v>44294</v>
      </c>
      <c r="E1304" s="187">
        <v>14873.8</v>
      </c>
      <c r="F1304" s="146">
        <f t="shared" si="23"/>
        <v>3.6945688151399647E-3</v>
      </c>
    </row>
    <row r="1305" spans="4:6" ht="15.6" x14ac:dyDescent="0.3">
      <c r="D1305" s="145">
        <v>44293</v>
      </c>
      <c r="E1305" s="187">
        <v>14819.05</v>
      </c>
      <c r="F1305" s="146">
        <f t="shared" si="23"/>
        <v>9.2314502673067622E-3</v>
      </c>
    </row>
    <row r="1306" spans="4:6" ht="15.6" x14ac:dyDescent="0.3">
      <c r="D1306" s="145">
        <v>44292</v>
      </c>
      <c r="E1306" s="187">
        <v>14683.5</v>
      </c>
      <c r="F1306" s="146">
        <f t="shared" si="23"/>
        <v>3.1220538605529757E-3</v>
      </c>
    </row>
    <row r="1307" spans="4:6" ht="15.6" x14ac:dyDescent="0.3">
      <c r="D1307" s="145">
        <v>44291</v>
      </c>
      <c r="E1307" s="187">
        <v>14637.8</v>
      </c>
      <c r="F1307" s="146">
        <f t="shared" ref="F1307:F1370" si="24">E1307/E1308-1</f>
        <v>-1.5439873279367244E-2</v>
      </c>
    </row>
    <row r="1308" spans="4:6" ht="15.6" x14ac:dyDescent="0.3">
      <c r="D1308" s="145">
        <v>44287</v>
      </c>
      <c r="E1308" s="187">
        <v>14867.35</v>
      </c>
      <c r="F1308" s="146">
        <f t="shared" si="24"/>
        <v>1.2024614211712192E-2</v>
      </c>
    </row>
    <row r="1309" spans="4:6" ht="15.6" x14ac:dyDescent="0.3">
      <c r="D1309" s="145">
        <v>44286</v>
      </c>
      <c r="E1309" s="187">
        <v>14690.7</v>
      </c>
      <c r="F1309" s="146">
        <f t="shared" si="24"/>
        <v>-1.0400738290749056E-2</v>
      </c>
    </row>
    <row r="1310" spans="4:6" ht="15.6" x14ac:dyDescent="0.3">
      <c r="D1310" s="145">
        <v>44285</v>
      </c>
      <c r="E1310" s="187">
        <v>14845.1</v>
      </c>
      <c r="F1310" s="146">
        <f t="shared" si="24"/>
        <v>2.3284829017115705E-2</v>
      </c>
    </row>
    <row r="1311" spans="4:6" ht="15.6" x14ac:dyDescent="0.3">
      <c r="D1311" s="145">
        <v>44281</v>
      </c>
      <c r="E1311" s="187">
        <v>14507.3</v>
      </c>
      <c r="F1311" s="146">
        <f t="shared" si="24"/>
        <v>1.2733073180266397E-2</v>
      </c>
    </row>
    <row r="1312" spans="4:6" ht="15.6" x14ac:dyDescent="0.3">
      <c r="D1312" s="145">
        <v>44280</v>
      </c>
      <c r="E1312" s="187">
        <v>14324.9</v>
      </c>
      <c r="F1312" s="146">
        <f t="shared" si="24"/>
        <v>-1.5430189561081553E-2</v>
      </c>
    </row>
    <row r="1313" spans="4:6" ht="15.6" x14ac:dyDescent="0.3">
      <c r="D1313" s="145">
        <v>44279</v>
      </c>
      <c r="E1313" s="187">
        <v>14549.4</v>
      </c>
      <c r="F1313" s="146">
        <f t="shared" si="24"/>
        <v>-1.7911203361514749E-2</v>
      </c>
    </row>
    <row r="1314" spans="4:6" ht="15.6" x14ac:dyDescent="0.3">
      <c r="D1314" s="145">
        <v>44278</v>
      </c>
      <c r="E1314" s="187">
        <v>14814.75</v>
      </c>
      <c r="F1314" s="146">
        <f t="shared" si="24"/>
        <v>5.3167666458564522E-3</v>
      </c>
    </row>
    <row r="1315" spans="4:6" ht="15.6" x14ac:dyDescent="0.3">
      <c r="D1315" s="145">
        <v>44277</v>
      </c>
      <c r="E1315" s="187">
        <v>14736.4</v>
      </c>
      <c r="F1315" s="146">
        <f t="shared" si="24"/>
        <v>-5.1546391752577136E-4</v>
      </c>
    </row>
    <row r="1316" spans="4:6" ht="15.6" x14ac:dyDescent="0.3">
      <c r="D1316" s="145">
        <v>44274</v>
      </c>
      <c r="E1316" s="187">
        <v>14744</v>
      </c>
      <c r="F1316" s="146">
        <f t="shared" si="24"/>
        <v>1.2786915650319308E-2</v>
      </c>
    </row>
    <row r="1317" spans="4:6" ht="15.6" x14ac:dyDescent="0.3">
      <c r="D1317" s="145">
        <v>44273</v>
      </c>
      <c r="E1317" s="187">
        <v>14557.85</v>
      </c>
      <c r="F1317" s="146">
        <f t="shared" si="24"/>
        <v>-1.1102959657095401E-2</v>
      </c>
    </row>
    <row r="1318" spans="4:6" ht="15.6" x14ac:dyDescent="0.3">
      <c r="D1318" s="145">
        <v>44272</v>
      </c>
      <c r="E1318" s="187">
        <v>14721.3</v>
      </c>
      <c r="F1318" s="146">
        <f t="shared" si="24"/>
        <v>-1.2685733830971047E-2</v>
      </c>
    </row>
    <row r="1319" spans="4:6" ht="15.6" x14ac:dyDescent="0.3">
      <c r="D1319" s="145">
        <v>44271</v>
      </c>
      <c r="E1319" s="187">
        <v>14910.45</v>
      </c>
      <c r="F1319" s="146">
        <f t="shared" si="24"/>
        <v>-1.2759971867778441E-3</v>
      </c>
    </row>
    <row r="1320" spans="4:6" ht="15.6" x14ac:dyDescent="0.3">
      <c r="D1320" s="145">
        <v>44270</v>
      </c>
      <c r="E1320" s="187">
        <v>14929.5</v>
      </c>
      <c r="F1320" s="146">
        <f t="shared" si="24"/>
        <v>-6.7494070567729603E-3</v>
      </c>
    </row>
    <row r="1321" spans="4:6" ht="15.6" x14ac:dyDescent="0.3">
      <c r="D1321" s="145">
        <v>44267</v>
      </c>
      <c r="E1321" s="187">
        <v>15030.95</v>
      </c>
      <c r="F1321" s="146">
        <f t="shared" si="24"/>
        <v>-9.4795318554444785E-3</v>
      </c>
    </row>
    <row r="1322" spans="4:6" ht="15.6" x14ac:dyDescent="0.3">
      <c r="D1322" s="145">
        <v>44265</v>
      </c>
      <c r="E1322" s="187">
        <v>15174.8</v>
      </c>
      <c r="F1322" s="146">
        <f t="shared" si="24"/>
        <v>5.0601388226567678E-3</v>
      </c>
    </row>
    <row r="1323" spans="4:6" ht="15.6" x14ac:dyDescent="0.3">
      <c r="D1323" s="145">
        <v>44264</v>
      </c>
      <c r="E1323" s="187">
        <v>15098.4</v>
      </c>
      <c r="F1323" s="146">
        <f t="shared" si="24"/>
        <v>9.5077626669874959E-3</v>
      </c>
    </row>
    <row r="1324" spans="4:6" ht="15.6" x14ac:dyDescent="0.3">
      <c r="D1324" s="145">
        <v>44263</v>
      </c>
      <c r="E1324" s="187">
        <v>14956.2</v>
      </c>
      <c r="F1324" s="146">
        <f t="shared" si="24"/>
        <v>1.2116668117096996E-3</v>
      </c>
    </row>
    <row r="1325" spans="4:6" ht="15.6" x14ac:dyDescent="0.3">
      <c r="D1325" s="145">
        <v>44260</v>
      </c>
      <c r="E1325" s="187">
        <v>14938.1</v>
      </c>
      <c r="F1325" s="146">
        <f t="shared" si="24"/>
        <v>-9.4590786267261251E-3</v>
      </c>
    </row>
    <row r="1326" spans="4:6" ht="15.6" x14ac:dyDescent="0.3">
      <c r="D1326" s="145">
        <v>44259</v>
      </c>
      <c r="E1326" s="187">
        <v>15080.75</v>
      </c>
      <c r="F1326" s="146">
        <f t="shared" si="24"/>
        <v>-1.0812955869234475E-2</v>
      </c>
    </row>
    <row r="1327" spans="4:6" ht="15.6" x14ac:dyDescent="0.3">
      <c r="D1327" s="145">
        <v>44258</v>
      </c>
      <c r="E1327" s="187">
        <v>15245.6</v>
      </c>
      <c r="F1327" s="146">
        <f t="shared" si="24"/>
        <v>2.188469813862759E-2</v>
      </c>
    </row>
    <row r="1328" spans="4:6" ht="15.6" x14ac:dyDescent="0.3">
      <c r="D1328" s="145">
        <v>44257</v>
      </c>
      <c r="E1328" s="187">
        <v>14919.1</v>
      </c>
      <c r="F1328" s="146">
        <f t="shared" si="24"/>
        <v>1.0672998431736636E-2</v>
      </c>
    </row>
    <row r="1329" spans="4:6" ht="15.6" x14ac:dyDescent="0.3">
      <c r="D1329" s="145">
        <v>44256</v>
      </c>
      <c r="E1329" s="187">
        <v>14761.55</v>
      </c>
      <c r="F1329" s="146">
        <f t="shared" si="24"/>
        <v>1.5995429877177836E-2</v>
      </c>
    </row>
    <row r="1330" spans="4:6" ht="15.6" x14ac:dyDescent="0.3">
      <c r="D1330" s="145">
        <v>44253</v>
      </c>
      <c r="E1330" s="187">
        <v>14529.15</v>
      </c>
      <c r="F1330" s="146">
        <f t="shared" si="24"/>
        <v>-3.7635744021301765E-2</v>
      </c>
    </row>
    <row r="1331" spans="4:6" ht="15.6" x14ac:dyDescent="0.3">
      <c r="D1331" s="145">
        <v>44252</v>
      </c>
      <c r="E1331" s="187">
        <v>15097.35</v>
      </c>
      <c r="F1331" s="146">
        <f t="shared" si="24"/>
        <v>7.699239086904397E-3</v>
      </c>
    </row>
    <row r="1332" spans="4:6" ht="15.6" x14ac:dyDescent="0.3">
      <c r="D1332" s="145">
        <v>44251</v>
      </c>
      <c r="E1332" s="187">
        <v>14982</v>
      </c>
      <c r="F1332" s="146">
        <f t="shared" si="24"/>
        <v>1.8643168930771559E-2</v>
      </c>
    </row>
    <row r="1333" spans="4:6" ht="15.6" x14ac:dyDescent="0.3">
      <c r="D1333" s="145">
        <v>44250</v>
      </c>
      <c r="E1333" s="187">
        <v>14707.8</v>
      </c>
      <c r="F1333" s="146">
        <f t="shared" si="24"/>
        <v>2.1872891923382376E-3</v>
      </c>
    </row>
    <row r="1334" spans="4:6" ht="15.6" x14ac:dyDescent="0.3">
      <c r="D1334" s="145">
        <v>44249</v>
      </c>
      <c r="E1334" s="187">
        <v>14675.7</v>
      </c>
      <c r="F1334" s="146">
        <f t="shared" si="24"/>
        <v>-2.0428187628281025E-2</v>
      </c>
    </row>
    <row r="1335" spans="4:6" ht="15.6" x14ac:dyDescent="0.3">
      <c r="D1335" s="145">
        <v>44246</v>
      </c>
      <c r="E1335" s="187">
        <v>14981.75</v>
      </c>
      <c r="F1335" s="146">
        <f t="shared" si="24"/>
        <v>-9.0747042618700702E-3</v>
      </c>
    </row>
    <row r="1336" spans="4:6" ht="15.6" x14ac:dyDescent="0.3">
      <c r="D1336" s="145">
        <v>44245</v>
      </c>
      <c r="E1336" s="187">
        <v>15118.95</v>
      </c>
      <c r="F1336" s="146">
        <f t="shared" si="24"/>
        <v>-5.9143001795001204E-3</v>
      </c>
    </row>
    <row r="1337" spans="4:6" ht="15.6" x14ac:dyDescent="0.3">
      <c r="D1337" s="145">
        <v>44244</v>
      </c>
      <c r="E1337" s="187">
        <v>15208.9</v>
      </c>
      <c r="F1337" s="146">
        <f t="shared" si="24"/>
        <v>-6.8273315288195358E-3</v>
      </c>
    </row>
    <row r="1338" spans="4:6" ht="15.6" x14ac:dyDescent="0.3">
      <c r="D1338" s="145">
        <v>44243</v>
      </c>
      <c r="E1338" s="187">
        <v>15313.45</v>
      </c>
      <c r="F1338" s="146">
        <f t="shared" si="24"/>
        <v>-8.1620926299597052E-5</v>
      </c>
    </row>
    <row r="1339" spans="4:6" ht="15.6" x14ac:dyDescent="0.3">
      <c r="D1339" s="145">
        <v>44242</v>
      </c>
      <c r="E1339" s="187">
        <v>15314.7</v>
      </c>
      <c r="F1339" s="146">
        <f t="shared" si="24"/>
        <v>9.9846339517124516E-3</v>
      </c>
    </row>
    <row r="1340" spans="4:6" ht="15.6" x14ac:dyDescent="0.3">
      <c r="D1340" s="145">
        <v>44239</v>
      </c>
      <c r="E1340" s="187">
        <v>15163.3</v>
      </c>
      <c r="F1340" s="146">
        <f t="shared" si="24"/>
        <v>-6.5905241443853235E-4</v>
      </c>
    </row>
    <row r="1341" spans="4:6" ht="15.6" x14ac:dyDescent="0.3">
      <c r="D1341" s="145">
        <v>44238</v>
      </c>
      <c r="E1341" s="187">
        <v>15173.3</v>
      </c>
      <c r="F1341" s="146">
        <f t="shared" si="24"/>
        <v>4.4219375765397473E-3</v>
      </c>
    </row>
    <row r="1342" spans="4:6" ht="15.6" x14ac:dyDescent="0.3">
      <c r="D1342" s="145">
        <v>44237</v>
      </c>
      <c r="E1342" s="187">
        <v>15106.5</v>
      </c>
      <c r="F1342" s="146">
        <f t="shared" si="24"/>
        <v>-1.8531632835405709E-4</v>
      </c>
    </row>
    <row r="1343" spans="4:6" ht="15.6" x14ac:dyDescent="0.3">
      <c r="D1343" s="145">
        <v>44236</v>
      </c>
      <c r="E1343" s="187">
        <v>15109.3</v>
      </c>
      <c r="F1343" s="146">
        <f t="shared" si="24"/>
        <v>-4.3001362812422617E-4</v>
      </c>
    </row>
    <row r="1344" spans="4:6" ht="15.6" x14ac:dyDescent="0.3">
      <c r="D1344" s="145">
        <v>44235</v>
      </c>
      <c r="E1344" s="187">
        <v>15115.8</v>
      </c>
      <c r="F1344" s="146">
        <f t="shared" si="24"/>
        <v>1.2834815819890322E-2</v>
      </c>
    </row>
    <row r="1345" spans="4:6" ht="15.6" x14ac:dyDescent="0.3">
      <c r="D1345" s="145">
        <v>44232</v>
      </c>
      <c r="E1345" s="187">
        <v>14924.25</v>
      </c>
      <c r="F1345" s="146">
        <f t="shared" si="24"/>
        <v>1.9200236310601415E-3</v>
      </c>
    </row>
    <row r="1346" spans="4:6" ht="15.6" x14ac:dyDescent="0.3">
      <c r="D1346" s="145">
        <v>44231</v>
      </c>
      <c r="E1346" s="187">
        <v>14895.65</v>
      </c>
      <c r="F1346" s="146">
        <f t="shared" si="24"/>
        <v>7.1467449180016018E-3</v>
      </c>
    </row>
    <row r="1347" spans="4:6" ht="15.6" x14ac:dyDescent="0.3">
      <c r="D1347" s="145">
        <v>44230</v>
      </c>
      <c r="E1347" s="187">
        <v>14789.95</v>
      </c>
      <c r="F1347" s="146">
        <f t="shared" si="24"/>
        <v>9.7010824114118765E-3</v>
      </c>
    </row>
    <row r="1348" spans="4:6" ht="15.6" x14ac:dyDescent="0.3">
      <c r="D1348" s="145">
        <v>44229</v>
      </c>
      <c r="E1348" s="187">
        <v>14647.85</v>
      </c>
      <c r="F1348" s="146">
        <f t="shared" si="24"/>
        <v>2.5673612861664363E-2</v>
      </c>
    </row>
    <row r="1349" spans="4:6" ht="15.6" x14ac:dyDescent="0.3">
      <c r="D1349" s="145">
        <v>44228</v>
      </c>
      <c r="E1349" s="187">
        <v>14281.2</v>
      </c>
      <c r="F1349" s="146">
        <f t="shared" si="24"/>
        <v>4.7423466768368838E-2</v>
      </c>
    </row>
    <row r="1350" spans="4:6" ht="15.6" x14ac:dyDescent="0.3">
      <c r="D1350" s="145">
        <v>44225</v>
      </c>
      <c r="E1350" s="187">
        <v>13634.6</v>
      </c>
      <c r="F1350" s="146">
        <f t="shared" si="24"/>
        <v>-1.3240408031814588E-2</v>
      </c>
    </row>
    <row r="1351" spans="4:6" ht="15.6" x14ac:dyDescent="0.3">
      <c r="D1351" s="145">
        <v>44224</v>
      </c>
      <c r="E1351" s="187">
        <v>13817.55</v>
      </c>
      <c r="F1351" s="146">
        <f t="shared" si="24"/>
        <v>-1.0735636298550233E-2</v>
      </c>
    </row>
    <row r="1352" spans="4:6" ht="15.6" x14ac:dyDescent="0.3">
      <c r="D1352" s="145">
        <v>44223</v>
      </c>
      <c r="E1352" s="187">
        <v>13967.5</v>
      </c>
      <c r="F1352" s="146">
        <f t="shared" si="24"/>
        <v>-1.9060461131126694E-2</v>
      </c>
    </row>
    <row r="1353" spans="4:6" ht="15.6" x14ac:dyDescent="0.3">
      <c r="D1353" s="145">
        <v>44221</v>
      </c>
      <c r="E1353" s="187">
        <v>14238.9</v>
      </c>
      <c r="F1353" s="146">
        <f t="shared" si="24"/>
        <v>-9.2541695948343827E-3</v>
      </c>
    </row>
    <row r="1354" spans="4:6" ht="15.6" x14ac:dyDescent="0.3">
      <c r="D1354" s="145">
        <v>44218</v>
      </c>
      <c r="E1354" s="187">
        <v>14371.9</v>
      </c>
      <c r="F1354" s="146">
        <f t="shared" si="24"/>
        <v>-1.4972224792414224E-2</v>
      </c>
    </row>
    <row r="1355" spans="4:6" ht="15.6" x14ac:dyDescent="0.3">
      <c r="D1355" s="145">
        <v>44217</v>
      </c>
      <c r="E1355" s="187">
        <v>14590.35</v>
      </c>
      <c r="F1355" s="146">
        <f t="shared" si="24"/>
        <v>-3.711240243910785E-3</v>
      </c>
    </row>
    <row r="1356" spans="4:6" ht="15.6" x14ac:dyDescent="0.3">
      <c r="D1356" s="145">
        <v>44216</v>
      </c>
      <c r="E1356" s="187">
        <v>14644.7</v>
      </c>
      <c r="F1356" s="146">
        <f t="shared" si="24"/>
        <v>8.508279302947841E-3</v>
      </c>
    </row>
    <row r="1357" spans="4:6" ht="15.6" x14ac:dyDescent="0.3">
      <c r="D1357" s="145">
        <v>44215</v>
      </c>
      <c r="E1357" s="187">
        <v>14521.15</v>
      </c>
      <c r="F1357" s="146">
        <f t="shared" si="24"/>
        <v>1.6794689559073817E-2</v>
      </c>
    </row>
    <row r="1358" spans="4:6" ht="15.6" x14ac:dyDescent="0.3">
      <c r="D1358" s="145">
        <v>44214</v>
      </c>
      <c r="E1358" s="187">
        <v>14281.3</v>
      </c>
      <c r="F1358" s="146">
        <f t="shared" si="24"/>
        <v>-1.0558623222042929E-2</v>
      </c>
    </row>
    <row r="1359" spans="4:6" ht="15.6" x14ac:dyDescent="0.3">
      <c r="D1359" s="145">
        <v>44211</v>
      </c>
      <c r="E1359" s="187">
        <v>14433.7</v>
      </c>
      <c r="F1359" s="146">
        <f t="shared" si="24"/>
        <v>-1.1092384006138767E-2</v>
      </c>
    </row>
    <row r="1360" spans="4:6" ht="15.6" x14ac:dyDescent="0.3">
      <c r="D1360" s="145">
        <v>44210</v>
      </c>
      <c r="E1360" s="187">
        <v>14595.6</v>
      </c>
      <c r="F1360" s="146">
        <f t="shared" si="24"/>
        <v>2.1112472837001572E-3</v>
      </c>
    </row>
    <row r="1361" spans="4:6" ht="15.6" x14ac:dyDescent="0.3">
      <c r="D1361" s="145">
        <v>44209</v>
      </c>
      <c r="E1361" s="187">
        <v>14564.85</v>
      </c>
      <c r="F1361" s="146">
        <f t="shared" si="24"/>
        <v>9.6131067844451579E-5</v>
      </c>
    </row>
    <row r="1362" spans="4:6" ht="15.6" x14ac:dyDescent="0.3">
      <c r="D1362" s="145">
        <v>44208</v>
      </c>
      <c r="E1362" s="187">
        <v>14563.45</v>
      </c>
      <c r="F1362" s="146">
        <f t="shared" si="24"/>
        <v>5.4333005402233958E-3</v>
      </c>
    </row>
    <row r="1363" spans="4:6" ht="15.6" x14ac:dyDescent="0.3">
      <c r="D1363" s="145">
        <v>44207</v>
      </c>
      <c r="E1363" s="187">
        <v>14484.75</v>
      </c>
      <c r="F1363" s="146">
        <f t="shared" si="24"/>
        <v>9.5837181341371647E-3</v>
      </c>
    </row>
    <row r="1364" spans="4:6" ht="15.6" x14ac:dyDescent="0.3">
      <c r="D1364" s="145">
        <v>44204</v>
      </c>
      <c r="E1364" s="187">
        <v>14347.25</v>
      </c>
      <c r="F1364" s="146">
        <f t="shared" si="24"/>
        <v>1.4847195549378078E-2</v>
      </c>
    </row>
    <row r="1365" spans="4:6" ht="15.6" x14ac:dyDescent="0.3">
      <c r="D1365" s="145">
        <v>44203</v>
      </c>
      <c r="E1365" s="187">
        <v>14137.35</v>
      </c>
      <c r="F1365" s="146">
        <f t="shared" si="24"/>
        <v>-6.2914199876284993E-4</v>
      </c>
    </row>
    <row r="1366" spans="4:6" ht="15.6" x14ac:dyDescent="0.3">
      <c r="D1366" s="145">
        <v>44202</v>
      </c>
      <c r="E1366" s="187">
        <v>14146.25</v>
      </c>
      <c r="F1366" s="146">
        <f t="shared" si="24"/>
        <v>-3.7501320469031096E-3</v>
      </c>
    </row>
    <row r="1367" spans="4:6" ht="15.6" x14ac:dyDescent="0.3">
      <c r="D1367" s="145">
        <v>44201</v>
      </c>
      <c r="E1367" s="187">
        <v>14199.5</v>
      </c>
      <c r="F1367" s="146">
        <f t="shared" si="24"/>
        <v>4.7124086351704175E-3</v>
      </c>
    </row>
    <row r="1368" spans="4:6" ht="15.6" x14ac:dyDescent="0.3">
      <c r="D1368" s="145">
        <v>44200</v>
      </c>
      <c r="E1368" s="187">
        <v>14132.9</v>
      </c>
      <c r="F1368" s="146">
        <f t="shared" si="24"/>
        <v>8.1606448621465155E-3</v>
      </c>
    </row>
    <row r="1369" spans="4:6" ht="15.6" x14ac:dyDescent="0.3">
      <c r="D1369" s="145">
        <v>44197</v>
      </c>
      <c r="E1369" s="187">
        <v>14018.5</v>
      </c>
      <c r="F1369" s="146">
        <f t="shared" si="24"/>
        <v>2.6284263414808606E-3</v>
      </c>
    </row>
    <row r="1370" spans="4:6" ht="15.6" x14ac:dyDescent="0.3">
      <c r="D1370" s="145">
        <v>44196</v>
      </c>
      <c r="E1370" s="187">
        <v>13981.75</v>
      </c>
      <c r="F1370" s="146">
        <f t="shared" si="24"/>
        <v>-1.430415643033367E-5</v>
      </c>
    </row>
    <row r="1371" spans="4:6" ht="15.6" x14ac:dyDescent="0.3">
      <c r="D1371" s="145">
        <v>44195</v>
      </c>
      <c r="E1371" s="187">
        <v>13981.95</v>
      </c>
      <c r="F1371" s="146">
        <f t="shared" ref="F1371:F1434" si="25">E1371/E1372-1</f>
        <v>3.5420524525213715E-3</v>
      </c>
    </row>
    <row r="1372" spans="4:6" ht="15.6" x14ac:dyDescent="0.3">
      <c r="D1372" s="145">
        <v>44194</v>
      </c>
      <c r="E1372" s="187">
        <v>13932.6</v>
      </c>
      <c r="F1372" s="146">
        <f t="shared" si="25"/>
        <v>4.2816365366318276E-3</v>
      </c>
    </row>
    <row r="1373" spans="4:6" ht="15.6" x14ac:dyDescent="0.3">
      <c r="D1373" s="145">
        <v>44193</v>
      </c>
      <c r="E1373" s="187">
        <v>13873.2</v>
      </c>
      <c r="F1373" s="146">
        <f t="shared" si="25"/>
        <v>9.0150371838464416E-3</v>
      </c>
    </row>
    <row r="1374" spans="4:6" ht="15.6" x14ac:dyDescent="0.3">
      <c r="D1374" s="145">
        <v>44189</v>
      </c>
      <c r="E1374" s="187">
        <v>13749.25</v>
      </c>
      <c r="F1374" s="146">
        <f t="shared" si="25"/>
        <v>1.0892501341803307E-2</v>
      </c>
    </row>
    <row r="1375" spans="4:6" ht="15.6" x14ac:dyDescent="0.3">
      <c r="D1375" s="145">
        <v>44188</v>
      </c>
      <c r="E1375" s="187">
        <v>13601.1</v>
      </c>
      <c r="F1375" s="146">
        <f t="shared" si="25"/>
        <v>1.0010173544329204E-2</v>
      </c>
    </row>
    <row r="1376" spans="4:6" ht="15.6" x14ac:dyDescent="0.3">
      <c r="D1376" s="145">
        <v>44187</v>
      </c>
      <c r="E1376" s="187">
        <v>13466.3</v>
      </c>
      <c r="F1376" s="146">
        <f t="shared" si="25"/>
        <v>1.0346328141412231E-2</v>
      </c>
    </row>
    <row r="1377" spans="4:6" ht="15.6" x14ac:dyDescent="0.3">
      <c r="D1377" s="145">
        <v>44186</v>
      </c>
      <c r="E1377" s="187">
        <v>13328.4</v>
      </c>
      <c r="F1377" s="146">
        <f t="shared" si="25"/>
        <v>-3.1404994713147394E-2</v>
      </c>
    </row>
    <row r="1378" spans="4:6" ht="15.6" x14ac:dyDescent="0.3">
      <c r="D1378" s="145">
        <v>44183</v>
      </c>
      <c r="E1378" s="187">
        <v>13760.55</v>
      </c>
      <c r="F1378" s="146">
        <f t="shared" si="25"/>
        <v>1.4446134476409078E-3</v>
      </c>
    </row>
    <row r="1379" spans="4:6" ht="15.6" x14ac:dyDescent="0.3">
      <c r="D1379" s="145">
        <v>44182</v>
      </c>
      <c r="E1379" s="187">
        <v>13740.7</v>
      </c>
      <c r="F1379" s="146">
        <f t="shared" si="25"/>
        <v>4.2389294510585263E-3</v>
      </c>
    </row>
    <row r="1380" spans="4:6" ht="15.6" x14ac:dyDescent="0.3">
      <c r="D1380" s="145">
        <v>44181</v>
      </c>
      <c r="E1380" s="187">
        <v>13682.7</v>
      </c>
      <c r="F1380" s="146">
        <f t="shared" si="25"/>
        <v>8.4648636298307878E-3</v>
      </c>
    </row>
    <row r="1381" spans="4:6" ht="15.6" x14ac:dyDescent="0.3">
      <c r="D1381" s="145">
        <v>44180</v>
      </c>
      <c r="E1381" s="187">
        <v>13567.85</v>
      </c>
      <c r="F1381" s="146">
        <f t="shared" si="25"/>
        <v>7.1543684057195911E-4</v>
      </c>
    </row>
    <row r="1382" spans="4:6" ht="15.6" x14ac:dyDescent="0.3">
      <c r="D1382" s="145">
        <v>44179</v>
      </c>
      <c r="E1382" s="187">
        <v>13558.15</v>
      </c>
      <c r="F1382" s="146">
        <f t="shared" si="25"/>
        <v>3.2781183748524789E-3</v>
      </c>
    </row>
    <row r="1383" spans="4:6" ht="15.6" x14ac:dyDescent="0.3">
      <c r="D1383" s="145">
        <v>44176</v>
      </c>
      <c r="E1383" s="187">
        <v>13513.85</v>
      </c>
      <c r="F1383" s="146">
        <f t="shared" si="25"/>
        <v>2.6375729876915166E-3</v>
      </c>
    </row>
    <row r="1384" spans="4:6" ht="15.6" x14ac:dyDescent="0.3">
      <c r="D1384" s="145">
        <v>44175</v>
      </c>
      <c r="E1384" s="187">
        <v>13478.3</v>
      </c>
      <c r="F1384" s="146">
        <f t="shared" si="25"/>
        <v>-3.7548691339409634E-3</v>
      </c>
    </row>
    <row r="1385" spans="4:6" ht="15.6" x14ac:dyDescent="0.3">
      <c r="D1385" s="145">
        <v>44174</v>
      </c>
      <c r="E1385" s="187">
        <v>13529.1</v>
      </c>
      <c r="F1385" s="146">
        <f t="shared" si="25"/>
        <v>1.0165796183813081E-2</v>
      </c>
    </row>
    <row r="1386" spans="4:6" ht="15.6" x14ac:dyDescent="0.3">
      <c r="D1386" s="145">
        <v>44173</v>
      </c>
      <c r="E1386" s="187">
        <v>13392.95</v>
      </c>
      <c r="F1386" s="146">
        <f t="shared" si="25"/>
        <v>2.785317185481917E-3</v>
      </c>
    </row>
    <row r="1387" spans="4:6" ht="15.6" x14ac:dyDescent="0.3">
      <c r="D1387" s="145">
        <v>44172</v>
      </c>
      <c r="E1387" s="187">
        <v>13355.75</v>
      </c>
      <c r="F1387" s="146">
        <f t="shared" si="25"/>
        <v>7.331118410384363E-3</v>
      </c>
    </row>
    <row r="1388" spans="4:6" ht="15.6" x14ac:dyDescent="0.3">
      <c r="D1388" s="145">
        <v>44169</v>
      </c>
      <c r="E1388" s="187">
        <v>13258.55</v>
      </c>
      <c r="F1388" s="146">
        <f t="shared" si="25"/>
        <v>9.4907072537480097E-3</v>
      </c>
    </row>
    <row r="1389" spans="4:6" ht="15.6" x14ac:dyDescent="0.3">
      <c r="D1389" s="145">
        <v>44168</v>
      </c>
      <c r="E1389" s="187">
        <v>13133.9</v>
      </c>
      <c r="F1389" s="146">
        <f t="shared" si="25"/>
        <v>1.5365551425030599E-3</v>
      </c>
    </row>
    <row r="1390" spans="4:6" ht="15.6" x14ac:dyDescent="0.3">
      <c r="D1390" s="145">
        <v>44167</v>
      </c>
      <c r="E1390" s="187">
        <v>13113.75</v>
      </c>
      <c r="F1390" s="146">
        <f t="shared" si="25"/>
        <v>3.5853093855009455E-4</v>
      </c>
    </row>
    <row r="1391" spans="4:6" ht="15.6" x14ac:dyDescent="0.3">
      <c r="D1391" s="145">
        <v>44166</v>
      </c>
      <c r="E1391" s="187">
        <v>13109.05</v>
      </c>
      <c r="F1391" s="146">
        <f t="shared" si="25"/>
        <v>1.0802724970024435E-2</v>
      </c>
    </row>
    <row r="1392" spans="4:6" ht="15.6" x14ac:dyDescent="0.3">
      <c r="D1392" s="145">
        <v>44162</v>
      </c>
      <c r="E1392" s="187">
        <v>12968.95</v>
      </c>
      <c r="F1392" s="146">
        <f t="shared" si="25"/>
        <v>-1.3898513898513709E-3</v>
      </c>
    </row>
    <row r="1393" spans="4:6" ht="15.6" x14ac:dyDescent="0.3">
      <c r="D1393" s="145">
        <v>44161</v>
      </c>
      <c r="E1393" s="187">
        <v>12987</v>
      </c>
      <c r="F1393" s="146">
        <f t="shared" si="25"/>
        <v>1.000124432277727E-2</v>
      </c>
    </row>
    <row r="1394" spans="4:6" ht="15.6" x14ac:dyDescent="0.3">
      <c r="D1394" s="145">
        <v>44160</v>
      </c>
      <c r="E1394" s="187">
        <v>12858.4</v>
      </c>
      <c r="F1394" s="146">
        <f t="shared" si="25"/>
        <v>-1.5070680919024304E-2</v>
      </c>
    </row>
    <row r="1395" spans="4:6" ht="15.6" x14ac:dyDescent="0.3">
      <c r="D1395" s="145">
        <v>44159</v>
      </c>
      <c r="E1395" s="187">
        <v>13055.15</v>
      </c>
      <c r="F1395" s="146">
        <f t="shared" si="25"/>
        <v>9.956329850809631E-3</v>
      </c>
    </row>
    <row r="1396" spans="4:6" ht="15.6" x14ac:dyDescent="0.3">
      <c r="D1396" s="145">
        <v>44158</v>
      </c>
      <c r="E1396" s="187">
        <v>12926.45</v>
      </c>
      <c r="F1396" s="146">
        <f t="shared" si="25"/>
        <v>5.2414447412523213E-3</v>
      </c>
    </row>
    <row r="1397" spans="4:6" ht="15.6" x14ac:dyDescent="0.3">
      <c r="D1397" s="145">
        <v>44155</v>
      </c>
      <c r="E1397" s="187">
        <v>12859.05</v>
      </c>
      <c r="F1397" s="146">
        <f t="shared" si="25"/>
        <v>6.8393401035100609E-3</v>
      </c>
    </row>
    <row r="1398" spans="4:6" ht="15.6" x14ac:dyDescent="0.3">
      <c r="D1398" s="145">
        <v>44154</v>
      </c>
      <c r="E1398" s="187">
        <v>12771.7</v>
      </c>
      <c r="F1398" s="146">
        <f t="shared" si="25"/>
        <v>-1.2872683709156951E-2</v>
      </c>
    </row>
    <row r="1399" spans="4:6" ht="15.6" x14ac:dyDescent="0.3">
      <c r="D1399" s="145">
        <v>44153</v>
      </c>
      <c r="E1399" s="187">
        <v>12938.25</v>
      </c>
      <c r="F1399" s="146">
        <f t="shared" si="25"/>
        <v>4.9750664118934917E-3</v>
      </c>
    </row>
    <row r="1400" spans="4:6" ht="15.6" x14ac:dyDescent="0.3">
      <c r="D1400" s="145">
        <v>44152</v>
      </c>
      <c r="E1400" s="187">
        <v>12874.2</v>
      </c>
      <c r="F1400" s="146">
        <f t="shared" si="25"/>
        <v>7.3511864008921624E-3</v>
      </c>
    </row>
    <row r="1401" spans="4:6" ht="15.6" x14ac:dyDescent="0.3">
      <c r="D1401" s="145">
        <v>44149</v>
      </c>
      <c r="E1401" s="187">
        <v>12780.25</v>
      </c>
      <c r="F1401" s="146">
        <f t="shared" si="25"/>
        <v>4.7405846721095823E-3</v>
      </c>
    </row>
    <row r="1402" spans="4:6" ht="15.6" x14ac:dyDescent="0.3">
      <c r="D1402" s="145">
        <v>44148</v>
      </c>
      <c r="E1402" s="187">
        <v>12719.95</v>
      </c>
      <c r="F1402" s="146">
        <f t="shared" si="25"/>
        <v>2.2969395152394601E-3</v>
      </c>
    </row>
    <row r="1403" spans="4:6" ht="15.6" x14ac:dyDescent="0.3">
      <c r="D1403" s="145">
        <v>44147</v>
      </c>
      <c r="E1403" s="187">
        <v>12690.8</v>
      </c>
      <c r="F1403" s="146">
        <f t="shared" si="25"/>
        <v>-4.5767757066157433E-3</v>
      </c>
    </row>
    <row r="1404" spans="4:6" ht="15.6" x14ac:dyDescent="0.3">
      <c r="D1404" s="145">
        <v>44146</v>
      </c>
      <c r="E1404" s="187">
        <v>12749.15</v>
      </c>
      <c r="F1404" s="146">
        <f t="shared" si="25"/>
        <v>9.3459793683843273E-3</v>
      </c>
    </row>
    <row r="1405" spans="4:6" ht="15.6" x14ac:dyDescent="0.3">
      <c r="D1405" s="145">
        <v>44145</v>
      </c>
      <c r="E1405" s="187">
        <v>12631.1</v>
      </c>
      <c r="F1405" s="146">
        <f t="shared" si="25"/>
        <v>1.3646522564310537E-2</v>
      </c>
    </row>
    <row r="1406" spans="4:6" ht="15.6" x14ac:dyDescent="0.3">
      <c r="D1406" s="145">
        <v>44144</v>
      </c>
      <c r="E1406" s="187">
        <v>12461.05</v>
      </c>
      <c r="F1406" s="146">
        <f t="shared" si="25"/>
        <v>1.6104635280974833E-2</v>
      </c>
    </row>
    <row r="1407" spans="4:6" ht="15.6" x14ac:dyDescent="0.3">
      <c r="D1407" s="145">
        <v>44141</v>
      </c>
      <c r="E1407" s="187">
        <v>12263.55</v>
      </c>
      <c r="F1407" s="146">
        <f t="shared" si="25"/>
        <v>1.1819014380832105E-2</v>
      </c>
    </row>
    <row r="1408" spans="4:6" ht="15.6" x14ac:dyDescent="0.3">
      <c r="D1408" s="145">
        <v>44140</v>
      </c>
      <c r="E1408" s="187">
        <v>12120.3</v>
      </c>
      <c r="F1408" s="146">
        <f t="shared" si="25"/>
        <v>1.7785615316790571E-2</v>
      </c>
    </row>
    <row r="1409" spans="4:6" ht="15.6" x14ac:dyDescent="0.3">
      <c r="D1409" s="145">
        <v>44139</v>
      </c>
      <c r="E1409" s="187">
        <v>11908.5</v>
      </c>
      <c r="F1409" s="146">
        <f t="shared" si="25"/>
        <v>8.0416472679560869E-3</v>
      </c>
    </row>
    <row r="1410" spans="4:6" ht="15.6" x14ac:dyDescent="0.3">
      <c r="D1410" s="145">
        <v>44138</v>
      </c>
      <c r="E1410" s="187">
        <v>11813.5</v>
      </c>
      <c r="F1410" s="146">
        <f t="shared" si="25"/>
        <v>1.237022405230892E-2</v>
      </c>
    </row>
    <row r="1411" spans="4:6" ht="15.6" x14ac:dyDescent="0.3">
      <c r="D1411" s="145">
        <v>44137</v>
      </c>
      <c r="E1411" s="187">
        <v>11669.15</v>
      </c>
      <c r="F1411" s="146">
        <f t="shared" si="25"/>
        <v>2.297636226207711E-3</v>
      </c>
    </row>
    <row r="1412" spans="4:6" ht="15.6" x14ac:dyDescent="0.3">
      <c r="D1412" s="145">
        <v>44134</v>
      </c>
      <c r="E1412" s="187">
        <v>11642.4</v>
      </c>
      <c r="F1412" s="146">
        <f t="shared" si="25"/>
        <v>-2.4334235870719922E-3</v>
      </c>
    </row>
    <row r="1413" spans="4:6" ht="15.6" x14ac:dyDescent="0.3">
      <c r="D1413" s="145">
        <v>44133</v>
      </c>
      <c r="E1413" s="187">
        <v>11670.8</v>
      </c>
      <c r="F1413" s="146">
        <f t="shared" si="25"/>
        <v>-5.0129586686673555E-3</v>
      </c>
    </row>
    <row r="1414" spans="4:6" ht="15.6" x14ac:dyDescent="0.3">
      <c r="D1414" s="145">
        <v>44132</v>
      </c>
      <c r="E1414" s="187">
        <v>11729.6</v>
      </c>
      <c r="F1414" s="146">
        <f t="shared" si="25"/>
        <v>-1.3440543677561423E-2</v>
      </c>
    </row>
    <row r="1415" spans="4:6" ht="15.6" x14ac:dyDescent="0.3">
      <c r="D1415" s="145">
        <v>44131</v>
      </c>
      <c r="E1415" s="187">
        <v>11889.4</v>
      </c>
      <c r="F1415" s="146">
        <f t="shared" si="25"/>
        <v>1.0337575152429279E-2</v>
      </c>
    </row>
    <row r="1416" spans="4:6" ht="15.6" x14ac:dyDescent="0.3">
      <c r="D1416" s="145">
        <v>44130</v>
      </c>
      <c r="E1416" s="187">
        <v>11767.75</v>
      </c>
      <c r="F1416" s="146">
        <f t="shared" si="25"/>
        <v>-1.362910560042252E-2</v>
      </c>
    </row>
    <row r="1417" spans="4:6" ht="15.6" x14ac:dyDescent="0.3">
      <c r="D1417" s="145">
        <v>44127</v>
      </c>
      <c r="E1417" s="187">
        <v>11930.35</v>
      </c>
      <c r="F1417" s="146">
        <f t="shared" si="25"/>
        <v>2.8495895834470542E-3</v>
      </c>
    </row>
    <row r="1418" spans="4:6" ht="15.6" x14ac:dyDescent="0.3">
      <c r="D1418" s="145">
        <v>44126</v>
      </c>
      <c r="E1418" s="187">
        <v>11896.45</v>
      </c>
      <c r="F1418" s="146">
        <f t="shared" si="25"/>
        <v>-3.4512655338361231E-3</v>
      </c>
    </row>
    <row r="1419" spans="4:6" ht="15.6" x14ac:dyDescent="0.3">
      <c r="D1419" s="145">
        <v>44125</v>
      </c>
      <c r="E1419" s="187">
        <v>11937.65</v>
      </c>
      <c r="F1419" s="146">
        <f t="shared" si="25"/>
        <v>3.4336964561898498E-3</v>
      </c>
    </row>
    <row r="1420" spans="4:6" ht="15.6" x14ac:dyDescent="0.3">
      <c r="D1420" s="145">
        <v>44124</v>
      </c>
      <c r="E1420" s="187">
        <v>11896.8</v>
      </c>
      <c r="F1420" s="146">
        <f t="shared" si="25"/>
        <v>2.0003284749916528E-3</v>
      </c>
    </row>
    <row r="1421" spans="4:6" ht="15.6" x14ac:dyDescent="0.3">
      <c r="D1421" s="145">
        <v>44123</v>
      </c>
      <c r="E1421" s="187">
        <v>11873.05</v>
      </c>
      <c r="F1421" s="146">
        <f t="shared" si="25"/>
        <v>9.4028029874726471E-3</v>
      </c>
    </row>
    <row r="1422" spans="4:6" ht="15.6" x14ac:dyDescent="0.3">
      <c r="D1422" s="145">
        <v>44120</v>
      </c>
      <c r="E1422" s="187">
        <v>11762.45</v>
      </c>
      <c r="F1422" s="146">
        <f t="shared" si="25"/>
        <v>7.0288989627880216E-3</v>
      </c>
    </row>
    <row r="1423" spans="4:6" ht="15.6" x14ac:dyDescent="0.3">
      <c r="D1423" s="145">
        <v>44119</v>
      </c>
      <c r="E1423" s="187">
        <v>11680.35</v>
      </c>
      <c r="F1423" s="146">
        <f t="shared" si="25"/>
        <v>-2.4283584146753912E-2</v>
      </c>
    </row>
    <row r="1424" spans="4:6" ht="15.6" x14ac:dyDescent="0.3">
      <c r="D1424" s="145">
        <v>44118</v>
      </c>
      <c r="E1424" s="187">
        <v>11971.05</v>
      </c>
      <c r="F1424" s="146">
        <f t="shared" si="25"/>
        <v>3.0625497507226207E-3</v>
      </c>
    </row>
    <row r="1425" spans="4:6" ht="15.6" x14ac:dyDescent="0.3">
      <c r="D1425" s="145">
        <v>44117</v>
      </c>
      <c r="E1425" s="187">
        <v>11934.5</v>
      </c>
      <c r="F1425" s="146">
        <f t="shared" si="25"/>
        <v>2.9754545949822742E-4</v>
      </c>
    </row>
    <row r="1426" spans="4:6" ht="15.6" x14ac:dyDescent="0.3">
      <c r="D1426" s="145">
        <v>44116</v>
      </c>
      <c r="E1426" s="187">
        <v>11930.95</v>
      </c>
      <c r="F1426" s="146">
        <f t="shared" si="25"/>
        <v>1.4058854140437393E-3</v>
      </c>
    </row>
    <row r="1427" spans="4:6" ht="15.6" x14ac:dyDescent="0.3">
      <c r="D1427" s="145">
        <v>44113</v>
      </c>
      <c r="E1427" s="187">
        <v>11914.2</v>
      </c>
      <c r="F1427" s="146">
        <f t="shared" si="25"/>
        <v>6.7260405928379896E-3</v>
      </c>
    </row>
    <row r="1428" spans="4:6" ht="15.6" x14ac:dyDescent="0.3">
      <c r="D1428" s="145">
        <v>44112</v>
      </c>
      <c r="E1428" s="187">
        <v>11834.6</v>
      </c>
      <c r="F1428" s="146">
        <f t="shared" si="25"/>
        <v>8.1566763354161687E-3</v>
      </c>
    </row>
    <row r="1429" spans="4:6" ht="15.6" x14ac:dyDescent="0.3">
      <c r="D1429" s="145">
        <v>44111</v>
      </c>
      <c r="E1429" s="187">
        <v>11738.85</v>
      </c>
      <c r="F1429" s="146">
        <f t="shared" si="25"/>
        <v>6.555254493071816E-3</v>
      </c>
    </row>
    <row r="1430" spans="4:6" ht="15.6" x14ac:dyDescent="0.3">
      <c r="D1430" s="145">
        <v>44110</v>
      </c>
      <c r="E1430" s="187">
        <v>11662.4</v>
      </c>
      <c r="F1430" s="146">
        <f t="shared" si="25"/>
        <v>1.3826407090108406E-2</v>
      </c>
    </row>
    <row r="1431" spans="4:6" ht="15.6" x14ac:dyDescent="0.3">
      <c r="D1431" s="145">
        <v>44109</v>
      </c>
      <c r="E1431" s="187">
        <v>11503.35</v>
      </c>
      <c r="F1431" s="146">
        <f t="shared" si="25"/>
        <v>7.5676954002601438E-3</v>
      </c>
    </row>
    <row r="1432" spans="4:6" ht="15.6" x14ac:dyDescent="0.3">
      <c r="D1432" s="145">
        <v>44105</v>
      </c>
      <c r="E1432" s="187">
        <v>11416.95</v>
      </c>
      <c r="F1432" s="146">
        <f t="shared" si="25"/>
        <v>1.5061057741463824E-2</v>
      </c>
    </row>
    <row r="1433" spans="4:6" ht="15.6" x14ac:dyDescent="0.3">
      <c r="D1433" s="145">
        <v>44104</v>
      </c>
      <c r="E1433" s="187">
        <v>11247.55</v>
      </c>
      <c r="F1433" s="146">
        <f t="shared" si="25"/>
        <v>2.2410536070716081E-3</v>
      </c>
    </row>
    <row r="1434" spans="4:6" ht="15.6" x14ac:dyDescent="0.3">
      <c r="D1434" s="145">
        <v>44103</v>
      </c>
      <c r="E1434" s="187">
        <v>11222.4</v>
      </c>
      <c r="F1434" s="146">
        <f t="shared" si="25"/>
        <v>-4.5869312539237317E-4</v>
      </c>
    </row>
    <row r="1435" spans="4:6" ht="15.6" x14ac:dyDescent="0.3">
      <c r="D1435" s="145">
        <v>44102</v>
      </c>
      <c r="E1435" s="187">
        <v>11227.55</v>
      </c>
      <c r="F1435" s="146">
        <f t="shared" ref="F1435:F1498" si="26">E1435/E1436-1</f>
        <v>1.6044885862310787E-2</v>
      </c>
    </row>
    <row r="1436" spans="4:6" ht="15.6" x14ac:dyDescent="0.3">
      <c r="D1436" s="145">
        <v>44099</v>
      </c>
      <c r="E1436" s="187">
        <v>11050.25</v>
      </c>
      <c r="F1436" s="146">
        <f t="shared" si="26"/>
        <v>2.2645769997825305E-2</v>
      </c>
    </row>
    <row r="1437" spans="4:6" ht="15.6" x14ac:dyDescent="0.3">
      <c r="D1437" s="145">
        <v>44098</v>
      </c>
      <c r="E1437" s="187">
        <v>10805.55</v>
      </c>
      <c r="F1437" s="146">
        <f t="shared" si="26"/>
        <v>-2.9312288613303372E-2</v>
      </c>
    </row>
    <row r="1438" spans="4:6" ht="15.6" x14ac:dyDescent="0.3">
      <c r="D1438" s="145">
        <v>44097</v>
      </c>
      <c r="E1438" s="187">
        <v>11131.85</v>
      </c>
      <c r="F1438" s="146">
        <f t="shared" si="26"/>
        <v>-1.9545171311632359E-3</v>
      </c>
    </row>
    <row r="1439" spans="4:6" ht="15.6" x14ac:dyDescent="0.3">
      <c r="D1439" s="145">
        <v>44096</v>
      </c>
      <c r="E1439" s="187">
        <v>11153.65</v>
      </c>
      <c r="F1439" s="146">
        <f t="shared" si="26"/>
        <v>-8.6129122576229511E-3</v>
      </c>
    </row>
    <row r="1440" spans="4:6" ht="15.6" x14ac:dyDescent="0.3">
      <c r="D1440" s="145">
        <v>44095</v>
      </c>
      <c r="E1440" s="187">
        <v>11250.55</v>
      </c>
      <c r="F1440" s="146">
        <f t="shared" si="26"/>
        <v>-2.2112221261283316E-2</v>
      </c>
    </row>
    <row r="1441" spans="4:6" ht="15.6" x14ac:dyDescent="0.3">
      <c r="D1441" s="145">
        <v>44092</v>
      </c>
      <c r="E1441" s="187">
        <v>11504.95</v>
      </c>
      <c r="F1441" s="146">
        <f t="shared" si="26"/>
        <v>-9.6820972377797965E-4</v>
      </c>
    </row>
    <row r="1442" spans="4:6" ht="15.6" x14ac:dyDescent="0.3">
      <c r="D1442" s="145">
        <v>44091</v>
      </c>
      <c r="E1442" s="187">
        <v>11516.1</v>
      </c>
      <c r="F1442" s="146">
        <f t="shared" si="26"/>
        <v>-7.6220103321541499E-3</v>
      </c>
    </row>
    <row r="1443" spans="4:6" ht="15.6" x14ac:dyDescent="0.3">
      <c r="D1443" s="145">
        <v>44090</v>
      </c>
      <c r="E1443" s="187">
        <v>11604.55</v>
      </c>
      <c r="F1443" s="146">
        <f t="shared" si="26"/>
        <v>7.182037528858265E-3</v>
      </c>
    </row>
    <row r="1444" spans="4:6" ht="15.6" x14ac:dyDescent="0.3">
      <c r="D1444" s="145">
        <v>44089</v>
      </c>
      <c r="E1444" s="187">
        <v>11521.8</v>
      </c>
      <c r="F1444" s="146">
        <f t="shared" si="26"/>
        <v>7.1459477886897105E-3</v>
      </c>
    </row>
    <row r="1445" spans="4:6" ht="15.6" x14ac:dyDescent="0.3">
      <c r="D1445" s="145">
        <v>44088</v>
      </c>
      <c r="E1445" s="187">
        <v>11440.05</v>
      </c>
      <c r="F1445" s="146">
        <f t="shared" si="26"/>
        <v>-2.1283184103905173E-3</v>
      </c>
    </row>
    <row r="1446" spans="4:6" ht="15.6" x14ac:dyDescent="0.3">
      <c r="D1446" s="145">
        <v>44085</v>
      </c>
      <c r="E1446" s="187">
        <v>11464.45</v>
      </c>
      <c r="F1446" s="146">
        <f t="shared" si="26"/>
        <v>1.3275978775904029E-3</v>
      </c>
    </row>
    <row r="1447" spans="4:6" ht="15.6" x14ac:dyDescent="0.3">
      <c r="D1447" s="145">
        <v>44084</v>
      </c>
      <c r="E1447" s="187">
        <v>11449.25</v>
      </c>
      <c r="F1447" s="146">
        <f t="shared" si="26"/>
        <v>1.5184429863450921E-2</v>
      </c>
    </row>
    <row r="1448" spans="4:6" ht="15.6" x14ac:dyDescent="0.3">
      <c r="D1448" s="145">
        <v>44083</v>
      </c>
      <c r="E1448" s="187">
        <v>11278</v>
      </c>
      <c r="F1448" s="146">
        <f t="shared" si="26"/>
        <v>-3.4769623630973578E-3</v>
      </c>
    </row>
    <row r="1449" spans="4:6" ht="15.6" x14ac:dyDescent="0.3">
      <c r="D1449" s="145">
        <v>44082</v>
      </c>
      <c r="E1449" s="187">
        <v>11317.35</v>
      </c>
      <c r="F1449" s="146">
        <f t="shared" si="26"/>
        <v>-3.3201086741140307E-3</v>
      </c>
    </row>
    <row r="1450" spans="4:6" ht="15.6" x14ac:dyDescent="0.3">
      <c r="D1450" s="145">
        <v>44081</v>
      </c>
      <c r="E1450" s="187">
        <v>11355.05</v>
      </c>
      <c r="F1450" s="146">
        <f t="shared" si="26"/>
        <v>1.8705029623649061E-3</v>
      </c>
    </row>
    <row r="1451" spans="4:6" ht="15.6" x14ac:dyDescent="0.3">
      <c r="D1451" s="145">
        <v>44078</v>
      </c>
      <c r="E1451" s="187">
        <v>11333.85</v>
      </c>
      <c r="F1451" s="146">
        <f t="shared" si="26"/>
        <v>-1.6794694403359012E-2</v>
      </c>
    </row>
    <row r="1452" spans="4:6" ht="15.6" x14ac:dyDescent="0.3">
      <c r="D1452" s="145">
        <v>44077</v>
      </c>
      <c r="E1452" s="187">
        <v>11527.45</v>
      </c>
      <c r="F1452" s="146">
        <f t="shared" si="26"/>
        <v>-6.5452969224089053E-4</v>
      </c>
    </row>
    <row r="1453" spans="4:6" ht="15.6" x14ac:dyDescent="0.3">
      <c r="D1453" s="145">
        <v>44076</v>
      </c>
      <c r="E1453" s="187">
        <v>11535</v>
      </c>
      <c r="F1453" s="146">
        <f t="shared" si="26"/>
        <v>5.6450382511279429E-3</v>
      </c>
    </row>
    <row r="1454" spans="4:6" ht="15.6" x14ac:dyDescent="0.3">
      <c r="D1454" s="145">
        <v>44075</v>
      </c>
      <c r="E1454" s="187">
        <v>11470.25</v>
      </c>
      <c r="F1454" s="146">
        <f t="shared" si="26"/>
        <v>7.2667398463226451E-3</v>
      </c>
    </row>
    <row r="1455" spans="4:6" ht="15.6" x14ac:dyDescent="0.3">
      <c r="D1455" s="145">
        <v>44074</v>
      </c>
      <c r="E1455" s="187">
        <v>11387.5</v>
      </c>
      <c r="F1455" s="146">
        <f t="shared" si="26"/>
        <v>-2.2330780589992827E-2</v>
      </c>
    </row>
    <row r="1456" spans="4:6" ht="15.6" x14ac:dyDescent="0.3">
      <c r="D1456" s="145">
        <v>44071</v>
      </c>
      <c r="E1456" s="187">
        <v>11647.6</v>
      </c>
      <c r="F1456" s="146">
        <f t="shared" si="26"/>
        <v>7.6432294482773333E-3</v>
      </c>
    </row>
    <row r="1457" spans="4:6" ht="15.6" x14ac:dyDescent="0.3">
      <c r="D1457" s="145">
        <v>44070</v>
      </c>
      <c r="E1457" s="187">
        <v>11559.25</v>
      </c>
      <c r="F1457" s="146">
        <f t="shared" si="26"/>
        <v>8.3552677148990284E-4</v>
      </c>
    </row>
    <row r="1458" spans="4:6" ht="15.6" x14ac:dyDescent="0.3">
      <c r="D1458" s="145">
        <v>44069</v>
      </c>
      <c r="E1458" s="187">
        <v>11549.6</v>
      </c>
      <c r="F1458" s="146">
        <f t="shared" si="26"/>
        <v>6.7423565560373877E-3</v>
      </c>
    </row>
    <row r="1459" spans="4:6" ht="15.6" x14ac:dyDescent="0.3">
      <c r="D1459" s="145">
        <v>44068</v>
      </c>
      <c r="E1459" s="187">
        <v>11472.25</v>
      </c>
      <c r="F1459" s="146">
        <f t="shared" si="26"/>
        <v>5.0582351120009861E-4</v>
      </c>
    </row>
    <row r="1460" spans="4:6" ht="15.6" x14ac:dyDescent="0.3">
      <c r="D1460" s="145">
        <v>44067</v>
      </c>
      <c r="E1460" s="187">
        <v>11466.45</v>
      </c>
      <c r="F1460" s="146">
        <f t="shared" si="26"/>
        <v>8.3409546589749972E-3</v>
      </c>
    </row>
    <row r="1461" spans="4:6" ht="15.6" x14ac:dyDescent="0.3">
      <c r="D1461" s="145">
        <v>44064</v>
      </c>
      <c r="E1461" s="187">
        <v>11371.6</v>
      </c>
      <c r="F1461" s="146">
        <f t="shared" si="26"/>
        <v>5.2509679814713994E-3</v>
      </c>
    </row>
    <row r="1462" spans="4:6" ht="15.6" x14ac:dyDescent="0.3">
      <c r="D1462" s="145">
        <v>44063</v>
      </c>
      <c r="E1462" s="187">
        <v>11312.2</v>
      </c>
      <c r="F1462" s="146">
        <f t="shared" si="26"/>
        <v>-8.4323831562707063E-3</v>
      </c>
    </row>
    <row r="1463" spans="4:6" ht="15.6" x14ac:dyDescent="0.3">
      <c r="D1463" s="145">
        <v>44062</v>
      </c>
      <c r="E1463" s="187">
        <v>11408.4</v>
      </c>
      <c r="F1463" s="146">
        <f t="shared" si="26"/>
        <v>2.024531525161688E-3</v>
      </c>
    </row>
    <row r="1464" spans="4:6" ht="15.6" x14ac:dyDescent="0.3">
      <c r="D1464" s="145">
        <v>44061</v>
      </c>
      <c r="E1464" s="187">
        <v>11385.35</v>
      </c>
      <c r="F1464" s="146">
        <f t="shared" si="26"/>
        <v>1.2292057508157761E-2</v>
      </c>
    </row>
    <row r="1465" spans="4:6" ht="15.6" x14ac:dyDescent="0.3">
      <c r="D1465" s="145">
        <v>44060</v>
      </c>
      <c r="E1465" s="187">
        <v>11247.1</v>
      </c>
      <c r="F1465" s="146">
        <f t="shared" si="26"/>
        <v>6.1457811493594861E-3</v>
      </c>
    </row>
    <row r="1466" spans="4:6" ht="15.6" x14ac:dyDescent="0.3">
      <c r="D1466" s="145">
        <v>44057</v>
      </c>
      <c r="E1466" s="187">
        <v>11178.4</v>
      </c>
      <c r="F1466" s="146">
        <f t="shared" si="26"/>
        <v>-1.0800454849143271E-2</v>
      </c>
    </row>
    <row r="1467" spans="4:6" ht="15.6" x14ac:dyDescent="0.3">
      <c r="D1467" s="145">
        <v>44056</v>
      </c>
      <c r="E1467" s="187">
        <v>11300.45</v>
      </c>
      <c r="F1467" s="146">
        <f t="shared" si="26"/>
        <v>-7.0301722613264062E-4</v>
      </c>
    </row>
    <row r="1468" spans="4:6" ht="15.6" x14ac:dyDescent="0.3">
      <c r="D1468" s="145">
        <v>44055</v>
      </c>
      <c r="E1468" s="187">
        <v>11308.4</v>
      </c>
      <c r="F1468" s="146">
        <f t="shared" si="26"/>
        <v>-1.2453080150144347E-3</v>
      </c>
    </row>
    <row r="1469" spans="4:6" ht="15.6" x14ac:dyDescent="0.3">
      <c r="D1469" s="145">
        <v>44054</v>
      </c>
      <c r="E1469" s="187">
        <v>11322.5</v>
      </c>
      <c r="F1469" s="146">
        <f t="shared" si="26"/>
        <v>4.6450135978670648E-3</v>
      </c>
    </row>
    <row r="1470" spans="4:6" ht="15.6" x14ac:dyDescent="0.3">
      <c r="D1470" s="145">
        <v>44053</v>
      </c>
      <c r="E1470" s="187">
        <v>11270.15</v>
      </c>
      <c r="F1470" s="146">
        <f t="shared" si="26"/>
        <v>5.0026529220041915E-3</v>
      </c>
    </row>
    <row r="1471" spans="4:6" ht="15.6" x14ac:dyDescent="0.3">
      <c r="D1471" s="145">
        <v>44050</v>
      </c>
      <c r="E1471" s="187">
        <v>11214.05</v>
      </c>
      <c r="F1471" s="146">
        <f t="shared" si="26"/>
        <v>1.2410548073016336E-3</v>
      </c>
    </row>
    <row r="1472" spans="4:6" ht="15.6" x14ac:dyDescent="0.3">
      <c r="D1472" s="145">
        <v>44049</v>
      </c>
      <c r="E1472" s="187">
        <v>11200.15</v>
      </c>
      <c r="F1472" s="146">
        <f t="shared" si="26"/>
        <v>8.8725549805659387E-3</v>
      </c>
    </row>
    <row r="1473" spans="4:6" ht="15.6" x14ac:dyDescent="0.3">
      <c r="D1473" s="145">
        <v>44048</v>
      </c>
      <c r="E1473" s="187">
        <v>11101.65</v>
      </c>
      <c r="F1473" s="146">
        <f t="shared" si="26"/>
        <v>5.7682341542553139E-4</v>
      </c>
    </row>
    <row r="1474" spans="4:6" ht="15.6" x14ac:dyDescent="0.3">
      <c r="D1474" s="145">
        <v>44047</v>
      </c>
      <c r="E1474" s="187">
        <v>11095.25</v>
      </c>
      <c r="F1474" s="146">
        <f t="shared" si="26"/>
        <v>1.8697895625986893E-2</v>
      </c>
    </row>
    <row r="1475" spans="4:6" ht="15.6" x14ac:dyDescent="0.3">
      <c r="D1475" s="145">
        <v>44046</v>
      </c>
      <c r="E1475" s="187">
        <v>10891.6</v>
      </c>
      <c r="F1475" s="146">
        <f t="shared" si="26"/>
        <v>-1.6422162921221561E-2</v>
      </c>
    </row>
    <row r="1476" spans="4:6" ht="15.6" x14ac:dyDescent="0.3">
      <c r="D1476" s="145">
        <v>44043</v>
      </c>
      <c r="E1476" s="187">
        <v>11073.45</v>
      </c>
      <c r="F1476" s="146">
        <f t="shared" si="26"/>
        <v>-2.5850848709483287E-3</v>
      </c>
    </row>
    <row r="1477" spans="4:6" ht="15.6" x14ac:dyDescent="0.3">
      <c r="D1477" s="145">
        <v>44042</v>
      </c>
      <c r="E1477" s="187">
        <v>11102.15</v>
      </c>
      <c r="F1477" s="146">
        <f t="shared" si="26"/>
        <v>-8.9887841040450223E-3</v>
      </c>
    </row>
    <row r="1478" spans="4:6" ht="15.6" x14ac:dyDescent="0.3">
      <c r="D1478" s="145">
        <v>44041</v>
      </c>
      <c r="E1478" s="187">
        <v>11202.85</v>
      </c>
      <c r="F1478" s="146">
        <f t="shared" si="26"/>
        <v>-8.6455968957261931E-3</v>
      </c>
    </row>
    <row r="1479" spans="4:6" ht="15.6" x14ac:dyDescent="0.3">
      <c r="D1479" s="145">
        <v>44040</v>
      </c>
      <c r="E1479" s="187">
        <v>11300.55</v>
      </c>
      <c r="F1479" s="146">
        <f t="shared" si="26"/>
        <v>1.5159273432868048E-2</v>
      </c>
    </row>
    <row r="1480" spans="4:6" ht="15.6" x14ac:dyDescent="0.3">
      <c r="D1480" s="145">
        <v>44039</v>
      </c>
      <c r="E1480" s="187">
        <v>11131.8</v>
      </c>
      <c r="F1480" s="146">
        <f t="shared" si="26"/>
        <v>-5.5698735500239183E-3</v>
      </c>
    </row>
    <row r="1481" spans="4:6" ht="15.6" x14ac:dyDescent="0.3">
      <c r="D1481" s="145">
        <v>44036</v>
      </c>
      <c r="E1481" s="187">
        <v>11194.15</v>
      </c>
      <c r="F1481" s="146">
        <f t="shared" si="26"/>
        <v>-1.8991658827778313E-3</v>
      </c>
    </row>
    <row r="1482" spans="4:6" ht="15.6" x14ac:dyDescent="0.3">
      <c r="D1482" s="145">
        <v>44035</v>
      </c>
      <c r="E1482" s="187">
        <v>11215.45</v>
      </c>
      <c r="F1482" s="146">
        <f t="shared" si="26"/>
        <v>7.4421069651293692E-3</v>
      </c>
    </row>
    <row r="1483" spans="4:6" ht="15.6" x14ac:dyDescent="0.3">
      <c r="D1483" s="145">
        <v>44034</v>
      </c>
      <c r="E1483" s="187">
        <v>11132.6</v>
      </c>
      <c r="F1483" s="146">
        <f t="shared" si="26"/>
        <v>-2.6562744966291962E-3</v>
      </c>
    </row>
    <row r="1484" spans="4:6" ht="15.6" x14ac:dyDescent="0.3">
      <c r="D1484" s="145">
        <v>44033</v>
      </c>
      <c r="E1484" s="187">
        <v>11162.25</v>
      </c>
      <c r="F1484" s="146">
        <f t="shared" si="26"/>
        <v>1.2706174810836135E-2</v>
      </c>
    </row>
    <row r="1485" spans="4:6" ht="15.6" x14ac:dyDescent="0.3">
      <c r="D1485" s="145">
        <v>44032</v>
      </c>
      <c r="E1485" s="187">
        <v>11022.2</v>
      </c>
      <c r="F1485" s="146">
        <f t="shared" si="26"/>
        <v>1.1053321958960582E-2</v>
      </c>
    </row>
    <row r="1486" spans="4:6" ht="15.6" x14ac:dyDescent="0.3">
      <c r="D1486" s="145">
        <v>44029</v>
      </c>
      <c r="E1486" s="187">
        <v>10901.7</v>
      </c>
      <c r="F1486" s="146">
        <f t="shared" si="26"/>
        <v>1.5060591529755696E-2</v>
      </c>
    </row>
    <row r="1487" spans="4:6" ht="15.6" x14ac:dyDescent="0.3">
      <c r="D1487" s="145">
        <v>44028</v>
      </c>
      <c r="E1487" s="187">
        <v>10739.95</v>
      </c>
      <c r="F1487" s="146">
        <f t="shared" si="26"/>
        <v>1.1466161873010527E-2</v>
      </c>
    </row>
    <row r="1488" spans="4:6" ht="15.6" x14ac:dyDescent="0.3">
      <c r="D1488" s="145">
        <v>44027</v>
      </c>
      <c r="E1488" s="187">
        <v>10618.2</v>
      </c>
      <c r="F1488" s="146">
        <f t="shared" si="26"/>
        <v>1.0228756475463285E-3</v>
      </c>
    </row>
    <row r="1489" spans="4:6" ht="15.6" x14ac:dyDescent="0.3">
      <c r="D1489" s="145">
        <v>44026</v>
      </c>
      <c r="E1489" s="187">
        <v>10607.35</v>
      </c>
      <c r="F1489" s="146">
        <f t="shared" si="26"/>
        <v>-1.8083442102437397E-2</v>
      </c>
    </row>
    <row r="1490" spans="4:6" ht="15.6" x14ac:dyDescent="0.3">
      <c r="D1490" s="145">
        <v>44025</v>
      </c>
      <c r="E1490" s="187">
        <v>10802.7</v>
      </c>
      <c r="F1490" s="146">
        <f t="shared" si="26"/>
        <v>3.2178528145765384E-3</v>
      </c>
    </row>
    <row r="1491" spans="4:6" ht="15.6" x14ac:dyDescent="0.3">
      <c r="D1491" s="145">
        <v>44022</v>
      </c>
      <c r="E1491" s="187">
        <v>10768.05</v>
      </c>
      <c r="F1491" s="146">
        <f t="shared" si="26"/>
        <v>-4.1984750472792154E-3</v>
      </c>
    </row>
    <row r="1492" spans="4:6" ht="15.6" x14ac:dyDescent="0.3">
      <c r="D1492" s="145">
        <v>44021</v>
      </c>
      <c r="E1492" s="187">
        <v>10813.45</v>
      </c>
      <c r="F1492" s="146">
        <f t="shared" si="26"/>
        <v>1.006001447820104E-2</v>
      </c>
    </row>
    <row r="1493" spans="4:6" ht="15.6" x14ac:dyDescent="0.3">
      <c r="D1493" s="145">
        <v>44020</v>
      </c>
      <c r="E1493" s="187">
        <v>10705.75</v>
      </c>
      <c r="F1493" s="146">
        <f t="shared" si="26"/>
        <v>-8.6947262179792872E-3</v>
      </c>
    </row>
    <row r="1494" spans="4:6" ht="15.6" x14ac:dyDescent="0.3">
      <c r="D1494" s="145">
        <v>44019</v>
      </c>
      <c r="E1494" s="187">
        <v>10799.65</v>
      </c>
      <c r="F1494" s="146">
        <f t="shared" si="26"/>
        <v>3.3445903573601221E-3</v>
      </c>
    </row>
    <row r="1495" spans="4:6" ht="15.6" x14ac:dyDescent="0.3">
      <c r="D1495" s="145">
        <v>44018</v>
      </c>
      <c r="E1495" s="187">
        <v>10763.65</v>
      </c>
      <c r="F1495" s="146">
        <f t="shared" si="26"/>
        <v>1.4735065779860168E-2</v>
      </c>
    </row>
    <row r="1496" spans="4:6" ht="15.6" x14ac:dyDescent="0.3">
      <c r="D1496" s="145">
        <v>44015</v>
      </c>
      <c r="E1496" s="187">
        <v>10607.35</v>
      </c>
      <c r="F1496" s="146">
        <f t="shared" si="26"/>
        <v>5.2740316726214154E-3</v>
      </c>
    </row>
    <row r="1497" spans="4:6" ht="15.6" x14ac:dyDescent="0.3">
      <c r="D1497" s="145">
        <v>44014</v>
      </c>
      <c r="E1497" s="187">
        <v>10551.7</v>
      </c>
      <c r="F1497" s="146">
        <f t="shared" si="26"/>
        <v>1.1663414844607756E-2</v>
      </c>
    </row>
    <row r="1498" spans="4:6" ht="15.6" x14ac:dyDescent="0.3">
      <c r="D1498" s="145">
        <v>44013</v>
      </c>
      <c r="E1498" s="187">
        <v>10430.049999999999</v>
      </c>
      <c r="F1498" s="146">
        <f t="shared" si="26"/>
        <v>1.241979790528136E-2</v>
      </c>
    </row>
    <row r="1499" spans="4:6" ht="15.6" x14ac:dyDescent="0.3">
      <c r="D1499" s="145">
        <v>44012</v>
      </c>
      <c r="E1499" s="187">
        <v>10302.1</v>
      </c>
      <c r="F1499" s="146">
        <f t="shared" ref="F1499:F1562" si="27">E1499/E1500-1</f>
        <v>-9.9879756409748666E-4</v>
      </c>
    </row>
    <row r="1500" spans="4:6" ht="15.6" x14ac:dyDescent="0.3">
      <c r="D1500" s="145">
        <v>44011</v>
      </c>
      <c r="E1500" s="187">
        <v>10312.4</v>
      </c>
      <c r="F1500" s="146">
        <f t="shared" si="27"/>
        <v>-6.7995762303766361E-3</v>
      </c>
    </row>
    <row r="1501" spans="4:6" ht="15.6" x14ac:dyDescent="0.3">
      <c r="D1501" s="145">
        <v>44008</v>
      </c>
      <c r="E1501" s="187">
        <v>10383</v>
      </c>
      <c r="F1501" s="146">
        <f t="shared" si="27"/>
        <v>9.1457784602824166E-3</v>
      </c>
    </row>
    <row r="1502" spans="4:6" ht="15.6" x14ac:dyDescent="0.3">
      <c r="D1502" s="145">
        <v>44007</v>
      </c>
      <c r="E1502" s="187">
        <v>10288.9</v>
      </c>
      <c r="F1502" s="146">
        <f t="shared" si="27"/>
        <v>-1.5914141267114879E-3</v>
      </c>
    </row>
    <row r="1503" spans="4:6" ht="15.6" x14ac:dyDescent="0.3">
      <c r="D1503" s="145">
        <v>44006</v>
      </c>
      <c r="E1503" s="187">
        <v>10305.299999999999</v>
      </c>
      <c r="F1503" s="146">
        <f t="shared" si="27"/>
        <v>-1.5824658580842366E-2</v>
      </c>
    </row>
    <row r="1504" spans="4:6" ht="15.6" x14ac:dyDescent="0.3">
      <c r="D1504" s="145">
        <v>44005</v>
      </c>
      <c r="E1504" s="187">
        <v>10471</v>
      </c>
      <c r="F1504" s="146">
        <f t="shared" si="27"/>
        <v>1.5497711226627242E-2</v>
      </c>
    </row>
    <row r="1505" spans="4:6" ht="15.6" x14ac:dyDescent="0.3">
      <c r="D1505" s="145">
        <v>44004</v>
      </c>
      <c r="E1505" s="187">
        <v>10311.200000000001</v>
      </c>
      <c r="F1505" s="146">
        <f t="shared" si="27"/>
        <v>6.5206356643630059E-3</v>
      </c>
    </row>
    <row r="1506" spans="4:6" ht="15.6" x14ac:dyDescent="0.3">
      <c r="D1506" s="145">
        <v>44001</v>
      </c>
      <c r="E1506" s="187">
        <v>10244.4</v>
      </c>
      <c r="F1506" s="146">
        <f t="shared" si="27"/>
        <v>1.5136276030183415E-2</v>
      </c>
    </row>
    <row r="1507" spans="4:6" ht="15.6" x14ac:dyDescent="0.3">
      <c r="D1507" s="145">
        <v>44000</v>
      </c>
      <c r="E1507" s="187">
        <v>10091.65</v>
      </c>
      <c r="F1507" s="146">
        <f t="shared" si="27"/>
        <v>2.1303188394063532E-2</v>
      </c>
    </row>
    <row r="1508" spans="4:6" ht="15.6" x14ac:dyDescent="0.3">
      <c r="D1508" s="145">
        <v>43999</v>
      </c>
      <c r="E1508" s="187">
        <v>9881.15</v>
      </c>
      <c r="F1508" s="146">
        <f t="shared" si="27"/>
        <v>-3.3134960661690416E-3</v>
      </c>
    </row>
    <row r="1509" spans="4:6" ht="15.6" x14ac:dyDescent="0.3">
      <c r="D1509" s="145">
        <v>43998</v>
      </c>
      <c r="E1509" s="187">
        <v>9914</v>
      </c>
      <c r="F1509" s="146">
        <f t="shared" si="27"/>
        <v>1.0220406166889129E-2</v>
      </c>
    </row>
    <row r="1510" spans="4:6" ht="15.6" x14ac:dyDescent="0.3">
      <c r="D1510" s="145">
        <v>43997</v>
      </c>
      <c r="E1510" s="187">
        <v>9813.7000000000007</v>
      </c>
      <c r="F1510" s="146">
        <f t="shared" si="27"/>
        <v>-1.596326043578089E-2</v>
      </c>
    </row>
    <row r="1511" spans="4:6" ht="15.6" x14ac:dyDescent="0.3">
      <c r="D1511" s="145">
        <v>43994</v>
      </c>
      <c r="E1511" s="187">
        <v>9972.9</v>
      </c>
      <c r="F1511" s="146">
        <f t="shared" si="27"/>
        <v>7.1601696626943934E-3</v>
      </c>
    </row>
    <row r="1512" spans="4:6" ht="15.6" x14ac:dyDescent="0.3">
      <c r="D1512" s="145">
        <v>43993</v>
      </c>
      <c r="E1512" s="187">
        <v>9902</v>
      </c>
      <c r="F1512" s="146">
        <f t="shared" si="27"/>
        <v>-2.1169120663493524E-2</v>
      </c>
    </row>
    <row r="1513" spans="4:6" ht="15.6" x14ac:dyDescent="0.3">
      <c r="D1513" s="145">
        <v>43992</v>
      </c>
      <c r="E1513" s="187">
        <v>10116.15</v>
      </c>
      <c r="F1513" s="146">
        <f t="shared" si="27"/>
        <v>6.9177287951704969E-3</v>
      </c>
    </row>
    <row r="1514" spans="4:6" ht="15.6" x14ac:dyDescent="0.3">
      <c r="D1514" s="145">
        <v>43991</v>
      </c>
      <c r="E1514" s="187">
        <v>10046.65</v>
      </c>
      <c r="F1514" s="146">
        <f t="shared" si="27"/>
        <v>-1.1881051787813179E-2</v>
      </c>
    </row>
    <row r="1515" spans="4:6" ht="15.6" x14ac:dyDescent="0.3">
      <c r="D1515" s="145">
        <v>43990</v>
      </c>
      <c r="E1515" s="187">
        <v>10167.450000000001</v>
      </c>
      <c r="F1515" s="146">
        <f t="shared" si="27"/>
        <v>2.4945401123037669E-3</v>
      </c>
    </row>
    <row r="1516" spans="4:6" ht="15.6" x14ac:dyDescent="0.3">
      <c r="D1516" s="145">
        <v>43987</v>
      </c>
      <c r="E1516" s="187">
        <v>10142.15</v>
      </c>
      <c r="F1516" s="146">
        <f t="shared" si="27"/>
        <v>1.1272197904099057E-2</v>
      </c>
    </row>
    <row r="1517" spans="4:6" ht="15.6" x14ac:dyDescent="0.3">
      <c r="D1517" s="145">
        <v>43986</v>
      </c>
      <c r="E1517" s="187">
        <v>10029.1</v>
      </c>
      <c r="F1517" s="146">
        <f t="shared" si="27"/>
        <v>-3.2251492066330822E-3</v>
      </c>
    </row>
    <row r="1518" spans="4:6" ht="15.6" x14ac:dyDescent="0.3">
      <c r="D1518" s="145">
        <v>43985</v>
      </c>
      <c r="E1518" s="187">
        <v>10061.549999999999</v>
      </c>
      <c r="F1518" s="146">
        <f t="shared" si="27"/>
        <v>8.2622681404134202E-3</v>
      </c>
    </row>
    <row r="1519" spans="4:6" ht="15.6" x14ac:dyDescent="0.3">
      <c r="D1519" s="145">
        <v>43984</v>
      </c>
      <c r="E1519" s="187">
        <v>9979.1</v>
      </c>
      <c r="F1519" s="146">
        <f t="shared" si="27"/>
        <v>1.5565608096762329E-2</v>
      </c>
    </row>
    <row r="1520" spans="4:6" ht="15.6" x14ac:dyDescent="0.3">
      <c r="D1520" s="145">
        <v>43983</v>
      </c>
      <c r="E1520" s="187">
        <v>9826.15</v>
      </c>
      <c r="F1520" s="146">
        <f t="shared" si="27"/>
        <v>2.5662035635627412E-2</v>
      </c>
    </row>
    <row r="1521" spans="4:6" ht="15.6" x14ac:dyDescent="0.3">
      <c r="D1521" s="145">
        <v>43980</v>
      </c>
      <c r="E1521" s="187">
        <v>9580.2999999999993</v>
      </c>
      <c r="F1521" s="146">
        <f t="shared" si="27"/>
        <v>9.5046416792234911E-3</v>
      </c>
    </row>
    <row r="1522" spans="4:6" ht="15.6" x14ac:dyDescent="0.3">
      <c r="D1522" s="145">
        <v>43979</v>
      </c>
      <c r="E1522" s="187">
        <v>9490.1</v>
      </c>
      <c r="F1522" s="146">
        <f t="shared" si="27"/>
        <v>1.8803106833638283E-2</v>
      </c>
    </row>
    <row r="1523" spans="4:6" ht="15.6" x14ac:dyDescent="0.3">
      <c r="D1523" s="145">
        <v>43978</v>
      </c>
      <c r="E1523" s="187">
        <v>9314.9500000000007</v>
      </c>
      <c r="F1523" s="146">
        <f t="shared" si="27"/>
        <v>3.1664460823674911E-2</v>
      </c>
    </row>
    <row r="1524" spans="4:6" ht="15.6" x14ac:dyDescent="0.3">
      <c r="D1524" s="145">
        <v>43977</v>
      </c>
      <c r="E1524" s="187">
        <v>9029.0499999999993</v>
      </c>
      <c r="F1524" s="146">
        <f t="shared" si="27"/>
        <v>-1.1284122023398346E-3</v>
      </c>
    </row>
    <row r="1525" spans="4:6" ht="15.6" x14ac:dyDescent="0.3">
      <c r="D1525" s="145">
        <v>43973</v>
      </c>
      <c r="E1525" s="187">
        <v>9039.25</v>
      </c>
      <c r="F1525" s="146">
        <f t="shared" si="27"/>
        <v>-7.3575840768702605E-3</v>
      </c>
    </row>
    <row r="1526" spans="4:6" ht="15.6" x14ac:dyDescent="0.3">
      <c r="D1526" s="145">
        <v>43972</v>
      </c>
      <c r="E1526" s="187">
        <v>9106.25</v>
      </c>
      <c r="F1526" s="146">
        <f t="shared" si="27"/>
        <v>4.3787328145767912E-3</v>
      </c>
    </row>
    <row r="1527" spans="4:6" ht="15.6" x14ac:dyDescent="0.3">
      <c r="D1527" s="145">
        <v>43971</v>
      </c>
      <c r="E1527" s="187">
        <v>9066.5499999999993</v>
      </c>
      <c r="F1527" s="146">
        <f t="shared" si="27"/>
        <v>2.1111373900507768E-2</v>
      </c>
    </row>
    <row r="1528" spans="4:6" ht="15.6" x14ac:dyDescent="0.3">
      <c r="D1528" s="145">
        <v>43970</v>
      </c>
      <c r="E1528" s="187">
        <v>8879.1</v>
      </c>
      <c r="F1528" s="146">
        <f t="shared" si="27"/>
        <v>6.3298671124585315E-3</v>
      </c>
    </row>
    <row r="1529" spans="4:6" ht="15.6" x14ac:dyDescent="0.3">
      <c r="D1529" s="145">
        <v>43969</v>
      </c>
      <c r="E1529" s="187">
        <v>8823.25</v>
      </c>
      <c r="F1529" s="146">
        <f t="shared" si="27"/>
        <v>-3.4322550988579281E-2</v>
      </c>
    </row>
    <row r="1530" spans="4:6" ht="15.6" x14ac:dyDescent="0.3">
      <c r="D1530" s="145">
        <v>43966</v>
      </c>
      <c r="E1530" s="187">
        <v>9136.85</v>
      </c>
      <c r="F1530" s="146">
        <f t="shared" si="27"/>
        <v>-6.4532006234441219E-4</v>
      </c>
    </row>
    <row r="1531" spans="4:6" ht="15.6" x14ac:dyDescent="0.3">
      <c r="D1531" s="145">
        <v>43965</v>
      </c>
      <c r="E1531" s="187">
        <v>9142.75</v>
      </c>
      <c r="F1531" s="146">
        <f t="shared" si="27"/>
        <v>-2.5661929653489235E-2</v>
      </c>
    </row>
    <row r="1532" spans="4:6" ht="15.6" x14ac:dyDescent="0.3">
      <c r="D1532" s="145">
        <v>43964</v>
      </c>
      <c r="E1532" s="187">
        <v>9383.5499999999993</v>
      </c>
      <c r="F1532" s="146">
        <f t="shared" si="27"/>
        <v>2.0333712098558721E-2</v>
      </c>
    </row>
    <row r="1533" spans="4:6" ht="15.6" x14ac:dyDescent="0.3">
      <c r="D1533" s="145">
        <v>43963</v>
      </c>
      <c r="E1533" s="187">
        <v>9196.5499999999993</v>
      </c>
      <c r="F1533" s="146">
        <f t="shared" si="27"/>
        <v>-4.6162005368431958E-3</v>
      </c>
    </row>
    <row r="1534" spans="4:6" ht="15.6" x14ac:dyDescent="0.3">
      <c r="D1534" s="145">
        <v>43962</v>
      </c>
      <c r="E1534" s="187">
        <v>9239.2000000000007</v>
      </c>
      <c r="F1534" s="146">
        <f t="shared" si="27"/>
        <v>-1.3295141328432125E-3</v>
      </c>
    </row>
    <row r="1535" spans="4:6" ht="15.6" x14ac:dyDescent="0.3">
      <c r="D1535" s="145">
        <v>43959</v>
      </c>
      <c r="E1535" s="187">
        <v>9251.5</v>
      </c>
      <c r="F1535" s="146">
        <f t="shared" si="27"/>
        <v>5.701675716514254E-3</v>
      </c>
    </row>
    <row r="1536" spans="4:6" ht="15.6" x14ac:dyDescent="0.3">
      <c r="D1536" s="145">
        <v>43958</v>
      </c>
      <c r="E1536" s="187">
        <v>9199.0499999999993</v>
      </c>
      <c r="F1536" s="146">
        <f t="shared" si="27"/>
        <v>-7.7500566288063455E-3</v>
      </c>
    </row>
    <row r="1537" spans="4:6" ht="15.6" x14ac:dyDescent="0.3">
      <c r="D1537" s="145">
        <v>43957</v>
      </c>
      <c r="E1537" s="187">
        <v>9270.9</v>
      </c>
      <c r="F1537" s="146">
        <f t="shared" si="27"/>
        <v>7.093508299296003E-3</v>
      </c>
    </row>
    <row r="1538" spans="4:6" ht="15.6" x14ac:dyDescent="0.3">
      <c r="D1538" s="145">
        <v>43956</v>
      </c>
      <c r="E1538" s="187">
        <v>9205.6</v>
      </c>
      <c r="F1538" s="146">
        <f t="shared" si="27"/>
        <v>-9.4582234895356221E-3</v>
      </c>
    </row>
    <row r="1539" spans="4:6" ht="15.6" x14ac:dyDescent="0.3">
      <c r="D1539" s="145">
        <v>43955</v>
      </c>
      <c r="E1539" s="187">
        <v>9293.5</v>
      </c>
      <c r="F1539" s="146">
        <f t="shared" si="27"/>
        <v>-5.7444801671416523E-2</v>
      </c>
    </row>
    <row r="1540" spans="4:6" ht="15.6" x14ac:dyDescent="0.3">
      <c r="D1540" s="145">
        <v>43951</v>
      </c>
      <c r="E1540" s="187">
        <v>9859.9</v>
      </c>
      <c r="F1540" s="146">
        <f t="shared" si="27"/>
        <v>3.2088220362490594E-2</v>
      </c>
    </row>
    <row r="1541" spans="4:6" ht="15.6" x14ac:dyDescent="0.3">
      <c r="D1541" s="145">
        <v>43950</v>
      </c>
      <c r="E1541" s="187">
        <v>9553.35</v>
      </c>
      <c r="F1541" s="146">
        <f t="shared" si="27"/>
        <v>1.8383097570595641E-2</v>
      </c>
    </row>
    <row r="1542" spans="4:6" ht="15.6" x14ac:dyDescent="0.3">
      <c r="D1542" s="145">
        <v>43949</v>
      </c>
      <c r="E1542" s="187">
        <v>9380.9</v>
      </c>
      <c r="F1542" s="146">
        <f t="shared" si="27"/>
        <v>1.0622367301207802E-2</v>
      </c>
    </row>
    <row r="1543" spans="4:6" ht="15.6" x14ac:dyDescent="0.3">
      <c r="D1543" s="145">
        <v>43948</v>
      </c>
      <c r="E1543" s="187">
        <v>9282.2999999999993</v>
      </c>
      <c r="F1543" s="146">
        <f t="shared" si="27"/>
        <v>1.3971423577733066E-2</v>
      </c>
    </row>
    <row r="1544" spans="4:6" ht="15.6" x14ac:dyDescent="0.3">
      <c r="D1544" s="145">
        <v>43945</v>
      </c>
      <c r="E1544" s="187">
        <v>9154.4</v>
      </c>
      <c r="F1544" s="146">
        <f t="shared" si="27"/>
        <v>-1.7124942290554945E-2</v>
      </c>
    </row>
    <row r="1545" spans="4:6" ht="15.6" x14ac:dyDescent="0.3">
      <c r="D1545" s="145">
        <v>43944</v>
      </c>
      <c r="E1545" s="187">
        <v>9313.9</v>
      </c>
      <c r="F1545" s="146">
        <f t="shared" si="27"/>
        <v>1.3779891807168543E-2</v>
      </c>
    </row>
    <row r="1546" spans="4:6" ht="15.6" x14ac:dyDescent="0.3">
      <c r="D1546" s="145">
        <v>43943</v>
      </c>
      <c r="E1546" s="187">
        <v>9187.2999999999993</v>
      </c>
      <c r="F1546" s="146">
        <f t="shared" si="27"/>
        <v>2.2919461779556505E-2</v>
      </c>
    </row>
    <row r="1547" spans="4:6" ht="15.6" x14ac:dyDescent="0.3">
      <c r="D1547" s="145">
        <v>43942</v>
      </c>
      <c r="E1547" s="187">
        <v>8981.4500000000007</v>
      </c>
      <c r="F1547" s="146">
        <f t="shared" si="27"/>
        <v>-3.0274729130789213E-2</v>
      </c>
    </row>
    <row r="1548" spans="4:6" ht="15.6" x14ac:dyDescent="0.3">
      <c r="D1548" s="145">
        <v>43941</v>
      </c>
      <c r="E1548" s="187">
        <v>9261.85</v>
      </c>
      <c r="F1548" s="146">
        <f t="shared" si="27"/>
        <v>-5.2877222327130102E-4</v>
      </c>
    </row>
    <row r="1549" spans="4:6" ht="15.6" x14ac:dyDescent="0.3">
      <c r="D1549" s="145">
        <v>43938</v>
      </c>
      <c r="E1549" s="187">
        <v>9266.75</v>
      </c>
      <c r="F1549" s="146">
        <f t="shared" si="27"/>
        <v>3.0463259496486206E-2</v>
      </c>
    </row>
    <row r="1550" spans="4:6" ht="15.6" x14ac:dyDescent="0.3">
      <c r="D1550" s="145">
        <v>43937</v>
      </c>
      <c r="E1550" s="187">
        <v>8992.7999999999993</v>
      </c>
      <c r="F1550" s="146">
        <f t="shared" si="27"/>
        <v>7.5627709992940328E-3</v>
      </c>
    </row>
    <row r="1551" spans="4:6" ht="15.6" x14ac:dyDescent="0.3">
      <c r="D1551" s="145">
        <v>43936</v>
      </c>
      <c r="E1551" s="187">
        <v>8925.2999999999993</v>
      </c>
      <c r="F1551" s="146">
        <f t="shared" si="27"/>
        <v>-7.6218749478811354E-3</v>
      </c>
    </row>
    <row r="1552" spans="4:6" ht="15.6" x14ac:dyDescent="0.3">
      <c r="D1552" s="145">
        <v>43934</v>
      </c>
      <c r="E1552" s="187">
        <v>8993.85</v>
      </c>
      <c r="F1552" s="146">
        <f t="shared" si="27"/>
        <v>-1.2955585552958171E-2</v>
      </c>
    </row>
    <row r="1553" spans="4:6" ht="15.6" x14ac:dyDescent="0.3">
      <c r="D1553" s="145">
        <v>43930</v>
      </c>
      <c r="E1553" s="187">
        <v>9111.9</v>
      </c>
      <c r="F1553" s="146">
        <f t="shared" si="27"/>
        <v>4.1508786969566946E-2</v>
      </c>
    </row>
    <row r="1554" spans="4:6" ht="15.6" x14ac:dyDescent="0.3">
      <c r="D1554" s="145">
        <v>43929</v>
      </c>
      <c r="E1554" s="187">
        <v>8748.75</v>
      </c>
      <c r="F1554" s="146">
        <f t="shared" si="27"/>
        <v>-4.9418803029959157E-3</v>
      </c>
    </row>
    <row r="1555" spans="4:6" ht="15.6" x14ac:dyDescent="0.3">
      <c r="D1555" s="145">
        <v>43928</v>
      </c>
      <c r="E1555" s="187">
        <v>8792.2000000000007</v>
      </c>
      <c r="F1555" s="146">
        <f t="shared" si="27"/>
        <v>8.7632054231920664E-2</v>
      </c>
    </row>
    <row r="1556" spans="4:6" ht="15.6" x14ac:dyDescent="0.3">
      <c r="D1556" s="145">
        <v>43924</v>
      </c>
      <c r="E1556" s="187">
        <v>8083.8</v>
      </c>
      <c r="F1556" s="146">
        <f t="shared" si="27"/>
        <v>-2.0596573699386833E-2</v>
      </c>
    </row>
    <row r="1557" spans="4:6" ht="15.6" x14ac:dyDescent="0.3">
      <c r="D1557" s="145">
        <v>43922</v>
      </c>
      <c r="E1557" s="187">
        <v>8253.7999999999993</v>
      </c>
      <c r="F1557" s="146">
        <f t="shared" si="27"/>
        <v>-4.0004652379983185E-2</v>
      </c>
    </row>
    <row r="1558" spans="4:6" ht="15.6" x14ac:dyDescent="0.3">
      <c r="D1558" s="145">
        <v>43921</v>
      </c>
      <c r="E1558" s="187">
        <v>8597.75</v>
      </c>
      <c r="F1558" s="146">
        <f t="shared" si="27"/>
        <v>3.8237673738996003E-2</v>
      </c>
    </row>
    <row r="1559" spans="4:6" ht="15.6" x14ac:dyDescent="0.3">
      <c r="D1559" s="145">
        <v>43920</v>
      </c>
      <c r="E1559" s="187">
        <v>8281.1</v>
      </c>
      <c r="F1559" s="146">
        <f t="shared" si="27"/>
        <v>-4.3780491325308146E-2</v>
      </c>
    </row>
    <row r="1560" spans="4:6" ht="15.6" x14ac:dyDescent="0.3">
      <c r="D1560" s="145">
        <v>43917</v>
      </c>
      <c r="E1560" s="187">
        <v>8660.25</v>
      </c>
      <c r="F1560" s="146">
        <f t="shared" si="27"/>
        <v>2.1755608144464755E-3</v>
      </c>
    </row>
    <row r="1561" spans="4:6" ht="15.6" x14ac:dyDescent="0.3">
      <c r="D1561" s="145">
        <v>43916</v>
      </c>
      <c r="E1561" s="187">
        <v>8641.4500000000007</v>
      </c>
      <c r="F1561" s="146">
        <f t="shared" si="27"/>
        <v>3.890428415996916E-2</v>
      </c>
    </row>
    <row r="1562" spans="4:6" ht="15.6" x14ac:dyDescent="0.3">
      <c r="D1562" s="145">
        <v>43915</v>
      </c>
      <c r="E1562" s="187">
        <v>8317.85</v>
      </c>
      <c r="F1562" s="146">
        <f t="shared" si="27"/>
        <v>6.6247492324751134E-2</v>
      </c>
    </row>
    <row r="1563" spans="4:6" ht="15.6" x14ac:dyDescent="0.3">
      <c r="D1563" s="145">
        <v>43914</v>
      </c>
      <c r="E1563" s="187">
        <v>7801.05</v>
      </c>
      <c r="F1563" s="146">
        <f t="shared" ref="F1563:F1626" si="28">E1563/E1564-1</f>
        <v>2.507144968956343E-2</v>
      </c>
    </row>
    <row r="1564" spans="4:6" ht="15.6" x14ac:dyDescent="0.3">
      <c r="D1564" s="145">
        <v>43913</v>
      </c>
      <c r="E1564" s="187">
        <v>7610.25</v>
      </c>
      <c r="F1564" s="146">
        <f t="shared" si="28"/>
        <v>-0.12980464127060365</v>
      </c>
    </row>
    <row r="1565" spans="4:6" ht="15.6" x14ac:dyDescent="0.3">
      <c r="D1565" s="145">
        <v>43910</v>
      </c>
      <c r="E1565" s="187">
        <v>8745.4500000000007</v>
      </c>
      <c r="F1565" s="146">
        <f t="shared" si="28"/>
        <v>5.8329148237116435E-2</v>
      </c>
    </row>
    <row r="1566" spans="4:6" ht="15.6" x14ac:dyDescent="0.3">
      <c r="D1566" s="145">
        <v>43909</v>
      </c>
      <c r="E1566" s="187">
        <v>8263.4500000000007</v>
      </c>
      <c r="F1566" s="146">
        <f t="shared" si="28"/>
        <v>-2.4247827319100579E-2</v>
      </c>
    </row>
    <row r="1567" spans="4:6" ht="15.6" x14ac:dyDescent="0.3">
      <c r="D1567" s="145">
        <v>43908</v>
      </c>
      <c r="E1567" s="187">
        <v>8468.7999999999993</v>
      </c>
      <c r="F1567" s="146">
        <f t="shared" si="28"/>
        <v>-5.5564539062456397E-2</v>
      </c>
    </row>
    <row r="1568" spans="4:6" ht="15.6" x14ac:dyDescent="0.3">
      <c r="D1568" s="145">
        <v>43907</v>
      </c>
      <c r="E1568" s="187">
        <v>8967.0499999999993</v>
      </c>
      <c r="F1568" s="146">
        <f t="shared" si="28"/>
        <v>-2.5045121447365593E-2</v>
      </c>
    </row>
    <row r="1569" spans="4:6" ht="15.6" x14ac:dyDescent="0.3">
      <c r="D1569" s="145">
        <v>43906</v>
      </c>
      <c r="E1569" s="187">
        <v>9197.4</v>
      </c>
      <c r="F1569" s="146">
        <f t="shared" si="28"/>
        <v>-7.6121022179363673E-2</v>
      </c>
    </row>
    <row r="1570" spans="4:6" ht="15.6" x14ac:dyDescent="0.3">
      <c r="D1570" s="145">
        <v>43903</v>
      </c>
      <c r="E1570" s="187">
        <v>9955.2000000000007</v>
      </c>
      <c r="F1570" s="146">
        <f t="shared" si="28"/>
        <v>3.8065098043305046E-2</v>
      </c>
    </row>
    <row r="1571" spans="4:6" ht="15.6" x14ac:dyDescent="0.3">
      <c r="D1571" s="145">
        <v>43902</v>
      </c>
      <c r="E1571" s="187">
        <v>9590.15</v>
      </c>
      <c r="F1571" s="146">
        <f t="shared" si="28"/>
        <v>-8.3019391111451069E-2</v>
      </c>
    </row>
    <row r="1572" spans="4:6" ht="15.6" x14ac:dyDescent="0.3">
      <c r="D1572" s="145">
        <v>43901</v>
      </c>
      <c r="E1572" s="187">
        <v>10458.4</v>
      </c>
      <c r="F1572" s="146">
        <f t="shared" si="28"/>
        <v>6.6497950045207865E-4</v>
      </c>
    </row>
    <row r="1573" spans="4:6" ht="15.6" x14ac:dyDescent="0.3">
      <c r="D1573" s="145">
        <v>43899</v>
      </c>
      <c r="E1573" s="187">
        <v>10451.450000000001</v>
      </c>
      <c r="F1573" s="146">
        <f t="shared" si="28"/>
        <v>-4.8956044206033944E-2</v>
      </c>
    </row>
    <row r="1574" spans="4:6" ht="15.6" x14ac:dyDescent="0.3">
      <c r="D1574" s="145">
        <v>43896</v>
      </c>
      <c r="E1574" s="187">
        <v>10989.45</v>
      </c>
      <c r="F1574" s="146">
        <f t="shared" si="28"/>
        <v>-2.4806992634661351E-2</v>
      </c>
    </row>
    <row r="1575" spans="4:6" ht="15.6" x14ac:dyDescent="0.3">
      <c r="D1575" s="145">
        <v>43895</v>
      </c>
      <c r="E1575" s="187">
        <v>11269</v>
      </c>
      <c r="F1575" s="146">
        <f t="shared" si="28"/>
        <v>1.5998577904186018E-3</v>
      </c>
    </row>
    <row r="1576" spans="4:6" ht="15.6" x14ac:dyDescent="0.3">
      <c r="D1576" s="145">
        <v>43894</v>
      </c>
      <c r="E1576" s="187">
        <v>11251</v>
      </c>
      <c r="F1576" s="146">
        <f t="shared" si="28"/>
        <v>-4.626967345819244E-3</v>
      </c>
    </row>
    <row r="1577" spans="4:6" ht="15.6" x14ac:dyDescent="0.3">
      <c r="D1577" s="145">
        <v>43893</v>
      </c>
      <c r="E1577" s="187">
        <v>11303.3</v>
      </c>
      <c r="F1577" s="146">
        <f t="shared" si="28"/>
        <v>1.5319664952504919E-2</v>
      </c>
    </row>
    <row r="1578" spans="4:6" ht="15.6" x14ac:dyDescent="0.3">
      <c r="D1578" s="145">
        <v>43892</v>
      </c>
      <c r="E1578" s="187">
        <v>11132.75</v>
      </c>
      <c r="F1578" s="146">
        <f t="shared" si="28"/>
        <v>-6.1597518244916882E-3</v>
      </c>
    </row>
    <row r="1579" spans="4:6" ht="15.6" x14ac:dyDescent="0.3">
      <c r="D1579" s="145">
        <v>43889</v>
      </c>
      <c r="E1579" s="187">
        <v>11201.75</v>
      </c>
      <c r="F1579" s="146">
        <f t="shared" si="28"/>
        <v>-3.709609483121723E-2</v>
      </c>
    </row>
    <row r="1580" spans="4:6" ht="15.6" x14ac:dyDescent="0.3">
      <c r="D1580" s="145">
        <v>43888</v>
      </c>
      <c r="E1580" s="187">
        <v>11633.3</v>
      </c>
      <c r="F1580" s="146">
        <f t="shared" si="28"/>
        <v>-3.8703600633643864E-3</v>
      </c>
    </row>
    <row r="1581" spans="4:6" ht="15.6" x14ac:dyDescent="0.3">
      <c r="D1581" s="145">
        <v>43887</v>
      </c>
      <c r="E1581" s="187">
        <v>11678.5</v>
      </c>
      <c r="F1581" s="146">
        <f t="shared" si="28"/>
        <v>-1.0120445163969816E-2</v>
      </c>
    </row>
    <row r="1582" spans="4:6" ht="15.6" x14ac:dyDescent="0.3">
      <c r="D1582" s="145">
        <v>43886</v>
      </c>
      <c r="E1582" s="187">
        <v>11797.9</v>
      </c>
      <c r="F1582" s="146">
        <f t="shared" si="28"/>
        <v>-2.6628569496339738E-3</v>
      </c>
    </row>
    <row r="1583" spans="4:6" ht="15.6" x14ac:dyDescent="0.3">
      <c r="D1583" s="145">
        <v>43885</v>
      </c>
      <c r="E1583" s="187">
        <v>11829.4</v>
      </c>
      <c r="F1583" s="146">
        <f t="shared" si="28"/>
        <v>-2.0813932794463974E-2</v>
      </c>
    </row>
    <row r="1584" spans="4:6" ht="15.6" x14ac:dyDescent="0.3">
      <c r="D1584" s="145">
        <v>43881</v>
      </c>
      <c r="E1584" s="187">
        <v>12080.85</v>
      </c>
      <c r="F1584" s="146">
        <f t="shared" si="28"/>
        <v>-3.7151881509825957E-3</v>
      </c>
    </row>
    <row r="1585" spans="4:6" ht="15.6" x14ac:dyDescent="0.3">
      <c r="D1585" s="145">
        <v>43880</v>
      </c>
      <c r="E1585" s="187">
        <v>12125.9</v>
      </c>
      <c r="F1585" s="146">
        <f t="shared" si="28"/>
        <v>1.1123618928496892E-2</v>
      </c>
    </row>
    <row r="1586" spans="4:6" ht="15.6" x14ac:dyDescent="0.3">
      <c r="D1586" s="145">
        <v>43879</v>
      </c>
      <c r="E1586" s="187">
        <v>11992.5</v>
      </c>
      <c r="F1586" s="146">
        <f t="shared" si="28"/>
        <v>-4.4247787610618428E-3</v>
      </c>
    </row>
    <row r="1587" spans="4:6" ht="15.6" x14ac:dyDescent="0.3">
      <c r="D1587" s="145">
        <v>43878</v>
      </c>
      <c r="E1587" s="187">
        <v>12045.8</v>
      </c>
      <c r="F1587" s="146">
        <f t="shared" si="28"/>
        <v>-5.5847013030970727E-3</v>
      </c>
    </row>
    <row r="1588" spans="4:6" ht="15.6" x14ac:dyDescent="0.3">
      <c r="D1588" s="145">
        <v>43875</v>
      </c>
      <c r="E1588" s="187">
        <v>12113.45</v>
      </c>
      <c r="F1588" s="146">
        <f t="shared" si="28"/>
        <v>-5.0268385538803084E-3</v>
      </c>
    </row>
    <row r="1589" spans="4:6" ht="15.6" x14ac:dyDescent="0.3">
      <c r="D1589" s="145">
        <v>43874</v>
      </c>
      <c r="E1589" s="187">
        <v>12174.65</v>
      </c>
      <c r="F1589" s="146">
        <f t="shared" si="28"/>
        <v>-2.1760154738879045E-3</v>
      </c>
    </row>
    <row r="1590" spans="4:6" ht="15.6" x14ac:dyDescent="0.3">
      <c r="D1590" s="145">
        <v>43873</v>
      </c>
      <c r="E1590" s="187">
        <v>12201.2</v>
      </c>
      <c r="F1590" s="146">
        <f t="shared" si="28"/>
        <v>7.7057127990816099E-3</v>
      </c>
    </row>
    <row r="1591" spans="4:6" ht="15.6" x14ac:dyDescent="0.3">
      <c r="D1591" s="145">
        <v>43872</v>
      </c>
      <c r="E1591" s="187">
        <v>12107.9</v>
      </c>
      <c r="F1591" s="146">
        <f t="shared" si="28"/>
        <v>6.3499979221210978E-3</v>
      </c>
    </row>
    <row r="1592" spans="4:6" ht="15.6" x14ac:dyDescent="0.3">
      <c r="D1592" s="145">
        <v>43871</v>
      </c>
      <c r="E1592" s="187">
        <v>12031.5</v>
      </c>
      <c r="F1592" s="146">
        <f t="shared" si="28"/>
        <v>-5.525546872094167E-3</v>
      </c>
    </row>
    <row r="1593" spans="4:6" ht="15.6" x14ac:dyDescent="0.3">
      <c r="D1593" s="145">
        <v>43868</v>
      </c>
      <c r="E1593" s="187">
        <v>12098.35</v>
      </c>
      <c r="F1593" s="146">
        <f t="shared" si="28"/>
        <v>-3.2624949023517535E-3</v>
      </c>
    </row>
    <row r="1594" spans="4:6" ht="15.6" x14ac:dyDescent="0.3">
      <c r="D1594" s="145">
        <v>43867</v>
      </c>
      <c r="E1594" s="187">
        <v>12137.95</v>
      </c>
      <c r="F1594" s="146">
        <f t="shared" si="28"/>
        <v>4.0366775166162938E-3</v>
      </c>
    </row>
    <row r="1595" spans="4:6" ht="15.6" x14ac:dyDescent="0.3">
      <c r="D1595" s="145">
        <v>43866</v>
      </c>
      <c r="E1595" s="187">
        <v>12089.15</v>
      </c>
      <c r="F1595" s="146">
        <f t="shared" si="28"/>
        <v>9.1405007658822424E-3</v>
      </c>
    </row>
    <row r="1596" spans="4:6" ht="15.6" x14ac:dyDescent="0.3">
      <c r="D1596" s="145">
        <v>43865</v>
      </c>
      <c r="E1596" s="187">
        <v>11979.65</v>
      </c>
      <c r="F1596" s="146">
        <f t="shared" si="28"/>
        <v>2.3210823461081942E-2</v>
      </c>
    </row>
    <row r="1597" spans="4:6" ht="15.6" x14ac:dyDescent="0.3">
      <c r="D1597" s="145">
        <v>43864</v>
      </c>
      <c r="E1597" s="187">
        <v>11707.9</v>
      </c>
      <c r="F1597" s="146">
        <f t="shared" si="28"/>
        <v>3.9487731363376799E-3</v>
      </c>
    </row>
    <row r="1598" spans="4:6" ht="15.6" x14ac:dyDescent="0.3">
      <c r="D1598" s="145">
        <v>43862</v>
      </c>
      <c r="E1598" s="187">
        <v>11661.85</v>
      </c>
      <c r="F1598" s="146">
        <f t="shared" si="28"/>
        <v>-2.5100107840596575E-2</v>
      </c>
    </row>
    <row r="1599" spans="4:6" ht="15.6" x14ac:dyDescent="0.3">
      <c r="D1599" s="145">
        <v>43861</v>
      </c>
      <c r="E1599" s="187">
        <v>11962.1</v>
      </c>
      <c r="F1599" s="146">
        <f t="shared" si="28"/>
        <v>-6.1233985277254765E-3</v>
      </c>
    </row>
    <row r="1600" spans="4:6" ht="15.6" x14ac:dyDescent="0.3">
      <c r="D1600" s="145">
        <v>43860</v>
      </c>
      <c r="E1600" s="187">
        <v>12035.8</v>
      </c>
      <c r="F1600" s="146">
        <f t="shared" si="28"/>
        <v>-7.7249680530937503E-3</v>
      </c>
    </row>
    <row r="1601" spans="4:6" ht="15.6" x14ac:dyDescent="0.3">
      <c r="D1601" s="145">
        <v>43859</v>
      </c>
      <c r="E1601" s="187">
        <v>12129.5</v>
      </c>
      <c r="F1601" s="146">
        <f t="shared" si="28"/>
        <v>6.1132401002008674E-3</v>
      </c>
    </row>
    <row r="1602" spans="4:6" ht="15.6" x14ac:dyDescent="0.3">
      <c r="D1602" s="145">
        <v>43858</v>
      </c>
      <c r="E1602" s="187">
        <v>12055.8</v>
      </c>
      <c r="F1602" s="146">
        <f t="shared" si="28"/>
        <v>-5.2149517286905755E-3</v>
      </c>
    </row>
    <row r="1603" spans="4:6" ht="15.6" x14ac:dyDescent="0.3">
      <c r="D1603" s="145">
        <v>43857</v>
      </c>
      <c r="E1603" s="187">
        <v>12119</v>
      </c>
      <c r="F1603" s="146">
        <f t="shared" si="28"/>
        <v>-1.0552527912150667E-2</v>
      </c>
    </row>
    <row r="1604" spans="4:6" ht="15.6" x14ac:dyDescent="0.3">
      <c r="D1604" s="145">
        <v>43854</v>
      </c>
      <c r="E1604" s="187">
        <v>12248.25</v>
      </c>
      <c r="F1604" s="146">
        <f t="shared" si="28"/>
        <v>5.5745524553891812E-3</v>
      </c>
    </row>
    <row r="1605" spans="4:6" ht="15.6" x14ac:dyDescent="0.3">
      <c r="D1605" s="145">
        <v>43853</v>
      </c>
      <c r="E1605" s="187">
        <v>12180.35</v>
      </c>
      <c r="F1605" s="146">
        <f t="shared" si="28"/>
        <v>6.0667883603564565E-3</v>
      </c>
    </row>
    <row r="1606" spans="4:6" ht="15.6" x14ac:dyDescent="0.3">
      <c r="D1606" s="145">
        <v>43852</v>
      </c>
      <c r="E1606" s="187">
        <v>12106.9</v>
      </c>
      <c r="F1606" s="146">
        <f t="shared" si="28"/>
        <v>-5.172619218807184E-3</v>
      </c>
    </row>
    <row r="1607" spans="4:6" ht="15.6" x14ac:dyDescent="0.3">
      <c r="D1607" s="145">
        <v>43851</v>
      </c>
      <c r="E1607" s="187">
        <v>12169.85</v>
      </c>
      <c r="F1607" s="146">
        <f t="shared" si="28"/>
        <v>-4.4746023371002863E-3</v>
      </c>
    </row>
    <row r="1608" spans="4:6" ht="15.6" x14ac:dyDescent="0.3">
      <c r="D1608" s="145">
        <v>43850</v>
      </c>
      <c r="E1608" s="187">
        <v>12224.55</v>
      </c>
      <c r="F1608" s="146">
        <f t="shared" si="28"/>
        <v>-1.0346209425736941E-2</v>
      </c>
    </row>
    <row r="1609" spans="4:6" ht="15.6" x14ac:dyDescent="0.3">
      <c r="D1609" s="145">
        <v>43847</v>
      </c>
      <c r="E1609" s="187">
        <v>12352.35</v>
      </c>
      <c r="F1609" s="146">
        <f t="shared" si="28"/>
        <v>-2.5494718951069029E-4</v>
      </c>
    </row>
    <row r="1610" spans="4:6" ht="15.6" x14ac:dyDescent="0.3">
      <c r="D1610" s="145">
        <v>43846</v>
      </c>
      <c r="E1610" s="187">
        <v>12355.5</v>
      </c>
      <c r="F1610" s="146">
        <f t="shared" si="28"/>
        <v>9.8839046284227017E-4</v>
      </c>
    </row>
    <row r="1611" spans="4:6" ht="15.6" x14ac:dyDescent="0.3">
      <c r="D1611" s="145">
        <v>43845</v>
      </c>
      <c r="E1611" s="187">
        <v>12343.3</v>
      </c>
      <c r="F1611" s="146">
        <f t="shared" si="28"/>
        <v>-1.5369308300234863E-3</v>
      </c>
    </row>
    <row r="1612" spans="4:6" ht="15.6" x14ac:dyDescent="0.3">
      <c r="D1612" s="145">
        <v>43844</v>
      </c>
      <c r="E1612" s="187">
        <v>12362.3</v>
      </c>
      <c r="F1612" s="146">
        <f t="shared" si="28"/>
        <v>2.6562202189048811E-3</v>
      </c>
    </row>
    <row r="1613" spans="4:6" ht="15.6" x14ac:dyDescent="0.3">
      <c r="D1613" s="145">
        <v>43843</v>
      </c>
      <c r="E1613" s="187">
        <v>12329.55</v>
      </c>
      <c r="F1613" s="146">
        <f t="shared" si="28"/>
        <v>5.9354807127471876E-3</v>
      </c>
    </row>
    <row r="1614" spans="4:6" ht="15.6" x14ac:dyDescent="0.3">
      <c r="D1614" s="145">
        <v>43840</v>
      </c>
      <c r="E1614" s="187">
        <v>12256.8</v>
      </c>
      <c r="F1614" s="146">
        <f t="shared" si="28"/>
        <v>3.3480955148617042E-3</v>
      </c>
    </row>
    <row r="1615" spans="4:6" ht="15.6" x14ac:dyDescent="0.3">
      <c r="D1615" s="145">
        <v>43839</v>
      </c>
      <c r="E1615" s="187">
        <v>12215.9</v>
      </c>
      <c r="F1615" s="146">
        <f t="shared" si="28"/>
        <v>1.5845692640962472E-2</v>
      </c>
    </row>
    <row r="1616" spans="4:6" ht="15.6" x14ac:dyDescent="0.3">
      <c r="D1616" s="145">
        <v>43838</v>
      </c>
      <c r="E1616" s="187">
        <v>12025.35</v>
      </c>
      <c r="F1616" s="146">
        <f t="shared" si="28"/>
        <v>-2.2898958346296849E-3</v>
      </c>
    </row>
    <row r="1617" spans="4:6" ht="15.6" x14ac:dyDescent="0.3">
      <c r="D1617" s="145">
        <v>43837</v>
      </c>
      <c r="E1617" s="187">
        <v>12052.95</v>
      </c>
      <c r="F1617" s="146">
        <f t="shared" si="28"/>
        <v>4.9945593489564288E-3</v>
      </c>
    </row>
    <row r="1618" spans="4:6" ht="15.6" x14ac:dyDescent="0.3">
      <c r="D1618" s="145">
        <v>43836</v>
      </c>
      <c r="E1618" s="187">
        <v>11993.05</v>
      </c>
      <c r="F1618" s="146">
        <f t="shared" si="28"/>
        <v>-1.91058057603678E-2</v>
      </c>
    </row>
    <row r="1619" spans="4:6" ht="15.6" x14ac:dyDescent="0.3">
      <c r="D1619" s="145">
        <v>43833</v>
      </c>
      <c r="E1619" s="187">
        <v>12226.65</v>
      </c>
      <c r="F1619" s="146">
        <f t="shared" si="28"/>
        <v>-4.5228053606032326E-3</v>
      </c>
    </row>
    <row r="1620" spans="4:6" ht="15.6" x14ac:dyDescent="0.3">
      <c r="D1620" s="145">
        <v>43832</v>
      </c>
      <c r="E1620" s="187">
        <v>12282.2</v>
      </c>
      <c r="F1620" s="146">
        <f t="shared" si="28"/>
        <v>8.1838703057666162E-3</v>
      </c>
    </row>
    <row r="1621" spans="4:6" ht="15.6" x14ac:dyDescent="0.3">
      <c r="D1621" s="145">
        <v>43831</v>
      </c>
      <c r="E1621" s="187">
        <v>12182.5</v>
      </c>
      <c r="F1621" s="146">
        <f t="shared" si="28"/>
        <v>1.1546252809520041E-3</v>
      </c>
    </row>
    <row r="1622" spans="4:6" ht="15.6" x14ac:dyDescent="0.3">
      <c r="D1622" s="145">
        <v>43830</v>
      </c>
      <c r="E1622" s="187">
        <v>12168.45</v>
      </c>
      <c r="F1622" s="146">
        <f t="shared" si="28"/>
        <v>-7.1312883235352675E-3</v>
      </c>
    </row>
    <row r="1623" spans="4:6" ht="15.6" x14ac:dyDescent="0.3">
      <c r="D1623" s="145">
        <v>43829</v>
      </c>
      <c r="E1623" s="187">
        <v>12255.85</v>
      </c>
      <c r="F1623" s="146">
        <f t="shared" si="28"/>
        <v>8.206895425371119E-4</v>
      </c>
    </row>
    <row r="1624" spans="4:6" ht="15.6" x14ac:dyDescent="0.3">
      <c r="D1624" s="145">
        <v>43826</v>
      </c>
      <c r="E1624" s="187">
        <v>12245.8</v>
      </c>
      <c r="F1624" s="146">
        <f t="shared" si="28"/>
        <v>9.8337944427722146E-3</v>
      </c>
    </row>
    <row r="1625" spans="4:6" ht="15.6" x14ac:dyDescent="0.3">
      <c r="D1625" s="145">
        <v>43825</v>
      </c>
      <c r="E1625" s="187">
        <v>12126.55</v>
      </c>
      <c r="F1625" s="146">
        <f t="shared" si="28"/>
        <v>-7.2045224752447234E-3</v>
      </c>
    </row>
    <row r="1626" spans="4:6" ht="15.6" x14ac:dyDescent="0.3">
      <c r="D1626" s="145">
        <v>43823</v>
      </c>
      <c r="E1626" s="187">
        <v>12214.55</v>
      </c>
      <c r="F1626" s="146">
        <f t="shared" si="28"/>
        <v>-3.930602841940134E-3</v>
      </c>
    </row>
    <row r="1627" spans="4:6" ht="15.6" x14ac:dyDescent="0.3">
      <c r="D1627" s="145">
        <v>43822</v>
      </c>
      <c r="E1627" s="187">
        <v>12262.75</v>
      </c>
      <c r="F1627" s="146">
        <f t="shared" ref="F1627:F1690" si="29">E1627/E1628-1</f>
        <v>-7.3746312684364046E-4</v>
      </c>
    </row>
    <row r="1628" spans="4:6" ht="15.6" x14ac:dyDescent="0.3">
      <c r="D1628" s="145">
        <v>43819</v>
      </c>
      <c r="E1628" s="187">
        <v>12271.8</v>
      </c>
      <c r="F1628" s="146">
        <f t="shared" si="29"/>
        <v>9.8697358010380043E-4</v>
      </c>
    </row>
    <row r="1629" spans="4:6" ht="15.6" x14ac:dyDescent="0.3">
      <c r="D1629" s="145">
        <v>43818</v>
      </c>
      <c r="E1629" s="187">
        <v>12259.7</v>
      </c>
      <c r="F1629" s="146">
        <f t="shared" si="29"/>
        <v>3.1133275785184544E-3</v>
      </c>
    </row>
    <row r="1630" spans="4:6" ht="15.6" x14ac:dyDescent="0.3">
      <c r="D1630" s="145">
        <v>43817</v>
      </c>
      <c r="E1630" s="187">
        <v>12221.65</v>
      </c>
      <c r="F1630" s="146">
        <f t="shared" si="29"/>
        <v>4.6568023016850812E-3</v>
      </c>
    </row>
    <row r="1631" spans="4:6" ht="15.6" x14ac:dyDescent="0.3">
      <c r="D1631" s="145">
        <v>43816</v>
      </c>
      <c r="E1631" s="187">
        <v>12165</v>
      </c>
      <c r="F1631" s="146">
        <f t="shared" si="29"/>
        <v>9.2127476885168758E-3</v>
      </c>
    </row>
    <row r="1632" spans="4:6" ht="15.6" x14ac:dyDescent="0.3">
      <c r="D1632" s="145">
        <v>43815</v>
      </c>
      <c r="E1632" s="187">
        <v>12053.95</v>
      </c>
      <c r="F1632" s="146">
        <f t="shared" si="29"/>
        <v>-2.7095898797852014E-3</v>
      </c>
    </row>
    <row r="1633" spans="4:6" ht="15.6" x14ac:dyDescent="0.3">
      <c r="D1633" s="145">
        <v>43812</v>
      </c>
      <c r="E1633" s="187">
        <v>12086.7</v>
      </c>
      <c r="F1633" s="146">
        <f t="shared" si="29"/>
        <v>9.5975542524935342E-3</v>
      </c>
    </row>
    <row r="1634" spans="4:6" ht="15.6" x14ac:dyDescent="0.3">
      <c r="D1634" s="145">
        <v>43811</v>
      </c>
      <c r="E1634" s="187">
        <v>11971.8</v>
      </c>
      <c r="F1634" s="146">
        <f t="shared" si="29"/>
        <v>5.1762572259794748E-3</v>
      </c>
    </row>
    <row r="1635" spans="4:6" ht="15.6" x14ac:dyDescent="0.3">
      <c r="D1635" s="145">
        <v>43810</v>
      </c>
      <c r="E1635" s="187">
        <v>11910.15</v>
      </c>
      <c r="F1635" s="146">
        <f t="shared" si="29"/>
        <v>4.4995276971864229E-3</v>
      </c>
    </row>
    <row r="1636" spans="4:6" ht="15.6" x14ac:dyDescent="0.3">
      <c r="D1636" s="145">
        <v>43809</v>
      </c>
      <c r="E1636" s="187">
        <v>11856.8</v>
      </c>
      <c r="F1636" s="146">
        <f t="shared" si="29"/>
        <v>-6.7602094240838406E-3</v>
      </c>
    </row>
    <row r="1637" spans="4:6" ht="15.6" x14ac:dyDescent="0.3">
      <c r="D1637" s="145">
        <v>43808</v>
      </c>
      <c r="E1637" s="187">
        <v>11937.5</v>
      </c>
      <c r="F1637" s="146">
        <f t="shared" si="29"/>
        <v>1.342112989137334E-3</v>
      </c>
    </row>
    <row r="1638" spans="4:6" ht="15.6" x14ac:dyDescent="0.3">
      <c r="D1638" s="145">
        <v>43805</v>
      </c>
      <c r="E1638" s="187">
        <v>11921.5</v>
      </c>
      <c r="F1638" s="146">
        <f t="shared" si="29"/>
        <v>-8.062637289489416E-3</v>
      </c>
    </row>
    <row r="1639" spans="4:6" ht="15.6" x14ac:dyDescent="0.3">
      <c r="D1639" s="145">
        <v>43804</v>
      </c>
      <c r="E1639" s="187">
        <v>12018.4</v>
      </c>
      <c r="F1639" s="146">
        <f t="shared" si="29"/>
        <v>-2.0592533545902292E-3</v>
      </c>
    </row>
    <row r="1640" spans="4:6" ht="15.6" x14ac:dyDescent="0.3">
      <c r="D1640" s="145">
        <v>43803</v>
      </c>
      <c r="E1640" s="187">
        <v>12043.2</v>
      </c>
      <c r="F1640" s="146">
        <f t="shared" si="29"/>
        <v>4.0853078988176694E-3</v>
      </c>
    </row>
    <row r="1641" spans="4:6" ht="15.6" x14ac:dyDescent="0.3">
      <c r="D1641" s="145">
        <v>43802</v>
      </c>
      <c r="E1641" s="187">
        <v>11994.2</v>
      </c>
      <c r="F1641" s="146">
        <f t="shared" si="29"/>
        <v>-4.4819973108015665E-3</v>
      </c>
    </row>
    <row r="1642" spans="4:6" ht="15.6" x14ac:dyDescent="0.3">
      <c r="D1642" s="145">
        <v>43801</v>
      </c>
      <c r="E1642" s="187">
        <v>12048.2</v>
      </c>
      <c r="F1642" s="146">
        <f t="shared" si="29"/>
        <v>-6.5112536859079917E-4</v>
      </c>
    </row>
    <row r="1643" spans="4:6" ht="15.6" x14ac:dyDescent="0.3">
      <c r="D1643" s="145">
        <v>43798</v>
      </c>
      <c r="E1643" s="187">
        <v>12056.05</v>
      </c>
      <c r="F1643" s="146">
        <f t="shared" si="29"/>
        <v>-7.8264197215901499E-3</v>
      </c>
    </row>
    <row r="1644" spans="4:6" ht="15.6" x14ac:dyDescent="0.3">
      <c r="D1644" s="145">
        <v>43797</v>
      </c>
      <c r="E1644" s="187">
        <v>12151.15</v>
      </c>
      <c r="F1644" s="146">
        <f t="shared" si="29"/>
        <v>4.1691802953547352E-3</v>
      </c>
    </row>
    <row r="1645" spans="4:6" ht="15.6" x14ac:dyDescent="0.3">
      <c r="D1645" s="145">
        <v>43796</v>
      </c>
      <c r="E1645" s="187">
        <v>12100.7</v>
      </c>
      <c r="F1645" s="146">
        <f t="shared" si="29"/>
        <v>5.2335579055799997E-3</v>
      </c>
    </row>
    <row r="1646" spans="4:6" ht="15.6" x14ac:dyDescent="0.3">
      <c r="D1646" s="145">
        <v>43795</v>
      </c>
      <c r="E1646" s="187">
        <v>12037.7</v>
      </c>
      <c r="F1646" s="146">
        <f t="shared" si="29"/>
        <v>-2.9858163370948265E-3</v>
      </c>
    </row>
    <row r="1647" spans="4:6" ht="15.6" x14ac:dyDescent="0.3">
      <c r="D1647" s="145">
        <v>43794</v>
      </c>
      <c r="E1647" s="187">
        <v>12073.75</v>
      </c>
      <c r="F1647" s="146">
        <f t="shared" si="29"/>
        <v>1.3374571946552116E-2</v>
      </c>
    </row>
    <row r="1648" spans="4:6" ht="15.6" x14ac:dyDescent="0.3">
      <c r="D1648" s="145">
        <v>43791</v>
      </c>
      <c r="E1648" s="187">
        <v>11914.4</v>
      </c>
      <c r="F1648" s="146">
        <f t="shared" si="29"/>
        <v>-4.5118812873901071E-3</v>
      </c>
    </row>
    <row r="1649" spans="4:6" ht="15.6" x14ac:dyDescent="0.3">
      <c r="D1649" s="145">
        <v>43790</v>
      </c>
      <c r="E1649" s="187">
        <v>11968.4</v>
      </c>
      <c r="F1649" s="146">
        <f t="shared" si="29"/>
        <v>-2.5585252227251498E-3</v>
      </c>
    </row>
    <row r="1650" spans="4:6" ht="15.6" x14ac:dyDescent="0.3">
      <c r="D1650" s="145">
        <v>43789</v>
      </c>
      <c r="E1650" s="187">
        <v>11999.1</v>
      </c>
      <c r="F1650" s="146">
        <f t="shared" si="29"/>
        <v>4.941332149646982E-3</v>
      </c>
    </row>
    <row r="1651" spans="4:6" ht="15.6" x14ac:dyDescent="0.3">
      <c r="D1651" s="145">
        <v>43788</v>
      </c>
      <c r="E1651" s="187">
        <v>11940.1</v>
      </c>
      <c r="F1651" s="146">
        <f t="shared" si="29"/>
        <v>4.6783625730995038E-3</v>
      </c>
    </row>
    <row r="1652" spans="4:6" ht="15.6" x14ac:dyDescent="0.3">
      <c r="D1652" s="145">
        <v>43787</v>
      </c>
      <c r="E1652" s="187">
        <v>11884.5</v>
      </c>
      <c r="F1652" s="146">
        <f t="shared" si="29"/>
        <v>-9.2052003076814604E-4</v>
      </c>
    </row>
    <row r="1653" spans="4:6" ht="15.6" x14ac:dyDescent="0.3">
      <c r="D1653" s="145">
        <v>43784</v>
      </c>
      <c r="E1653" s="187">
        <v>11895.45</v>
      </c>
      <c r="F1653" s="146">
        <f t="shared" si="29"/>
        <v>1.9667961017848512E-3</v>
      </c>
    </row>
    <row r="1654" spans="4:6" ht="15.6" x14ac:dyDescent="0.3">
      <c r="D1654" s="145">
        <v>43783</v>
      </c>
      <c r="E1654" s="187">
        <v>11872.1</v>
      </c>
      <c r="F1654" s="146">
        <f t="shared" si="29"/>
        <v>2.6730402982995116E-3</v>
      </c>
    </row>
    <row r="1655" spans="4:6" ht="15.6" x14ac:dyDescent="0.3">
      <c r="D1655" s="145">
        <v>43782</v>
      </c>
      <c r="E1655" s="187">
        <v>11840.45</v>
      </c>
      <c r="F1655" s="146">
        <f t="shared" si="29"/>
        <v>-6.1275281299707496E-3</v>
      </c>
    </row>
    <row r="1656" spans="4:6" ht="15.6" x14ac:dyDescent="0.3">
      <c r="D1656" s="145">
        <v>43780</v>
      </c>
      <c r="E1656" s="187">
        <v>11913.45</v>
      </c>
      <c r="F1656" s="146">
        <f t="shared" si="29"/>
        <v>4.4507333212973066E-4</v>
      </c>
    </row>
    <row r="1657" spans="4:6" ht="15.6" x14ac:dyDescent="0.3">
      <c r="D1657" s="145">
        <v>43777</v>
      </c>
      <c r="E1657" s="187">
        <v>11908.15</v>
      </c>
      <c r="F1657" s="146">
        <f t="shared" si="29"/>
        <v>-8.6496476454892557E-3</v>
      </c>
    </row>
    <row r="1658" spans="4:6" ht="15.6" x14ac:dyDescent="0.3">
      <c r="D1658" s="145">
        <v>43776</v>
      </c>
      <c r="E1658" s="187">
        <v>12012.05</v>
      </c>
      <c r="F1658" s="146">
        <f t="shared" si="29"/>
        <v>3.8442092419803675E-3</v>
      </c>
    </row>
    <row r="1659" spans="4:6" ht="15.6" x14ac:dyDescent="0.3">
      <c r="D1659" s="145">
        <v>43775</v>
      </c>
      <c r="E1659" s="187">
        <v>11966.05</v>
      </c>
      <c r="F1659" s="146">
        <f t="shared" si="29"/>
        <v>4.0991172423050504E-3</v>
      </c>
    </row>
    <row r="1660" spans="4:6" ht="15.6" x14ac:dyDescent="0.3">
      <c r="D1660" s="145">
        <v>43774</v>
      </c>
      <c r="E1660" s="187">
        <v>11917.2</v>
      </c>
      <c r="F1660" s="146">
        <f t="shared" si="29"/>
        <v>-2.0182057229948258E-3</v>
      </c>
    </row>
    <row r="1661" spans="4:6" ht="15.6" x14ac:dyDescent="0.3">
      <c r="D1661" s="145">
        <v>43773</v>
      </c>
      <c r="E1661" s="187">
        <v>11941.3</v>
      </c>
      <c r="F1661" s="146">
        <f t="shared" si="29"/>
        <v>4.2638723024910341E-3</v>
      </c>
    </row>
    <row r="1662" spans="4:6" ht="15.6" x14ac:dyDescent="0.3">
      <c r="D1662" s="145">
        <v>43770</v>
      </c>
      <c r="E1662" s="187">
        <v>11890.6</v>
      </c>
      <c r="F1662" s="146">
        <f t="shared" si="29"/>
        <v>1.1071400005893128E-3</v>
      </c>
    </row>
    <row r="1663" spans="4:6" ht="15.6" x14ac:dyDescent="0.3">
      <c r="D1663" s="145">
        <v>43769</v>
      </c>
      <c r="E1663" s="187">
        <v>11877.45</v>
      </c>
      <c r="F1663" s="146">
        <f t="shared" si="29"/>
        <v>2.8157479251273987E-3</v>
      </c>
    </row>
    <row r="1664" spans="4:6" ht="15.6" x14ac:dyDescent="0.3">
      <c r="D1664" s="145">
        <v>43768</v>
      </c>
      <c r="E1664" s="187">
        <v>11844.1</v>
      </c>
      <c r="F1664" s="146">
        <f t="shared" si="29"/>
        <v>4.8571077090147075E-3</v>
      </c>
    </row>
    <row r="1665" spans="4:6" ht="15.6" x14ac:dyDescent="0.3">
      <c r="D1665" s="145">
        <v>43767</v>
      </c>
      <c r="E1665" s="187">
        <v>11786.85</v>
      </c>
      <c r="F1665" s="146">
        <f t="shared" si="29"/>
        <v>1.3735094154629479E-2</v>
      </c>
    </row>
    <row r="1666" spans="4:6" ht="15.6" x14ac:dyDescent="0.3">
      <c r="D1666" s="145">
        <v>43765</v>
      </c>
      <c r="E1666" s="187">
        <v>11627.15</v>
      </c>
      <c r="F1666" s="146">
        <f t="shared" si="29"/>
        <v>3.7336302972228452E-3</v>
      </c>
    </row>
    <row r="1667" spans="4:6" ht="15.6" x14ac:dyDescent="0.3">
      <c r="D1667" s="145">
        <v>43763</v>
      </c>
      <c r="E1667" s="187">
        <v>11583.9</v>
      </c>
      <c r="F1667" s="146">
        <f t="shared" si="29"/>
        <v>1.122373214994532E-4</v>
      </c>
    </row>
    <row r="1668" spans="4:6" ht="15.6" x14ac:dyDescent="0.3">
      <c r="D1668" s="145">
        <v>43762</v>
      </c>
      <c r="E1668" s="187">
        <v>11582.6</v>
      </c>
      <c r="F1668" s="146">
        <f t="shared" si="29"/>
        <v>-1.8527934092260612E-3</v>
      </c>
    </row>
    <row r="1669" spans="4:6" ht="15.6" x14ac:dyDescent="0.3">
      <c r="D1669" s="145">
        <v>43761</v>
      </c>
      <c r="E1669" s="187">
        <v>11604.1</v>
      </c>
      <c r="F1669" s="146">
        <f t="shared" si="29"/>
        <v>1.3591236025836118E-3</v>
      </c>
    </row>
    <row r="1670" spans="4:6" ht="15.6" x14ac:dyDescent="0.3">
      <c r="D1670" s="145">
        <v>43760</v>
      </c>
      <c r="E1670" s="187">
        <v>11588.35</v>
      </c>
      <c r="F1670" s="146">
        <f t="shared" si="29"/>
        <v>-6.302602074284902E-3</v>
      </c>
    </row>
    <row r="1671" spans="4:6" ht="15.6" x14ac:dyDescent="0.3">
      <c r="D1671" s="145">
        <v>43756</v>
      </c>
      <c r="E1671" s="187">
        <v>11661.85</v>
      </c>
      <c r="F1671" s="146">
        <f t="shared" si="29"/>
        <v>6.5162885636977919E-3</v>
      </c>
    </row>
    <row r="1672" spans="4:6" ht="15.6" x14ac:dyDescent="0.3">
      <c r="D1672" s="145">
        <v>43755</v>
      </c>
      <c r="E1672" s="187">
        <v>11586.35</v>
      </c>
      <c r="F1672" s="146">
        <f t="shared" si="29"/>
        <v>1.0672540125610697E-2</v>
      </c>
    </row>
    <row r="1673" spans="4:6" ht="15.6" x14ac:dyDescent="0.3">
      <c r="D1673" s="145">
        <v>43754</v>
      </c>
      <c r="E1673" s="187">
        <v>11464</v>
      </c>
      <c r="F1673" s="146">
        <f t="shared" si="29"/>
        <v>3.1238241908246867E-3</v>
      </c>
    </row>
    <row r="1674" spans="4:6" ht="15.6" x14ac:dyDescent="0.3">
      <c r="D1674" s="145">
        <v>43753</v>
      </c>
      <c r="E1674" s="187">
        <v>11428.3</v>
      </c>
      <c r="F1674" s="146">
        <f t="shared" si="29"/>
        <v>7.6844059023997158E-3</v>
      </c>
    </row>
    <row r="1675" spans="4:6" ht="15.6" x14ac:dyDescent="0.3">
      <c r="D1675" s="145">
        <v>43752</v>
      </c>
      <c r="E1675" s="187">
        <v>11341.15</v>
      </c>
      <c r="F1675" s="146">
        <f t="shared" si="29"/>
        <v>3.1932631876905315E-3</v>
      </c>
    </row>
    <row r="1676" spans="4:6" ht="15.6" x14ac:dyDescent="0.3">
      <c r="D1676" s="145">
        <v>43749</v>
      </c>
      <c r="E1676" s="187">
        <v>11305.05</v>
      </c>
      <c r="F1676" s="146">
        <f t="shared" si="29"/>
        <v>6.2752847243547905E-3</v>
      </c>
    </row>
    <row r="1677" spans="4:6" ht="15.6" x14ac:dyDescent="0.3">
      <c r="D1677" s="145">
        <v>43748</v>
      </c>
      <c r="E1677" s="187">
        <v>11234.55</v>
      </c>
      <c r="F1677" s="146">
        <f t="shared" si="29"/>
        <v>-6.9608337089973604E-3</v>
      </c>
    </row>
    <row r="1678" spans="4:6" ht="15.6" x14ac:dyDescent="0.3">
      <c r="D1678" s="145">
        <v>43747</v>
      </c>
      <c r="E1678" s="187">
        <v>11313.3</v>
      </c>
      <c r="F1678" s="146">
        <f t="shared" si="29"/>
        <v>1.6797886108714355E-2</v>
      </c>
    </row>
    <row r="1679" spans="4:6" ht="15.6" x14ac:dyDescent="0.3">
      <c r="D1679" s="145">
        <v>43745</v>
      </c>
      <c r="E1679" s="187">
        <v>11126.4</v>
      </c>
      <c r="F1679" s="146">
        <f t="shared" si="29"/>
        <v>-4.3267187185396239E-3</v>
      </c>
    </row>
    <row r="1680" spans="4:6" ht="15.6" x14ac:dyDescent="0.3">
      <c r="D1680" s="145">
        <v>43742</v>
      </c>
      <c r="E1680" s="187">
        <v>11174.75</v>
      </c>
      <c r="F1680" s="146">
        <f t="shared" si="29"/>
        <v>-1.2307760296977222E-2</v>
      </c>
    </row>
    <row r="1681" spans="4:6" ht="15.6" x14ac:dyDescent="0.3">
      <c r="D1681" s="145">
        <v>43741</v>
      </c>
      <c r="E1681" s="187">
        <v>11314</v>
      </c>
      <c r="F1681" s="146">
        <f t="shared" si="29"/>
        <v>-4.0405285257792967E-3</v>
      </c>
    </row>
    <row r="1682" spans="4:6" ht="15.6" x14ac:dyDescent="0.3">
      <c r="D1682" s="145">
        <v>43739</v>
      </c>
      <c r="E1682" s="187">
        <v>11359.9</v>
      </c>
      <c r="F1682" s="146">
        <f t="shared" si="29"/>
        <v>-9.9830492964805284E-3</v>
      </c>
    </row>
    <row r="1683" spans="4:6" ht="15.6" x14ac:dyDescent="0.3">
      <c r="D1683" s="145">
        <v>43738</v>
      </c>
      <c r="E1683" s="187">
        <v>11474.45</v>
      </c>
      <c r="F1683" s="146">
        <f t="shared" si="29"/>
        <v>-3.2964455717312546E-3</v>
      </c>
    </row>
    <row r="1684" spans="4:6" ht="15.6" x14ac:dyDescent="0.3">
      <c r="D1684" s="145">
        <v>43735</v>
      </c>
      <c r="E1684" s="187">
        <v>11512.4</v>
      </c>
      <c r="F1684" s="146">
        <f t="shared" si="29"/>
        <v>-5.0815818584071248E-3</v>
      </c>
    </row>
    <row r="1685" spans="4:6" ht="15.6" x14ac:dyDescent="0.3">
      <c r="D1685" s="145">
        <v>43734</v>
      </c>
      <c r="E1685" s="187">
        <v>11571.2</v>
      </c>
      <c r="F1685" s="146">
        <f t="shared" si="29"/>
        <v>1.1450848761385357E-2</v>
      </c>
    </row>
    <row r="1686" spans="4:6" ht="15.6" x14ac:dyDescent="0.3">
      <c r="D1686" s="145">
        <v>43733</v>
      </c>
      <c r="E1686" s="187">
        <v>11440.2</v>
      </c>
      <c r="F1686" s="146">
        <f t="shared" si="29"/>
        <v>-1.2771612502373131E-2</v>
      </c>
    </row>
    <row r="1687" spans="4:6" ht="15.6" x14ac:dyDescent="0.3">
      <c r="D1687" s="145">
        <v>43732</v>
      </c>
      <c r="E1687" s="187">
        <v>11588.2</v>
      </c>
      <c r="F1687" s="146">
        <f t="shared" si="29"/>
        <v>-1.0344649230186187E-3</v>
      </c>
    </row>
    <row r="1688" spans="4:6" ht="15.6" x14ac:dyDescent="0.3">
      <c r="D1688" s="145">
        <v>43731</v>
      </c>
      <c r="E1688" s="187">
        <v>11600.2</v>
      </c>
      <c r="F1688" s="146">
        <f t="shared" si="29"/>
        <v>2.8915577158467931E-2</v>
      </c>
    </row>
    <row r="1689" spans="4:6" ht="15.6" x14ac:dyDescent="0.3">
      <c r="D1689" s="145">
        <v>43728</v>
      </c>
      <c r="E1689" s="187">
        <v>11274.2</v>
      </c>
      <c r="F1689" s="146">
        <f t="shared" si="29"/>
        <v>5.3191091846648275E-2</v>
      </c>
    </row>
    <row r="1690" spans="4:6" ht="15.6" x14ac:dyDescent="0.3">
      <c r="D1690" s="145">
        <v>43727</v>
      </c>
      <c r="E1690" s="187">
        <v>10704.8</v>
      </c>
      <c r="F1690" s="146">
        <f t="shared" si="29"/>
        <v>-1.2531536393112996E-2</v>
      </c>
    </row>
    <row r="1691" spans="4:6" ht="15.6" x14ac:dyDescent="0.3">
      <c r="D1691" s="145">
        <v>43726</v>
      </c>
      <c r="E1691" s="187">
        <v>10840.65</v>
      </c>
      <c r="F1691" s="146">
        <f t="shared" ref="F1691:F1754" si="30">E1691/E1692-1</f>
        <v>2.1307868658482221E-3</v>
      </c>
    </row>
    <row r="1692" spans="4:6" ht="15.6" x14ac:dyDescent="0.3">
      <c r="D1692" s="145">
        <v>43725</v>
      </c>
      <c r="E1692" s="187">
        <v>10817.6</v>
      </c>
      <c r="F1692" s="146">
        <f t="shared" si="30"/>
        <v>-1.6894624437678862E-2</v>
      </c>
    </row>
    <row r="1693" spans="4:6" ht="15.6" x14ac:dyDescent="0.3">
      <c r="D1693" s="145">
        <v>43724</v>
      </c>
      <c r="E1693" s="187">
        <v>11003.5</v>
      </c>
      <c r="F1693" s="146">
        <f t="shared" si="30"/>
        <v>-6.5367148493575833E-3</v>
      </c>
    </row>
    <row r="1694" spans="4:6" ht="15.6" x14ac:dyDescent="0.3">
      <c r="D1694" s="145">
        <v>43721</v>
      </c>
      <c r="E1694" s="187">
        <v>11075.9</v>
      </c>
      <c r="F1694" s="146">
        <f t="shared" si="30"/>
        <v>8.4768911388717338E-3</v>
      </c>
    </row>
    <row r="1695" spans="4:6" ht="15.6" x14ac:dyDescent="0.3">
      <c r="D1695" s="145">
        <v>43720</v>
      </c>
      <c r="E1695" s="187">
        <v>10982.8</v>
      </c>
      <c r="F1695" s="146">
        <f t="shared" si="30"/>
        <v>-4.7935337133123701E-3</v>
      </c>
    </row>
    <row r="1696" spans="4:6" ht="15.6" x14ac:dyDescent="0.3">
      <c r="D1696" s="145">
        <v>43719</v>
      </c>
      <c r="E1696" s="187">
        <v>11035.7</v>
      </c>
      <c r="F1696" s="146">
        <f t="shared" si="30"/>
        <v>2.9673590504453173E-3</v>
      </c>
    </row>
    <row r="1697" spans="4:6" ht="15.6" x14ac:dyDescent="0.3">
      <c r="D1697" s="145">
        <v>43717</v>
      </c>
      <c r="E1697" s="187">
        <v>11003.05</v>
      </c>
      <c r="F1697" s="146">
        <f t="shared" si="30"/>
        <v>5.1935831612794914E-3</v>
      </c>
    </row>
    <row r="1698" spans="4:6" ht="15.6" x14ac:dyDescent="0.3">
      <c r="D1698" s="145">
        <v>43714</v>
      </c>
      <c r="E1698" s="187">
        <v>10946.2</v>
      </c>
      <c r="F1698" s="146">
        <f t="shared" si="30"/>
        <v>9.0616617041088254E-3</v>
      </c>
    </row>
    <row r="1699" spans="4:6" ht="15.6" x14ac:dyDescent="0.3">
      <c r="D1699" s="145">
        <v>43713</v>
      </c>
      <c r="E1699" s="187">
        <v>10847.9</v>
      </c>
      <c r="F1699" s="146">
        <f t="shared" si="30"/>
        <v>2.9968694240944949E-4</v>
      </c>
    </row>
    <row r="1700" spans="4:6" ht="15.6" x14ac:dyDescent="0.3">
      <c r="D1700" s="145">
        <v>43712</v>
      </c>
      <c r="E1700" s="187">
        <v>10844.65</v>
      </c>
      <c r="F1700" s="146">
        <f t="shared" si="30"/>
        <v>4.3295455597847088E-3</v>
      </c>
    </row>
    <row r="1701" spans="4:6" ht="15.6" x14ac:dyDescent="0.3">
      <c r="D1701" s="145">
        <v>43711</v>
      </c>
      <c r="E1701" s="187">
        <v>10797.9</v>
      </c>
      <c r="F1701" s="146">
        <f t="shared" si="30"/>
        <v>-2.0443154242170025E-2</v>
      </c>
    </row>
    <row r="1702" spans="4:6" ht="15.6" x14ac:dyDescent="0.3">
      <c r="D1702" s="145">
        <v>43707</v>
      </c>
      <c r="E1702" s="187">
        <v>11023.25</v>
      </c>
      <c r="F1702" s="146">
        <f t="shared" si="30"/>
        <v>6.845811678525493E-3</v>
      </c>
    </row>
    <row r="1703" spans="4:6" ht="15.6" x14ac:dyDescent="0.3">
      <c r="D1703" s="145">
        <v>43706</v>
      </c>
      <c r="E1703" s="187">
        <v>10948.3</v>
      </c>
      <c r="F1703" s="146">
        <f t="shared" si="30"/>
        <v>-8.8538036048922963E-3</v>
      </c>
    </row>
    <row r="1704" spans="4:6" ht="15.6" x14ac:dyDescent="0.3">
      <c r="D1704" s="145">
        <v>43705</v>
      </c>
      <c r="E1704" s="187">
        <v>11046.1</v>
      </c>
      <c r="F1704" s="146">
        <f t="shared" si="30"/>
        <v>-5.3352663355950014E-3</v>
      </c>
    </row>
    <row r="1705" spans="4:6" ht="15.6" x14ac:dyDescent="0.3">
      <c r="D1705" s="145">
        <v>43704</v>
      </c>
      <c r="E1705" s="187">
        <v>11105.35</v>
      </c>
      <c r="F1705" s="146">
        <f t="shared" si="30"/>
        <v>4.2955909150512728E-3</v>
      </c>
    </row>
    <row r="1706" spans="4:6" ht="15.6" x14ac:dyDescent="0.3">
      <c r="D1706" s="145">
        <v>43703</v>
      </c>
      <c r="E1706" s="187">
        <v>11057.85</v>
      </c>
      <c r="F1706" s="146">
        <f t="shared" si="30"/>
        <v>2.1100066024276609E-2</v>
      </c>
    </row>
    <row r="1707" spans="4:6" ht="15.6" x14ac:dyDescent="0.3">
      <c r="D1707" s="145">
        <v>43700</v>
      </c>
      <c r="E1707" s="187">
        <v>10829.35</v>
      </c>
      <c r="F1707" s="146">
        <f t="shared" si="30"/>
        <v>8.1926387279065427E-3</v>
      </c>
    </row>
    <row r="1708" spans="4:6" ht="15.6" x14ac:dyDescent="0.3">
      <c r="D1708" s="145">
        <v>43699</v>
      </c>
      <c r="E1708" s="187">
        <v>10741.35</v>
      </c>
      <c r="F1708" s="146">
        <f t="shared" si="30"/>
        <v>-1.6242776154670513E-2</v>
      </c>
    </row>
    <row r="1709" spans="4:6" ht="15.6" x14ac:dyDescent="0.3">
      <c r="D1709" s="145">
        <v>43698</v>
      </c>
      <c r="E1709" s="187">
        <v>10918.7</v>
      </c>
      <c r="F1709" s="146">
        <f t="shared" si="30"/>
        <v>-8.9225742035036193E-3</v>
      </c>
    </row>
    <row r="1710" spans="4:6" ht="15.6" x14ac:dyDescent="0.3">
      <c r="D1710" s="145">
        <v>43697</v>
      </c>
      <c r="E1710" s="187">
        <v>11017</v>
      </c>
      <c r="F1710" s="146">
        <f t="shared" si="30"/>
        <v>-3.338188331719949E-3</v>
      </c>
    </row>
    <row r="1711" spans="4:6" ht="15.6" x14ac:dyDescent="0.3">
      <c r="D1711" s="145">
        <v>43696</v>
      </c>
      <c r="E1711" s="187">
        <v>11053.9</v>
      </c>
      <c r="F1711" s="146">
        <f t="shared" si="30"/>
        <v>5.5214612864107337E-4</v>
      </c>
    </row>
    <row r="1712" spans="4:6" ht="15.6" x14ac:dyDescent="0.3">
      <c r="D1712" s="145">
        <v>43693</v>
      </c>
      <c r="E1712" s="187">
        <v>11047.8</v>
      </c>
      <c r="F1712" s="146">
        <f t="shared" si="30"/>
        <v>1.6682684461530872E-3</v>
      </c>
    </row>
    <row r="1713" spans="4:6" ht="15.6" x14ac:dyDescent="0.3">
      <c r="D1713" s="145">
        <v>43691</v>
      </c>
      <c r="E1713" s="187">
        <v>11029.4</v>
      </c>
      <c r="F1713" s="146">
        <f t="shared" si="30"/>
        <v>9.4775234878750059E-3</v>
      </c>
    </row>
    <row r="1714" spans="4:6" ht="15.6" x14ac:dyDescent="0.3">
      <c r="D1714" s="145">
        <v>43690</v>
      </c>
      <c r="E1714" s="187">
        <v>10925.85</v>
      </c>
      <c r="F1714" s="146">
        <f t="shared" si="30"/>
        <v>-1.6544175559085939E-2</v>
      </c>
    </row>
    <row r="1715" spans="4:6" ht="15.6" x14ac:dyDescent="0.3">
      <c r="D1715" s="145">
        <v>43686</v>
      </c>
      <c r="E1715" s="187">
        <v>11109.65</v>
      </c>
      <c r="F1715" s="146">
        <f t="shared" si="30"/>
        <v>6.9975390779020152E-3</v>
      </c>
    </row>
    <row r="1716" spans="4:6" ht="15.6" x14ac:dyDescent="0.3">
      <c r="D1716" s="145">
        <v>43685</v>
      </c>
      <c r="E1716" s="187">
        <v>11032.45</v>
      </c>
      <c r="F1716" s="146">
        <f t="shared" si="30"/>
        <v>1.6300492837732161E-2</v>
      </c>
    </row>
    <row r="1717" spans="4:6" ht="15.6" x14ac:dyDescent="0.3">
      <c r="D1717" s="145">
        <v>43684</v>
      </c>
      <c r="E1717" s="187">
        <v>10855.5</v>
      </c>
      <c r="F1717" s="146">
        <f t="shared" si="30"/>
        <v>-8.4716735551343403E-3</v>
      </c>
    </row>
    <row r="1718" spans="4:6" ht="15.6" x14ac:dyDescent="0.3">
      <c r="D1718" s="145">
        <v>43683</v>
      </c>
      <c r="E1718" s="187">
        <v>10948.25</v>
      </c>
      <c r="F1718" s="146">
        <f t="shared" si="30"/>
        <v>7.8848526135546493E-3</v>
      </c>
    </row>
    <row r="1719" spans="4:6" ht="15.6" x14ac:dyDescent="0.3">
      <c r="D1719" s="145">
        <v>43682</v>
      </c>
      <c r="E1719" s="187">
        <v>10862.6</v>
      </c>
      <c r="F1719" s="146">
        <f t="shared" si="30"/>
        <v>-1.2252951847490534E-2</v>
      </c>
    </row>
    <row r="1720" spans="4:6" ht="15.6" x14ac:dyDescent="0.3">
      <c r="D1720" s="145">
        <v>43679</v>
      </c>
      <c r="E1720" s="187">
        <v>10997.35</v>
      </c>
      <c r="F1720" s="146">
        <f t="shared" si="30"/>
        <v>1.5801457194899449E-3</v>
      </c>
    </row>
    <row r="1721" spans="4:6" ht="15.6" x14ac:dyDescent="0.3">
      <c r="D1721" s="145">
        <v>43678</v>
      </c>
      <c r="E1721" s="187">
        <v>10980</v>
      </c>
      <c r="F1721" s="146">
        <f t="shared" si="30"/>
        <v>-1.2412304371289817E-2</v>
      </c>
    </row>
    <row r="1722" spans="4:6" ht="15.6" x14ac:dyDescent="0.3">
      <c r="D1722" s="145">
        <v>43677</v>
      </c>
      <c r="E1722" s="187">
        <v>11118</v>
      </c>
      <c r="F1722" s="146">
        <f t="shared" si="30"/>
        <v>2.94080502282279E-3</v>
      </c>
    </row>
    <row r="1723" spans="4:6" ht="15.6" x14ac:dyDescent="0.3">
      <c r="D1723" s="145">
        <v>43676</v>
      </c>
      <c r="E1723" s="187">
        <v>11085.4</v>
      </c>
      <c r="F1723" s="146">
        <f t="shared" si="30"/>
        <v>-9.2768026311086382E-3</v>
      </c>
    </row>
    <row r="1724" spans="4:6" ht="15.6" x14ac:dyDescent="0.3">
      <c r="D1724" s="145">
        <v>43675</v>
      </c>
      <c r="E1724" s="187">
        <v>11189.2</v>
      </c>
      <c r="F1724" s="146">
        <f t="shared" si="30"/>
        <v>-8.4276384002550664E-3</v>
      </c>
    </row>
    <row r="1725" spans="4:6" ht="15.6" x14ac:dyDescent="0.3">
      <c r="D1725" s="145">
        <v>43672</v>
      </c>
      <c r="E1725" s="187">
        <v>11284.3</v>
      </c>
      <c r="F1725" s="146">
        <f t="shared" si="30"/>
        <v>2.8572317290473936E-3</v>
      </c>
    </row>
    <row r="1726" spans="4:6" ht="15.6" x14ac:dyDescent="0.3">
      <c r="D1726" s="145">
        <v>43671</v>
      </c>
      <c r="E1726" s="187">
        <v>11252.15</v>
      </c>
      <c r="F1726" s="146">
        <f t="shared" si="30"/>
        <v>-1.6990054385918052E-3</v>
      </c>
    </row>
    <row r="1727" spans="4:6" ht="15.6" x14ac:dyDescent="0.3">
      <c r="D1727" s="145">
        <v>43670</v>
      </c>
      <c r="E1727" s="187">
        <v>11271.3</v>
      </c>
      <c r="F1727" s="146">
        <f t="shared" si="30"/>
        <v>-5.2731212023598983E-3</v>
      </c>
    </row>
    <row r="1728" spans="4:6" ht="15.6" x14ac:dyDescent="0.3">
      <c r="D1728" s="145">
        <v>43669</v>
      </c>
      <c r="E1728" s="187">
        <v>11331.05</v>
      </c>
      <c r="F1728" s="146">
        <f t="shared" si="30"/>
        <v>-1.3352488057677414E-3</v>
      </c>
    </row>
    <row r="1729" spans="4:6" ht="15.6" x14ac:dyDescent="0.3">
      <c r="D1729" s="145">
        <v>43668</v>
      </c>
      <c r="E1729" s="187">
        <v>11346.2</v>
      </c>
      <c r="F1729" s="146">
        <f t="shared" si="30"/>
        <v>-6.3970926286751606E-3</v>
      </c>
    </row>
    <row r="1730" spans="4:6" ht="15.6" x14ac:dyDescent="0.3">
      <c r="D1730" s="145">
        <v>43665</v>
      </c>
      <c r="E1730" s="187">
        <v>11419.25</v>
      </c>
      <c r="F1730" s="146">
        <f t="shared" si="30"/>
        <v>-1.531874897601937E-2</v>
      </c>
    </row>
    <row r="1731" spans="4:6" ht="15.6" x14ac:dyDescent="0.3">
      <c r="D1731" s="145">
        <v>43664</v>
      </c>
      <c r="E1731" s="187">
        <v>11596.9</v>
      </c>
      <c r="F1731" s="146">
        <f t="shared" si="30"/>
        <v>-7.7518716577540392E-3</v>
      </c>
    </row>
    <row r="1732" spans="4:6" ht="15.6" x14ac:dyDescent="0.3">
      <c r="D1732" s="145">
        <v>43663</v>
      </c>
      <c r="E1732" s="187">
        <v>11687.5</v>
      </c>
      <c r="F1732" s="146">
        <f t="shared" si="30"/>
        <v>2.1350299247164806E-3</v>
      </c>
    </row>
    <row r="1733" spans="4:6" ht="15.6" x14ac:dyDescent="0.3">
      <c r="D1733" s="145">
        <v>43662</v>
      </c>
      <c r="E1733" s="187">
        <v>11662.6</v>
      </c>
      <c r="F1733" s="146">
        <f t="shared" si="30"/>
        <v>6.4072969836086457E-3</v>
      </c>
    </row>
    <row r="1734" spans="4:6" ht="15.6" x14ac:dyDescent="0.3">
      <c r="D1734" s="145">
        <v>43661</v>
      </c>
      <c r="E1734" s="187">
        <v>11588.35</v>
      </c>
      <c r="F1734" s="146">
        <f t="shared" si="30"/>
        <v>3.1032244103008644E-3</v>
      </c>
    </row>
    <row r="1735" spans="4:6" ht="15.6" x14ac:dyDescent="0.3">
      <c r="D1735" s="145">
        <v>43658</v>
      </c>
      <c r="E1735" s="187">
        <v>11552.5</v>
      </c>
      <c r="F1735" s="146">
        <f t="shared" si="30"/>
        <v>-2.6245586165812851E-3</v>
      </c>
    </row>
    <row r="1736" spans="4:6" ht="15.6" x14ac:dyDescent="0.3">
      <c r="D1736" s="145">
        <v>43657</v>
      </c>
      <c r="E1736" s="187">
        <v>11582.9</v>
      </c>
      <c r="F1736" s="146">
        <f t="shared" si="30"/>
        <v>7.3050465696717914E-3</v>
      </c>
    </row>
    <row r="1737" spans="4:6" ht="15.6" x14ac:dyDescent="0.3">
      <c r="D1737" s="145">
        <v>43656</v>
      </c>
      <c r="E1737" s="187">
        <v>11498.9</v>
      </c>
      <c r="F1737" s="146">
        <f t="shared" si="30"/>
        <v>-4.93254527990028E-3</v>
      </c>
    </row>
    <row r="1738" spans="4:6" ht="15.6" x14ac:dyDescent="0.3">
      <c r="D1738" s="145">
        <v>43655</v>
      </c>
      <c r="E1738" s="187">
        <v>11555.9</v>
      </c>
      <c r="F1738" s="146">
        <f t="shared" si="30"/>
        <v>-2.335923035662324E-4</v>
      </c>
    </row>
    <row r="1739" spans="4:6" ht="15.6" x14ac:dyDescent="0.3">
      <c r="D1739" s="145">
        <v>43654</v>
      </c>
      <c r="E1739" s="187">
        <v>11558.6</v>
      </c>
      <c r="F1739" s="146">
        <f t="shared" si="30"/>
        <v>-2.1382337875651358E-2</v>
      </c>
    </row>
    <row r="1740" spans="4:6" ht="15.6" x14ac:dyDescent="0.3">
      <c r="D1740" s="145">
        <v>43651</v>
      </c>
      <c r="E1740" s="187">
        <v>11811.15</v>
      </c>
      <c r="F1740" s="146">
        <f t="shared" si="30"/>
        <v>-1.1350367254692739E-2</v>
      </c>
    </row>
    <row r="1741" spans="4:6" ht="15.6" x14ac:dyDescent="0.3">
      <c r="D1741" s="145">
        <v>43650</v>
      </c>
      <c r="E1741" s="187">
        <v>11946.75</v>
      </c>
      <c r="F1741" s="146">
        <f t="shared" si="30"/>
        <v>2.5174649128327786E-3</v>
      </c>
    </row>
    <row r="1742" spans="4:6" ht="15.6" x14ac:dyDescent="0.3">
      <c r="D1742" s="145">
        <v>43649</v>
      </c>
      <c r="E1742" s="187">
        <v>11916.75</v>
      </c>
      <c r="F1742" s="146">
        <f t="shared" si="30"/>
        <v>5.4154807183715015E-4</v>
      </c>
    </row>
    <row r="1743" spans="4:6" ht="15.6" x14ac:dyDescent="0.3">
      <c r="D1743" s="145">
        <v>43648</v>
      </c>
      <c r="E1743" s="187">
        <v>11910.3</v>
      </c>
      <c r="F1743" s="146">
        <f t="shared" si="30"/>
        <v>3.767192556634269E-3</v>
      </c>
    </row>
    <row r="1744" spans="4:6" ht="15.6" x14ac:dyDescent="0.3">
      <c r="D1744" s="145">
        <v>43647</v>
      </c>
      <c r="E1744" s="187">
        <v>11865.6</v>
      </c>
      <c r="F1744" s="146">
        <f t="shared" si="30"/>
        <v>6.5103890540638698E-3</v>
      </c>
    </row>
    <row r="1745" spans="4:6" ht="15.6" x14ac:dyDescent="0.3">
      <c r="D1745" s="145">
        <v>43644</v>
      </c>
      <c r="E1745" s="187">
        <v>11788.85</v>
      </c>
      <c r="F1745" s="146">
        <f t="shared" si="30"/>
        <v>-4.4504308979820273E-3</v>
      </c>
    </row>
    <row r="1746" spans="4:6" ht="15.6" x14ac:dyDescent="0.3">
      <c r="D1746" s="145">
        <v>43643</v>
      </c>
      <c r="E1746" s="187">
        <v>11841.55</v>
      </c>
      <c r="F1746" s="146">
        <f t="shared" si="30"/>
        <v>-5.0643381965043144E-4</v>
      </c>
    </row>
    <row r="1747" spans="4:6" ht="15.6" x14ac:dyDescent="0.3">
      <c r="D1747" s="145">
        <v>43642</v>
      </c>
      <c r="E1747" s="187">
        <v>11847.55</v>
      </c>
      <c r="F1747" s="146">
        <f t="shared" si="30"/>
        <v>4.331811689109788E-3</v>
      </c>
    </row>
    <row r="1748" spans="4:6" ht="15.6" x14ac:dyDescent="0.3">
      <c r="D1748" s="145">
        <v>43641</v>
      </c>
      <c r="E1748" s="187">
        <v>11796.45</v>
      </c>
      <c r="F1748" s="146">
        <f t="shared" si="30"/>
        <v>8.2737517788995518E-3</v>
      </c>
    </row>
    <row r="1749" spans="4:6" ht="15.6" x14ac:dyDescent="0.3">
      <c r="D1749" s="145">
        <v>43640</v>
      </c>
      <c r="E1749" s="187">
        <v>11699.65</v>
      </c>
      <c r="F1749" s="146">
        <f t="shared" si="30"/>
        <v>-2.0854479235080658E-3</v>
      </c>
    </row>
    <row r="1750" spans="4:6" ht="15.6" x14ac:dyDescent="0.3">
      <c r="D1750" s="145">
        <v>43637</v>
      </c>
      <c r="E1750" s="187">
        <v>11724.1</v>
      </c>
      <c r="F1750" s="146">
        <f t="shared" si="30"/>
        <v>-9.098400490206382E-3</v>
      </c>
    </row>
    <row r="1751" spans="4:6" ht="15.6" x14ac:dyDescent="0.3">
      <c r="D1751" s="145">
        <v>43636</v>
      </c>
      <c r="E1751" s="187">
        <v>11831.75</v>
      </c>
      <c r="F1751" s="146">
        <f t="shared" si="30"/>
        <v>1.2000222384733972E-2</v>
      </c>
    </row>
    <row r="1752" spans="4:6" ht="15.6" x14ac:dyDescent="0.3">
      <c r="D1752" s="145">
        <v>43635</v>
      </c>
      <c r="E1752" s="187">
        <v>11691.45</v>
      </c>
      <c r="F1752" s="146">
        <f t="shared" si="30"/>
        <v>-4.2766112131609191E-6</v>
      </c>
    </row>
    <row r="1753" spans="4:6" ht="15.6" x14ac:dyDescent="0.3">
      <c r="D1753" s="145">
        <v>43634</v>
      </c>
      <c r="E1753" s="187">
        <v>11691.5</v>
      </c>
      <c r="F1753" s="146">
        <f t="shared" si="30"/>
        <v>1.657792266206437E-3</v>
      </c>
    </row>
    <row r="1754" spans="4:6" ht="15.6" x14ac:dyDescent="0.3">
      <c r="D1754" s="145">
        <v>43633</v>
      </c>
      <c r="E1754" s="187">
        <v>11672.15</v>
      </c>
      <c r="F1754" s="146">
        <f t="shared" si="30"/>
        <v>-1.2784078895063056E-2</v>
      </c>
    </row>
    <row r="1755" spans="4:6" ht="15.6" x14ac:dyDescent="0.3">
      <c r="D1755" s="145">
        <v>43630</v>
      </c>
      <c r="E1755" s="187">
        <v>11823.3</v>
      </c>
      <c r="F1755" s="146">
        <f t="shared" ref="F1755:F1818" si="31">E1755/E1756-1</f>
        <v>-7.6170571719944569E-3</v>
      </c>
    </row>
    <row r="1756" spans="4:6" ht="15.6" x14ac:dyDescent="0.3">
      <c r="D1756" s="145">
        <v>43629</v>
      </c>
      <c r="E1756" s="187">
        <v>11914.05</v>
      </c>
      <c r="F1756" s="146">
        <f t="shared" si="31"/>
        <v>6.5932035410121159E-4</v>
      </c>
    </row>
    <row r="1757" spans="4:6" ht="15.6" x14ac:dyDescent="0.3">
      <c r="D1757" s="145">
        <v>43628</v>
      </c>
      <c r="E1757" s="187">
        <v>11906.2</v>
      </c>
      <c r="F1757" s="146">
        <f t="shared" si="31"/>
        <v>-4.9642307949454567E-3</v>
      </c>
    </row>
    <row r="1758" spans="4:6" ht="15.6" x14ac:dyDescent="0.3">
      <c r="D1758" s="145">
        <v>43627</v>
      </c>
      <c r="E1758" s="187">
        <v>11965.6</v>
      </c>
      <c r="F1758" s="146">
        <f t="shared" si="31"/>
        <v>3.5981782649903149E-3</v>
      </c>
    </row>
    <row r="1759" spans="4:6" ht="15.6" x14ac:dyDescent="0.3">
      <c r="D1759" s="145">
        <v>43626</v>
      </c>
      <c r="E1759" s="187">
        <v>11922.7</v>
      </c>
      <c r="F1759" s="146">
        <f t="shared" si="31"/>
        <v>4.3847641030609896E-3</v>
      </c>
    </row>
    <row r="1760" spans="4:6" ht="15.6" x14ac:dyDescent="0.3">
      <c r="D1760" s="145">
        <v>43623</v>
      </c>
      <c r="E1760" s="187">
        <v>11870.65</v>
      </c>
      <c r="F1760" s="146">
        <f t="shared" si="31"/>
        <v>2.271240105540917E-3</v>
      </c>
    </row>
    <row r="1761" spans="4:6" ht="15.6" x14ac:dyDescent="0.3">
      <c r="D1761" s="145">
        <v>43622</v>
      </c>
      <c r="E1761" s="187">
        <v>11843.75</v>
      </c>
      <c r="F1761" s="146">
        <f t="shared" si="31"/>
        <v>-1.479830139789462E-2</v>
      </c>
    </row>
    <row r="1762" spans="4:6" ht="15.6" x14ac:dyDescent="0.3">
      <c r="D1762" s="145">
        <v>43620</v>
      </c>
      <c r="E1762" s="187">
        <v>12021.65</v>
      </c>
      <c r="F1762" s="146">
        <f t="shared" si="31"/>
        <v>-5.5341624926066313E-3</v>
      </c>
    </row>
    <row r="1763" spans="4:6" ht="15.6" x14ac:dyDescent="0.3">
      <c r="D1763" s="145">
        <v>43619</v>
      </c>
      <c r="E1763" s="187">
        <v>12088.55</v>
      </c>
      <c r="F1763" s="146">
        <f t="shared" si="31"/>
        <v>1.3901935786895692E-2</v>
      </c>
    </row>
    <row r="1764" spans="4:6" ht="15.6" x14ac:dyDescent="0.3">
      <c r="D1764" s="145">
        <v>43616</v>
      </c>
      <c r="E1764" s="187">
        <v>11922.8</v>
      </c>
      <c r="F1764" s="146">
        <f t="shared" si="31"/>
        <v>-1.9337178446161563E-3</v>
      </c>
    </row>
    <row r="1765" spans="4:6" ht="15.6" x14ac:dyDescent="0.3">
      <c r="D1765" s="145">
        <v>43615</v>
      </c>
      <c r="E1765" s="187">
        <v>11945.9</v>
      </c>
      <c r="F1765" s="146">
        <f t="shared" si="31"/>
        <v>7.1494212172562577E-3</v>
      </c>
    </row>
    <row r="1766" spans="4:6" ht="15.6" x14ac:dyDescent="0.3">
      <c r="D1766" s="145">
        <v>43614</v>
      </c>
      <c r="E1766" s="187">
        <v>11861.1</v>
      </c>
      <c r="F1766" s="146">
        <f t="shared" si="31"/>
        <v>-5.6711725872367058E-3</v>
      </c>
    </row>
    <row r="1767" spans="4:6" ht="15.6" x14ac:dyDescent="0.3">
      <c r="D1767" s="145">
        <v>43613</v>
      </c>
      <c r="E1767" s="187">
        <v>11928.75</v>
      </c>
      <c r="F1767" s="146">
        <f t="shared" si="31"/>
        <v>3.3543680161018941E-4</v>
      </c>
    </row>
    <row r="1768" spans="4:6" ht="15.6" x14ac:dyDescent="0.3">
      <c r="D1768" s="145">
        <v>43612</v>
      </c>
      <c r="E1768" s="187">
        <v>11924.75</v>
      </c>
      <c r="F1768" s="146">
        <f t="shared" si="31"/>
        <v>6.809297456117358E-3</v>
      </c>
    </row>
    <row r="1769" spans="4:6" ht="15.6" x14ac:dyDescent="0.3">
      <c r="D1769" s="145">
        <v>43609</v>
      </c>
      <c r="E1769" s="187">
        <v>11844.1</v>
      </c>
      <c r="F1769" s="146">
        <f t="shared" si="31"/>
        <v>1.6046083700421709E-2</v>
      </c>
    </row>
    <row r="1770" spans="4:6" ht="15.6" x14ac:dyDescent="0.3">
      <c r="D1770" s="145">
        <v>43608</v>
      </c>
      <c r="E1770" s="187">
        <v>11657.05</v>
      </c>
      <c r="F1770" s="146">
        <f t="shared" si="31"/>
        <v>-6.8879441808160635E-3</v>
      </c>
    </row>
    <row r="1771" spans="4:6" ht="15.6" x14ac:dyDescent="0.3">
      <c r="D1771" s="145">
        <v>43607</v>
      </c>
      <c r="E1771" s="187">
        <v>11737.9</v>
      </c>
      <c r="F1771" s="146">
        <f t="shared" si="31"/>
        <v>2.4596254195454748E-3</v>
      </c>
    </row>
    <row r="1772" spans="4:6" ht="15.6" x14ac:dyDescent="0.3">
      <c r="D1772" s="145">
        <v>43606</v>
      </c>
      <c r="E1772" s="187">
        <v>11709.1</v>
      </c>
      <c r="F1772" s="146">
        <f t="shared" si="31"/>
        <v>-1.0073341364952526E-2</v>
      </c>
    </row>
    <row r="1773" spans="4:6" ht="15.6" x14ac:dyDescent="0.3">
      <c r="D1773" s="145">
        <v>43605</v>
      </c>
      <c r="E1773" s="187">
        <v>11828.25</v>
      </c>
      <c r="F1773" s="146">
        <f t="shared" si="31"/>
        <v>3.691544338419317E-2</v>
      </c>
    </row>
    <row r="1774" spans="4:6" ht="15.6" x14ac:dyDescent="0.3">
      <c r="D1774" s="145">
        <v>43602</v>
      </c>
      <c r="E1774" s="187">
        <v>11407.15</v>
      </c>
      <c r="F1774" s="146">
        <f t="shared" si="31"/>
        <v>1.3329365467127374E-2</v>
      </c>
    </row>
    <row r="1775" spans="4:6" ht="15.6" x14ac:dyDescent="0.3">
      <c r="D1775" s="145">
        <v>43601</v>
      </c>
      <c r="E1775" s="187">
        <v>11257.1</v>
      </c>
      <c r="F1775" s="146">
        <f t="shared" si="31"/>
        <v>8.9719458635835192E-3</v>
      </c>
    </row>
    <row r="1776" spans="4:6" ht="15.6" x14ac:dyDescent="0.3">
      <c r="D1776" s="145">
        <v>43600</v>
      </c>
      <c r="E1776" s="187">
        <v>11157</v>
      </c>
      <c r="F1776" s="146">
        <f t="shared" si="31"/>
        <v>-5.7966236115504222E-3</v>
      </c>
    </row>
    <row r="1777" spans="4:6" ht="15.6" x14ac:dyDescent="0.3">
      <c r="D1777" s="145">
        <v>43599</v>
      </c>
      <c r="E1777" s="187">
        <v>11222.05</v>
      </c>
      <c r="F1777" s="146">
        <f t="shared" si="31"/>
        <v>6.6243877935450168E-3</v>
      </c>
    </row>
    <row r="1778" spans="4:6" ht="15.6" x14ac:dyDescent="0.3">
      <c r="D1778" s="145">
        <v>43598</v>
      </c>
      <c r="E1778" s="187">
        <v>11148.2</v>
      </c>
      <c r="F1778" s="146">
        <f t="shared" si="31"/>
        <v>-1.1588009469008398E-2</v>
      </c>
    </row>
    <row r="1779" spans="4:6" ht="15.6" x14ac:dyDescent="0.3">
      <c r="D1779" s="145">
        <v>43595</v>
      </c>
      <c r="E1779" s="187">
        <v>11278.9</v>
      </c>
      <c r="F1779" s="146">
        <f t="shared" si="31"/>
        <v>-2.0262259109168346E-3</v>
      </c>
    </row>
    <row r="1780" spans="4:6" ht="15.6" x14ac:dyDescent="0.3">
      <c r="D1780" s="145">
        <v>43594</v>
      </c>
      <c r="E1780" s="187">
        <v>11301.8</v>
      </c>
      <c r="F1780" s="146">
        <f t="shared" si="31"/>
        <v>-5.0750696556612906E-3</v>
      </c>
    </row>
    <row r="1781" spans="4:6" ht="15.6" x14ac:dyDescent="0.3">
      <c r="D1781" s="145">
        <v>43593</v>
      </c>
      <c r="E1781" s="187">
        <v>11359.45</v>
      </c>
      <c r="F1781" s="146">
        <f t="shared" si="31"/>
        <v>-1.2041329286217373E-2</v>
      </c>
    </row>
    <row r="1782" spans="4:6" ht="15.6" x14ac:dyDescent="0.3">
      <c r="D1782" s="145">
        <v>43592</v>
      </c>
      <c r="E1782" s="187">
        <v>11497.9</v>
      </c>
      <c r="F1782" s="146">
        <f t="shared" si="31"/>
        <v>-8.652167352833473E-3</v>
      </c>
    </row>
    <row r="1783" spans="4:6" ht="15.6" x14ac:dyDescent="0.3">
      <c r="D1783" s="145">
        <v>43591</v>
      </c>
      <c r="E1783" s="187">
        <v>11598.25</v>
      </c>
      <c r="F1783" s="146">
        <f t="shared" si="31"/>
        <v>-9.7333987918631903E-3</v>
      </c>
    </row>
    <row r="1784" spans="4:6" ht="15.6" x14ac:dyDescent="0.3">
      <c r="D1784" s="145">
        <v>43588</v>
      </c>
      <c r="E1784" s="187">
        <v>11712.25</v>
      </c>
      <c r="F1784" s="146">
        <f t="shared" si="31"/>
        <v>-1.0661208128105448E-3</v>
      </c>
    </row>
    <row r="1785" spans="4:6" ht="15.6" x14ac:dyDescent="0.3">
      <c r="D1785" s="145">
        <v>43587</v>
      </c>
      <c r="E1785" s="187">
        <v>11724.75</v>
      </c>
      <c r="F1785" s="146">
        <f t="shared" si="31"/>
        <v>-1.9918029647221225E-3</v>
      </c>
    </row>
    <row r="1786" spans="4:6" ht="15.6" x14ac:dyDescent="0.3">
      <c r="D1786" s="145">
        <v>43585</v>
      </c>
      <c r="E1786" s="187">
        <v>11748.15</v>
      </c>
      <c r="F1786" s="146">
        <f t="shared" si="31"/>
        <v>-5.5297265337550527E-4</v>
      </c>
    </row>
    <row r="1787" spans="4:6" ht="15.6" x14ac:dyDescent="0.3">
      <c r="D1787" s="145">
        <v>43581</v>
      </c>
      <c r="E1787" s="187">
        <v>11754.65</v>
      </c>
      <c r="F1787" s="146">
        <f t="shared" si="31"/>
        <v>9.6935181844732821E-3</v>
      </c>
    </row>
    <row r="1788" spans="4:6" ht="15.6" x14ac:dyDescent="0.3">
      <c r="D1788" s="145">
        <v>43580</v>
      </c>
      <c r="E1788" s="187">
        <v>11641.8</v>
      </c>
      <c r="F1788" s="146">
        <f t="shared" si="31"/>
        <v>-7.1933243221347087E-3</v>
      </c>
    </row>
    <row r="1789" spans="4:6" ht="15.6" x14ac:dyDescent="0.3">
      <c r="D1789" s="145">
        <v>43579</v>
      </c>
      <c r="E1789" s="187">
        <v>11726.15</v>
      </c>
      <c r="F1789" s="146">
        <f t="shared" si="31"/>
        <v>1.2975176983314407E-2</v>
      </c>
    </row>
    <row r="1790" spans="4:6" ht="15.6" x14ac:dyDescent="0.3">
      <c r="D1790" s="145">
        <v>43578</v>
      </c>
      <c r="E1790" s="187">
        <v>11575.95</v>
      </c>
      <c r="F1790" s="146">
        <f t="shared" si="31"/>
        <v>-1.5955909939668889E-3</v>
      </c>
    </row>
    <row r="1791" spans="4:6" ht="15.6" x14ac:dyDescent="0.3">
      <c r="D1791" s="145">
        <v>43577</v>
      </c>
      <c r="E1791" s="187">
        <v>11594.45</v>
      </c>
      <c r="F1791" s="146">
        <f t="shared" si="31"/>
        <v>-1.3473385065686405E-2</v>
      </c>
    </row>
    <row r="1792" spans="4:6" ht="15.6" x14ac:dyDescent="0.3">
      <c r="D1792" s="145">
        <v>43573</v>
      </c>
      <c r="E1792" s="187">
        <v>11752.8</v>
      </c>
      <c r="F1792" s="146">
        <f t="shared" si="31"/>
        <v>-2.9141904531629903E-3</v>
      </c>
    </row>
    <row r="1793" spans="4:6" ht="15.6" x14ac:dyDescent="0.3">
      <c r="D1793" s="145">
        <v>43571</v>
      </c>
      <c r="E1793" s="187">
        <v>11787.15</v>
      </c>
      <c r="F1793" s="146">
        <f t="shared" si="31"/>
        <v>8.2803337795702703E-3</v>
      </c>
    </row>
    <row r="1794" spans="4:6" ht="15.6" x14ac:dyDescent="0.3">
      <c r="D1794" s="145">
        <v>43570</v>
      </c>
      <c r="E1794" s="187">
        <v>11690.35</v>
      </c>
      <c r="F1794" s="146">
        <f t="shared" si="31"/>
        <v>4.0280157513450376E-3</v>
      </c>
    </row>
    <row r="1795" spans="4:6" ht="15.6" x14ac:dyDescent="0.3">
      <c r="D1795" s="145">
        <v>43567</v>
      </c>
      <c r="E1795" s="187">
        <v>11643.45</v>
      </c>
      <c r="F1795" s="146">
        <f t="shared" si="31"/>
        <v>4.0313192546155285E-3</v>
      </c>
    </row>
    <row r="1796" spans="4:6" ht="15.6" x14ac:dyDescent="0.3">
      <c r="D1796" s="145">
        <v>43566</v>
      </c>
      <c r="E1796" s="187">
        <v>11596.7</v>
      </c>
      <c r="F1796" s="146">
        <f t="shared" si="31"/>
        <v>1.0704142675863615E-3</v>
      </c>
    </row>
    <row r="1797" spans="4:6" ht="15.6" x14ac:dyDescent="0.3">
      <c r="D1797" s="145">
        <v>43565</v>
      </c>
      <c r="E1797" s="187">
        <v>11584.3</v>
      </c>
      <c r="F1797" s="146">
        <f t="shared" si="31"/>
        <v>-7.5094564318731738E-3</v>
      </c>
    </row>
    <row r="1798" spans="4:6" ht="15.6" x14ac:dyDescent="0.3">
      <c r="D1798" s="145">
        <v>43564</v>
      </c>
      <c r="E1798" s="187">
        <v>11671.95</v>
      </c>
      <c r="F1798" s="146">
        <f t="shared" si="31"/>
        <v>5.8124003619286491E-3</v>
      </c>
    </row>
    <row r="1799" spans="4:6" ht="15.6" x14ac:dyDescent="0.3">
      <c r="D1799" s="145">
        <v>43563</v>
      </c>
      <c r="E1799" s="187">
        <v>11604.5</v>
      </c>
      <c r="F1799" s="146">
        <f t="shared" si="31"/>
        <v>-5.2674664300808027E-3</v>
      </c>
    </row>
    <row r="1800" spans="4:6" ht="15.6" x14ac:dyDescent="0.3">
      <c r="D1800" s="145">
        <v>43560</v>
      </c>
      <c r="E1800" s="187">
        <v>11665.95</v>
      </c>
      <c r="F1800" s="146">
        <f t="shared" si="31"/>
        <v>5.8587687532334343E-3</v>
      </c>
    </row>
    <row r="1801" spans="4:6" ht="15.6" x14ac:dyDescent="0.3">
      <c r="D1801" s="145">
        <v>43559</v>
      </c>
      <c r="E1801" s="187">
        <v>11598</v>
      </c>
      <c r="F1801" s="146">
        <f t="shared" si="31"/>
        <v>-3.9462553514916232E-3</v>
      </c>
    </row>
    <row r="1802" spans="4:6" ht="15.6" x14ac:dyDescent="0.3">
      <c r="D1802" s="145">
        <v>43558</v>
      </c>
      <c r="E1802" s="187">
        <v>11643.95</v>
      </c>
      <c r="F1802" s="146">
        <f t="shared" si="31"/>
        <v>-5.9121333196735515E-3</v>
      </c>
    </row>
    <row r="1803" spans="4:6" ht="15.6" x14ac:dyDescent="0.3">
      <c r="D1803" s="145">
        <v>43557</v>
      </c>
      <c r="E1803" s="187">
        <v>11713.2</v>
      </c>
      <c r="F1803" s="146">
        <f t="shared" si="31"/>
        <v>3.7749107689935002E-3</v>
      </c>
    </row>
    <row r="1804" spans="4:6" ht="15.6" x14ac:dyDescent="0.3">
      <c r="D1804" s="145">
        <v>43556</v>
      </c>
      <c r="E1804" s="187">
        <v>11669.15</v>
      </c>
      <c r="F1804" s="146">
        <f t="shared" si="31"/>
        <v>3.8928414731715932E-3</v>
      </c>
    </row>
    <row r="1805" spans="4:6" ht="15.6" x14ac:dyDescent="0.3">
      <c r="D1805" s="145">
        <v>43553</v>
      </c>
      <c r="E1805" s="187">
        <v>11623.9</v>
      </c>
      <c r="F1805" s="146">
        <f t="shared" si="31"/>
        <v>4.6585998271391205E-3</v>
      </c>
    </row>
    <row r="1806" spans="4:6" ht="15.6" x14ac:dyDescent="0.3">
      <c r="D1806" s="145">
        <v>43552</v>
      </c>
      <c r="E1806" s="187">
        <v>11570</v>
      </c>
      <c r="F1806" s="146">
        <f t="shared" si="31"/>
        <v>1.0917383497669464E-2</v>
      </c>
    </row>
    <row r="1807" spans="4:6" ht="15.6" x14ac:dyDescent="0.3">
      <c r="D1807" s="145">
        <v>43551</v>
      </c>
      <c r="E1807" s="187">
        <v>11445.05</v>
      </c>
      <c r="F1807" s="146">
        <f t="shared" si="31"/>
        <v>-3.3265843728910172E-3</v>
      </c>
    </row>
    <row r="1808" spans="4:6" ht="15.6" x14ac:dyDescent="0.3">
      <c r="D1808" s="145">
        <v>43550</v>
      </c>
      <c r="E1808" s="187">
        <v>11483.25</v>
      </c>
      <c r="F1808" s="146">
        <f t="shared" si="31"/>
        <v>1.1361384503600025E-2</v>
      </c>
    </row>
    <row r="1809" spans="4:6" ht="15.6" x14ac:dyDescent="0.3">
      <c r="D1809" s="145">
        <v>43549</v>
      </c>
      <c r="E1809" s="187">
        <v>11354.25</v>
      </c>
      <c r="F1809" s="146">
        <f t="shared" si="31"/>
        <v>-8.9596662273389027E-3</v>
      </c>
    </row>
    <row r="1810" spans="4:6" ht="15.6" x14ac:dyDescent="0.3">
      <c r="D1810" s="145">
        <v>43546</v>
      </c>
      <c r="E1810" s="187">
        <v>11456.9</v>
      </c>
      <c r="F1810" s="146">
        <f t="shared" si="31"/>
        <v>-5.5680688826105218E-3</v>
      </c>
    </row>
    <row r="1811" spans="4:6" ht="15.6" x14ac:dyDescent="0.3">
      <c r="D1811" s="145">
        <v>43544</v>
      </c>
      <c r="E1811" s="187">
        <v>11521.05</v>
      </c>
      <c r="F1811" s="146">
        <f t="shared" si="31"/>
        <v>-9.8418369116581861E-4</v>
      </c>
    </row>
    <row r="1812" spans="4:6" ht="15.6" x14ac:dyDescent="0.3">
      <c r="D1812" s="145">
        <v>43543</v>
      </c>
      <c r="E1812" s="187">
        <v>11532.4</v>
      </c>
      <c r="F1812" s="146">
        <f t="shared" si="31"/>
        <v>6.1244787213623475E-3</v>
      </c>
    </row>
    <row r="1813" spans="4:6" ht="15.6" x14ac:dyDescent="0.3">
      <c r="D1813" s="145">
        <v>43542</v>
      </c>
      <c r="E1813" s="187">
        <v>11462.2</v>
      </c>
      <c r="F1813" s="146">
        <f t="shared" si="31"/>
        <v>3.0935909721401256E-3</v>
      </c>
    </row>
    <row r="1814" spans="4:6" ht="15.6" x14ac:dyDescent="0.3">
      <c r="D1814" s="145">
        <v>43539</v>
      </c>
      <c r="E1814" s="187">
        <v>11426.85</v>
      </c>
      <c r="F1814" s="146">
        <f t="shared" si="31"/>
        <v>7.3700218191434796E-3</v>
      </c>
    </row>
    <row r="1815" spans="4:6" ht="15.6" x14ac:dyDescent="0.3">
      <c r="D1815" s="145">
        <v>43538</v>
      </c>
      <c r="E1815" s="187">
        <v>11343.25</v>
      </c>
      <c r="F1815" s="146">
        <f t="shared" si="31"/>
        <v>1.3666381582999598E-4</v>
      </c>
    </row>
    <row r="1816" spans="4:6" ht="15.6" x14ac:dyDescent="0.3">
      <c r="D1816" s="145">
        <v>43537</v>
      </c>
      <c r="E1816" s="187">
        <v>11341.7</v>
      </c>
      <c r="F1816" s="146">
        <f t="shared" si="31"/>
        <v>3.5836902275865334E-3</v>
      </c>
    </row>
    <row r="1817" spans="4:6" ht="15.6" x14ac:dyDescent="0.3">
      <c r="D1817" s="145">
        <v>43536</v>
      </c>
      <c r="E1817" s="187">
        <v>11301.2</v>
      </c>
      <c r="F1817" s="146">
        <f t="shared" si="31"/>
        <v>1.1922403642534052E-2</v>
      </c>
    </row>
    <row r="1818" spans="4:6" ht="15.6" x14ac:dyDescent="0.3">
      <c r="D1818" s="145">
        <v>43535</v>
      </c>
      <c r="E1818" s="187">
        <v>11168.05</v>
      </c>
      <c r="F1818" s="146">
        <f t="shared" si="31"/>
        <v>1.2020407053663584E-2</v>
      </c>
    </row>
    <row r="1819" spans="4:6" ht="15.6" x14ac:dyDescent="0.3">
      <c r="D1819" s="145">
        <v>43532</v>
      </c>
      <c r="E1819" s="187">
        <v>11035.4</v>
      </c>
      <c r="F1819" s="146">
        <f t="shared" ref="F1819:F1882" si="32">E1819/E1820-1</f>
        <v>-2.0618183791214495E-3</v>
      </c>
    </row>
    <row r="1820" spans="4:6" ht="15.6" x14ac:dyDescent="0.3">
      <c r="D1820" s="145">
        <v>43531</v>
      </c>
      <c r="E1820" s="187">
        <v>11058.2</v>
      </c>
      <c r="F1820" s="146">
        <f t="shared" si="32"/>
        <v>4.7046050845933607E-4</v>
      </c>
    </row>
    <row r="1821" spans="4:6" ht="15.6" x14ac:dyDescent="0.3">
      <c r="D1821" s="145">
        <v>43530</v>
      </c>
      <c r="E1821" s="187">
        <v>11053</v>
      </c>
      <c r="F1821" s="146">
        <f t="shared" si="32"/>
        <v>5.9658974557335043E-3</v>
      </c>
    </row>
    <row r="1822" spans="4:6" ht="15.6" x14ac:dyDescent="0.3">
      <c r="D1822" s="145">
        <v>43529</v>
      </c>
      <c r="E1822" s="187">
        <v>10987.45</v>
      </c>
      <c r="F1822" s="146">
        <f t="shared" si="32"/>
        <v>1.1409766649790543E-2</v>
      </c>
    </row>
    <row r="1823" spans="4:6" ht="15.6" x14ac:dyDescent="0.3">
      <c r="D1823" s="145">
        <v>43525</v>
      </c>
      <c r="E1823" s="187">
        <v>10863.5</v>
      </c>
      <c r="F1823" s="146">
        <f t="shared" si="32"/>
        <v>6.5786425758629363E-3</v>
      </c>
    </row>
    <row r="1824" spans="4:6" ht="15.6" x14ac:dyDescent="0.3">
      <c r="D1824" s="145">
        <v>43524</v>
      </c>
      <c r="E1824" s="187">
        <v>10792.5</v>
      </c>
      <c r="F1824" s="146">
        <f t="shared" si="32"/>
        <v>-1.3093789472222728E-3</v>
      </c>
    </row>
    <row r="1825" spans="4:6" ht="15.6" x14ac:dyDescent="0.3">
      <c r="D1825" s="145">
        <v>43523</v>
      </c>
      <c r="E1825" s="187">
        <v>10806.65</v>
      </c>
      <c r="F1825" s="146">
        <f t="shared" si="32"/>
        <v>-2.6441353723477556E-3</v>
      </c>
    </row>
    <row r="1826" spans="4:6" ht="15.6" x14ac:dyDescent="0.3">
      <c r="D1826" s="145">
        <v>43522</v>
      </c>
      <c r="E1826" s="187">
        <v>10835.3</v>
      </c>
      <c r="F1826" s="146">
        <f t="shared" si="32"/>
        <v>-4.1176092131507414E-3</v>
      </c>
    </row>
    <row r="1827" spans="4:6" ht="15.6" x14ac:dyDescent="0.3">
      <c r="D1827" s="145">
        <v>43521</v>
      </c>
      <c r="E1827" s="187">
        <v>10880.1</v>
      </c>
      <c r="F1827" s="146">
        <f t="shared" si="32"/>
        <v>8.1961516542883306E-3</v>
      </c>
    </row>
    <row r="1828" spans="4:6" ht="15.6" x14ac:dyDescent="0.3">
      <c r="D1828" s="145">
        <v>43518</v>
      </c>
      <c r="E1828" s="187">
        <v>10791.65</v>
      </c>
      <c r="F1828" s="146">
        <f t="shared" si="32"/>
        <v>1.6682344981622244E-4</v>
      </c>
    </row>
    <row r="1829" spans="4:6" ht="15.6" x14ac:dyDescent="0.3">
      <c r="D1829" s="145">
        <v>43517</v>
      </c>
      <c r="E1829" s="187">
        <v>10789.85</v>
      </c>
      <c r="F1829" s="146">
        <f t="shared" si="32"/>
        <v>5.0673236799574362E-3</v>
      </c>
    </row>
    <row r="1830" spans="4:6" ht="15.6" x14ac:dyDescent="0.3">
      <c r="D1830" s="145">
        <v>43516</v>
      </c>
      <c r="E1830" s="187">
        <v>10735.45</v>
      </c>
      <c r="F1830" s="146">
        <f t="shared" si="32"/>
        <v>1.2362851094126492E-2</v>
      </c>
    </row>
    <row r="1831" spans="4:6" ht="15.6" x14ac:dyDescent="0.3">
      <c r="D1831" s="145">
        <v>43515</v>
      </c>
      <c r="E1831" s="187">
        <v>10604.35</v>
      </c>
      <c r="F1831" s="146">
        <f t="shared" si="32"/>
        <v>-3.4395425220492548E-3</v>
      </c>
    </row>
    <row r="1832" spans="4:6" ht="15.6" x14ac:dyDescent="0.3">
      <c r="D1832" s="145">
        <v>43514</v>
      </c>
      <c r="E1832" s="187">
        <v>10640.95</v>
      </c>
      <c r="F1832" s="146">
        <f t="shared" si="32"/>
        <v>-7.7813210995485438E-3</v>
      </c>
    </row>
    <row r="1833" spans="4:6" ht="15.6" x14ac:dyDescent="0.3">
      <c r="D1833" s="145">
        <v>43511</v>
      </c>
      <c r="E1833" s="187">
        <v>10724.4</v>
      </c>
      <c r="F1833" s="146">
        <f t="shared" si="32"/>
        <v>-2.0146937711996715E-3</v>
      </c>
    </row>
    <row r="1834" spans="4:6" ht="15.6" x14ac:dyDescent="0.3">
      <c r="D1834" s="145">
        <v>43510</v>
      </c>
      <c r="E1834" s="187">
        <v>10746.05</v>
      </c>
      <c r="F1834" s="146">
        <f t="shared" si="32"/>
        <v>-4.4100003242647512E-3</v>
      </c>
    </row>
    <row r="1835" spans="4:6" ht="15.6" x14ac:dyDescent="0.3">
      <c r="D1835" s="145">
        <v>43509</v>
      </c>
      <c r="E1835" s="187">
        <v>10793.65</v>
      </c>
      <c r="F1835" s="146">
        <f t="shared" si="32"/>
        <v>-3.485237365437488E-3</v>
      </c>
    </row>
    <row r="1836" spans="4:6" ht="15.6" x14ac:dyDescent="0.3">
      <c r="D1836" s="145">
        <v>43508</v>
      </c>
      <c r="E1836" s="187">
        <v>10831.4</v>
      </c>
      <c r="F1836" s="146">
        <f t="shared" si="32"/>
        <v>-5.2714716038497755E-3</v>
      </c>
    </row>
    <row r="1837" spans="4:6" ht="15.6" x14ac:dyDescent="0.3">
      <c r="D1837" s="145">
        <v>43507</v>
      </c>
      <c r="E1837" s="187">
        <v>10888.8</v>
      </c>
      <c r="F1837" s="146">
        <f t="shared" si="32"/>
        <v>-5.0074929639242205E-3</v>
      </c>
    </row>
    <row r="1838" spans="4:6" ht="15.6" x14ac:dyDescent="0.3">
      <c r="D1838" s="145">
        <v>43504</v>
      </c>
      <c r="E1838" s="187">
        <v>10943.6</v>
      </c>
      <c r="F1838" s="146">
        <f t="shared" si="32"/>
        <v>-1.1364662944694293E-2</v>
      </c>
    </row>
    <row r="1839" spans="4:6" ht="15.6" x14ac:dyDescent="0.3">
      <c r="D1839" s="145">
        <v>43503</v>
      </c>
      <c r="E1839" s="187">
        <v>11069.4</v>
      </c>
      <c r="F1839" s="146">
        <f t="shared" si="32"/>
        <v>6.2825142712497062E-4</v>
      </c>
    </row>
    <row r="1840" spans="4:6" ht="15.6" x14ac:dyDescent="0.3">
      <c r="D1840" s="145">
        <v>43502</v>
      </c>
      <c r="E1840" s="187">
        <v>11062.45</v>
      </c>
      <c r="F1840" s="146">
        <f t="shared" si="32"/>
        <v>1.1715374027720049E-2</v>
      </c>
    </row>
    <row r="1841" spans="4:6" ht="15.6" x14ac:dyDescent="0.3">
      <c r="D1841" s="145">
        <v>43501</v>
      </c>
      <c r="E1841" s="187">
        <v>10934.35</v>
      </c>
      <c r="F1841" s="146">
        <f t="shared" si="32"/>
        <v>2.0252468555981284E-3</v>
      </c>
    </row>
    <row r="1842" spans="4:6" ht="15.6" x14ac:dyDescent="0.3">
      <c r="D1842" s="145">
        <v>43500</v>
      </c>
      <c r="E1842" s="187">
        <v>10912.25</v>
      </c>
      <c r="F1842" s="146">
        <f t="shared" si="32"/>
        <v>1.7074167060626699E-3</v>
      </c>
    </row>
    <row r="1843" spans="4:6" ht="15.6" x14ac:dyDescent="0.3">
      <c r="D1843" s="145">
        <v>43497</v>
      </c>
      <c r="E1843" s="187">
        <v>10893.65</v>
      </c>
      <c r="F1843" s="146">
        <f t="shared" si="32"/>
        <v>5.7889658801857369E-3</v>
      </c>
    </row>
    <row r="1844" spans="4:6" ht="15.6" x14ac:dyDescent="0.3">
      <c r="D1844" s="145">
        <v>43496</v>
      </c>
      <c r="E1844" s="187">
        <v>10830.95</v>
      </c>
      <c r="F1844" s="146">
        <f t="shared" si="32"/>
        <v>1.6818753637882988E-2</v>
      </c>
    </row>
    <row r="1845" spans="4:6" ht="15.6" x14ac:dyDescent="0.3">
      <c r="D1845" s="145">
        <v>43495</v>
      </c>
      <c r="E1845" s="187">
        <v>10651.8</v>
      </c>
      <c r="F1845" s="146">
        <f t="shared" si="32"/>
        <v>-3.7550928446816734E-5</v>
      </c>
    </row>
    <row r="1846" spans="4:6" ht="15.6" x14ac:dyDescent="0.3">
      <c r="D1846" s="145">
        <v>43494</v>
      </c>
      <c r="E1846" s="187">
        <v>10652.2</v>
      </c>
      <c r="F1846" s="146">
        <f t="shared" si="32"/>
        <v>-8.7698317786799596E-4</v>
      </c>
    </row>
    <row r="1847" spans="4:6" ht="15.6" x14ac:dyDescent="0.3">
      <c r="D1847" s="145">
        <v>43493</v>
      </c>
      <c r="E1847" s="187">
        <v>10661.55</v>
      </c>
      <c r="F1847" s="146">
        <f t="shared" si="32"/>
        <v>-1.1038397855396953E-2</v>
      </c>
    </row>
    <row r="1848" spans="4:6" ht="15.6" x14ac:dyDescent="0.3">
      <c r="D1848" s="145">
        <v>43490</v>
      </c>
      <c r="E1848" s="187">
        <v>10780.55</v>
      </c>
      <c r="F1848" s="146">
        <f t="shared" si="32"/>
        <v>-6.3826061309886217E-3</v>
      </c>
    </row>
    <row r="1849" spans="4:6" ht="15.6" x14ac:dyDescent="0.3">
      <c r="D1849" s="145">
        <v>43489</v>
      </c>
      <c r="E1849" s="187">
        <v>10849.8</v>
      </c>
      <c r="F1849" s="146">
        <f t="shared" si="32"/>
        <v>1.6895166874393297E-3</v>
      </c>
    </row>
    <row r="1850" spans="4:6" ht="15.6" x14ac:dyDescent="0.3">
      <c r="D1850" s="145">
        <v>43488</v>
      </c>
      <c r="E1850" s="187">
        <v>10831.5</v>
      </c>
      <c r="F1850" s="146">
        <f t="shared" si="32"/>
        <v>-8.3541232748163274E-3</v>
      </c>
    </row>
    <row r="1851" spans="4:6" ht="15.6" x14ac:dyDescent="0.3">
      <c r="D1851" s="145">
        <v>43487</v>
      </c>
      <c r="E1851" s="187">
        <v>10922.75</v>
      </c>
      <c r="F1851" s="146">
        <f t="shared" si="32"/>
        <v>-3.5669161683474782E-3</v>
      </c>
    </row>
    <row r="1852" spans="4:6" ht="15.6" x14ac:dyDescent="0.3">
      <c r="D1852" s="145">
        <v>43486</v>
      </c>
      <c r="E1852" s="187">
        <v>10961.85</v>
      </c>
      <c r="F1852" s="146">
        <f t="shared" si="32"/>
        <v>5.0334878219850943E-3</v>
      </c>
    </row>
    <row r="1853" spans="4:6" ht="15.6" x14ac:dyDescent="0.3">
      <c r="D1853" s="145">
        <v>43483</v>
      </c>
      <c r="E1853" s="187">
        <v>10906.95</v>
      </c>
      <c r="F1853" s="146">
        <f t="shared" si="32"/>
        <v>1.6047390235840453E-4</v>
      </c>
    </row>
    <row r="1854" spans="4:6" ht="15.6" x14ac:dyDescent="0.3">
      <c r="D1854" s="145">
        <v>43482</v>
      </c>
      <c r="E1854" s="187">
        <v>10905.2</v>
      </c>
      <c r="F1854" s="146">
        <f t="shared" si="32"/>
        <v>1.368190040678563E-3</v>
      </c>
    </row>
    <row r="1855" spans="4:6" ht="15.6" x14ac:dyDescent="0.3">
      <c r="D1855" s="145">
        <v>43481</v>
      </c>
      <c r="E1855" s="187">
        <v>10890.3</v>
      </c>
      <c r="F1855" s="146">
        <f t="shared" si="32"/>
        <v>3.2149024506744617E-4</v>
      </c>
    </row>
    <row r="1856" spans="4:6" ht="15.6" x14ac:dyDescent="0.3">
      <c r="D1856" s="145">
        <v>43480</v>
      </c>
      <c r="E1856" s="187">
        <v>10886.8</v>
      </c>
      <c r="F1856" s="146">
        <f t="shared" si="32"/>
        <v>1.3895097600953532E-2</v>
      </c>
    </row>
    <row r="1857" spans="4:6" ht="15.6" x14ac:dyDescent="0.3">
      <c r="D1857" s="145">
        <v>43479</v>
      </c>
      <c r="E1857" s="187">
        <v>10737.6</v>
      </c>
      <c r="F1857" s="146">
        <f t="shared" si="32"/>
        <v>-5.3126693500201716E-3</v>
      </c>
    </row>
    <row r="1858" spans="4:6" ht="15.6" x14ac:dyDescent="0.3">
      <c r="D1858" s="145">
        <v>43476</v>
      </c>
      <c r="E1858" s="187">
        <v>10794.95</v>
      </c>
      <c r="F1858" s="146">
        <f t="shared" si="32"/>
        <v>-2.4626672580764231E-3</v>
      </c>
    </row>
    <row r="1859" spans="4:6" ht="15.6" x14ac:dyDescent="0.3">
      <c r="D1859" s="145">
        <v>43475</v>
      </c>
      <c r="E1859" s="187">
        <v>10821.6</v>
      </c>
      <c r="F1859" s="146">
        <f t="shared" si="32"/>
        <v>-3.0906988848610206E-3</v>
      </c>
    </row>
    <row r="1860" spans="4:6" ht="15.6" x14ac:dyDescent="0.3">
      <c r="D1860" s="145">
        <v>43474</v>
      </c>
      <c r="E1860" s="187">
        <v>10855.15</v>
      </c>
      <c r="F1860" s="146">
        <f t="shared" si="32"/>
        <v>4.9064306642658817E-3</v>
      </c>
    </row>
    <row r="1861" spans="4:6" ht="15.6" x14ac:dyDescent="0.3">
      <c r="D1861" s="145">
        <v>43473</v>
      </c>
      <c r="E1861" s="187">
        <v>10802.15</v>
      </c>
      <c r="F1861" s="146">
        <f t="shared" si="32"/>
        <v>2.8175421006702006E-3</v>
      </c>
    </row>
    <row r="1862" spans="4:6" ht="15.6" x14ac:dyDescent="0.3">
      <c r="D1862" s="145">
        <v>43472</v>
      </c>
      <c r="E1862" s="187">
        <v>10771.8</v>
      </c>
      <c r="F1862" s="146">
        <f t="shared" si="32"/>
        <v>4.1436142197279757E-3</v>
      </c>
    </row>
    <row r="1863" spans="4:6" ht="15.6" x14ac:dyDescent="0.3">
      <c r="D1863" s="145">
        <v>43469</v>
      </c>
      <c r="E1863" s="187">
        <v>10727.35</v>
      </c>
      <c r="F1863" s="146">
        <f t="shared" si="32"/>
        <v>5.1629225327367578E-3</v>
      </c>
    </row>
    <row r="1864" spans="4:6" ht="15.6" x14ac:dyDescent="0.3">
      <c r="D1864" s="145">
        <v>43468</v>
      </c>
      <c r="E1864" s="187">
        <v>10672.25</v>
      </c>
      <c r="F1864" s="146">
        <f t="shared" si="32"/>
        <v>-1.1141996757007222E-2</v>
      </c>
    </row>
    <row r="1865" spans="4:6" ht="15.6" x14ac:dyDescent="0.3">
      <c r="D1865" s="145">
        <v>43467</v>
      </c>
      <c r="E1865" s="187">
        <v>10792.5</v>
      </c>
      <c r="F1865" s="146">
        <f t="shared" si="32"/>
        <v>-1.0779002942227889E-2</v>
      </c>
    </row>
    <row r="1866" spans="4:6" ht="15.6" x14ac:dyDescent="0.3">
      <c r="D1866" s="145">
        <v>43466</v>
      </c>
      <c r="E1866" s="187">
        <v>10910.1</v>
      </c>
      <c r="F1866" s="146">
        <f t="shared" si="32"/>
        <v>4.3774251902177763E-3</v>
      </c>
    </row>
    <row r="1867" spans="4:6" ht="15.6" x14ac:dyDescent="0.3">
      <c r="D1867" s="145">
        <v>43465</v>
      </c>
      <c r="E1867" s="187">
        <v>10862.55</v>
      </c>
      <c r="F1867" s="146">
        <f t="shared" si="32"/>
        <v>2.4401697989850923E-4</v>
      </c>
    </row>
    <row r="1868" spans="4:6" ht="15.6" x14ac:dyDescent="0.3">
      <c r="D1868" s="145">
        <v>43462</v>
      </c>
      <c r="E1868" s="187">
        <v>10859.9</v>
      </c>
      <c r="F1868" s="146">
        <f t="shared" si="32"/>
        <v>7.4305645744818793E-3</v>
      </c>
    </row>
    <row r="1869" spans="4:6" ht="15.6" x14ac:dyDescent="0.3">
      <c r="D1869" s="145">
        <v>43461</v>
      </c>
      <c r="E1869" s="187">
        <v>10779.8</v>
      </c>
      <c r="F1869" s="146">
        <f t="shared" si="32"/>
        <v>4.6552374916704053E-3</v>
      </c>
    </row>
    <row r="1870" spans="4:6" ht="15.6" x14ac:dyDescent="0.3">
      <c r="D1870" s="145">
        <v>43460</v>
      </c>
      <c r="E1870" s="187">
        <v>10729.85</v>
      </c>
      <c r="F1870" s="146">
        <f t="shared" si="32"/>
        <v>6.2221597036620224E-3</v>
      </c>
    </row>
    <row r="1871" spans="4:6" ht="15.6" x14ac:dyDescent="0.3">
      <c r="D1871" s="145">
        <v>43458</v>
      </c>
      <c r="E1871" s="187">
        <v>10663.5</v>
      </c>
      <c r="F1871" s="146">
        <f t="shared" si="32"/>
        <v>-8.4154733122558945E-3</v>
      </c>
    </row>
    <row r="1872" spans="4:6" ht="15.6" x14ac:dyDescent="0.3">
      <c r="D1872" s="145">
        <v>43455</v>
      </c>
      <c r="E1872" s="187">
        <v>10754</v>
      </c>
      <c r="F1872" s="146">
        <f t="shared" si="32"/>
        <v>-1.8051991928193845E-2</v>
      </c>
    </row>
    <row r="1873" spans="4:6" ht="15.6" x14ac:dyDescent="0.3">
      <c r="D1873" s="145">
        <v>43454</v>
      </c>
      <c r="E1873" s="187">
        <v>10951.7</v>
      </c>
      <c r="F1873" s="146">
        <f t="shared" si="32"/>
        <v>-1.4224102559425855E-3</v>
      </c>
    </row>
    <row r="1874" spans="4:6" ht="15.6" x14ac:dyDescent="0.3">
      <c r="D1874" s="145">
        <v>43453</v>
      </c>
      <c r="E1874" s="187">
        <v>10967.3</v>
      </c>
      <c r="F1874" s="146">
        <f t="shared" si="32"/>
        <v>5.3718591582863073E-3</v>
      </c>
    </row>
    <row r="1875" spans="4:6" ht="15.6" x14ac:dyDescent="0.3">
      <c r="D1875" s="145">
        <v>43452</v>
      </c>
      <c r="E1875" s="187">
        <v>10908.7</v>
      </c>
      <c r="F1875" s="146">
        <f t="shared" si="32"/>
        <v>1.8689700459666447E-3</v>
      </c>
    </row>
    <row r="1876" spans="4:6" ht="15.6" x14ac:dyDescent="0.3">
      <c r="D1876" s="145">
        <v>43451</v>
      </c>
      <c r="E1876" s="187">
        <v>10888.35</v>
      </c>
      <c r="F1876" s="146">
        <f t="shared" si="32"/>
        <v>7.6720543799655427E-3</v>
      </c>
    </row>
    <row r="1877" spans="4:6" ht="15.6" x14ac:dyDescent="0.3">
      <c r="D1877" s="145">
        <v>43448</v>
      </c>
      <c r="E1877" s="187">
        <v>10805.45</v>
      </c>
      <c r="F1877" s="146">
        <f t="shared" si="32"/>
        <v>1.2880448128398392E-3</v>
      </c>
    </row>
    <row r="1878" spans="4:6" ht="15.6" x14ac:dyDescent="0.3">
      <c r="D1878" s="145">
        <v>43447</v>
      </c>
      <c r="E1878" s="187">
        <v>10791.55</v>
      </c>
      <c r="F1878" s="146">
        <f t="shared" si="32"/>
        <v>5.0244002384145503E-3</v>
      </c>
    </row>
    <row r="1879" spans="4:6" ht="15.6" x14ac:dyDescent="0.3">
      <c r="D1879" s="145">
        <v>43446</v>
      </c>
      <c r="E1879" s="187">
        <v>10737.6</v>
      </c>
      <c r="F1879" s="146">
        <f t="shared" si="32"/>
        <v>1.7863998521207902E-2</v>
      </c>
    </row>
    <row r="1880" spans="4:6" ht="15.6" x14ac:dyDescent="0.3">
      <c r="D1880" s="145">
        <v>43445</v>
      </c>
      <c r="E1880" s="187">
        <v>10549.15</v>
      </c>
      <c r="F1880" s="146">
        <f t="shared" si="32"/>
        <v>5.7873184312267067E-3</v>
      </c>
    </row>
    <row r="1881" spans="4:6" ht="15.6" x14ac:dyDescent="0.3">
      <c r="D1881" s="145">
        <v>43444</v>
      </c>
      <c r="E1881" s="187">
        <v>10488.45</v>
      </c>
      <c r="F1881" s="146">
        <f t="shared" si="32"/>
        <v>-1.919354386227401E-2</v>
      </c>
    </row>
    <row r="1882" spans="4:6" ht="15.6" x14ac:dyDescent="0.3">
      <c r="D1882" s="145">
        <v>43441</v>
      </c>
      <c r="E1882" s="187">
        <v>10693.7</v>
      </c>
      <c r="F1882" s="146">
        <f t="shared" si="32"/>
        <v>8.7301849327667824E-3</v>
      </c>
    </row>
    <row r="1883" spans="4:6" ht="15.6" x14ac:dyDescent="0.3">
      <c r="D1883" s="145">
        <v>43440</v>
      </c>
      <c r="E1883" s="187">
        <v>10601.15</v>
      </c>
      <c r="F1883" s="146">
        <f t="shared" ref="F1883:F1946" si="33">E1883/E1884-1</f>
        <v>-1.6855391406764397E-2</v>
      </c>
    </row>
    <row r="1884" spans="4:6" ht="15.6" x14ac:dyDescent="0.3">
      <c r="D1884" s="145">
        <v>43439</v>
      </c>
      <c r="E1884" s="187">
        <v>10782.9</v>
      </c>
      <c r="F1884" s="146">
        <f t="shared" si="33"/>
        <v>-7.9672478034868988E-3</v>
      </c>
    </row>
    <row r="1885" spans="4:6" ht="15.6" x14ac:dyDescent="0.3">
      <c r="D1885" s="145">
        <v>43438</v>
      </c>
      <c r="E1885" s="187">
        <v>10869.5</v>
      </c>
      <c r="F1885" s="146">
        <f t="shared" si="33"/>
        <v>-1.3092913747559942E-3</v>
      </c>
    </row>
    <row r="1886" spans="4:6" ht="15.6" x14ac:dyDescent="0.3">
      <c r="D1886" s="145">
        <v>43437</v>
      </c>
      <c r="E1886" s="187">
        <v>10883.75</v>
      </c>
      <c r="F1886" s="146">
        <f t="shared" si="33"/>
        <v>6.4357459719133203E-4</v>
      </c>
    </row>
    <row r="1887" spans="4:6" ht="15.6" x14ac:dyDescent="0.3">
      <c r="D1887" s="145">
        <v>43434</v>
      </c>
      <c r="E1887" s="187">
        <v>10876.75</v>
      </c>
      <c r="F1887" s="146">
        <f t="shared" si="33"/>
        <v>1.6622615966919163E-3</v>
      </c>
    </row>
    <row r="1888" spans="4:6" ht="15.6" x14ac:dyDescent="0.3">
      <c r="D1888" s="145">
        <v>43433</v>
      </c>
      <c r="E1888" s="187">
        <v>10858.7</v>
      </c>
      <c r="F1888" s="146">
        <f t="shared" si="33"/>
        <v>1.21028814831039E-2</v>
      </c>
    </row>
    <row r="1889" spans="4:6" ht="15.6" x14ac:dyDescent="0.3">
      <c r="D1889" s="145">
        <v>43432</v>
      </c>
      <c r="E1889" s="187">
        <v>10728.85</v>
      </c>
      <c r="F1889" s="146">
        <f t="shared" si="33"/>
        <v>4.0475031818523188E-3</v>
      </c>
    </row>
    <row r="1890" spans="4:6" ht="15.6" x14ac:dyDescent="0.3">
      <c r="D1890" s="145">
        <v>43431</v>
      </c>
      <c r="E1890" s="187">
        <v>10685.6</v>
      </c>
      <c r="F1890" s="146">
        <f t="shared" si="33"/>
        <v>5.3628888094385818E-3</v>
      </c>
    </row>
    <row r="1891" spans="4:6" ht="15.6" x14ac:dyDescent="0.3">
      <c r="D1891" s="145">
        <v>43430</v>
      </c>
      <c r="E1891" s="187">
        <v>10628.6</v>
      </c>
      <c r="F1891" s="146">
        <f t="shared" si="33"/>
        <v>9.6753508917757358E-3</v>
      </c>
    </row>
    <row r="1892" spans="4:6" ht="15.6" x14ac:dyDescent="0.3">
      <c r="D1892" s="145">
        <v>43426</v>
      </c>
      <c r="E1892" s="187">
        <v>10526.75</v>
      </c>
      <c r="F1892" s="146">
        <f t="shared" si="33"/>
        <v>-6.9150617214068788E-3</v>
      </c>
    </row>
    <row r="1893" spans="4:6" ht="15.6" x14ac:dyDescent="0.3">
      <c r="D1893" s="145">
        <v>43425</v>
      </c>
      <c r="E1893" s="187">
        <v>10600.05</v>
      </c>
      <c r="F1893" s="146">
        <f t="shared" si="33"/>
        <v>-5.2692329348174027E-3</v>
      </c>
    </row>
    <row r="1894" spans="4:6" ht="15.6" x14ac:dyDescent="0.3">
      <c r="D1894" s="145">
        <v>43424</v>
      </c>
      <c r="E1894" s="187">
        <v>10656.2</v>
      </c>
      <c r="F1894" s="146">
        <f t="shared" si="33"/>
        <v>-9.9596781686083213E-3</v>
      </c>
    </row>
    <row r="1895" spans="4:6" ht="15.6" x14ac:dyDescent="0.3">
      <c r="D1895" s="145">
        <v>43423</v>
      </c>
      <c r="E1895" s="187">
        <v>10763.4</v>
      </c>
      <c r="F1895" s="146">
        <f t="shared" si="33"/>
        <v>7.6014304169551572E-3</v>
      </c>
    </row>
    <row r="1896" spans="4:6" ht="15.6" x14ac:dyDescent="0.3">
      <c r="D1896" s="145">
        <v>43420</v>
      </c>
      <c r="E1896" s="187">
        <v>10682.2</v>
      </c>
      <c r="F1896" s="146">
        <f t="shared" si="33"/>
        <v>6.1695253704070474E-3</v>
      </c>
    </row>
    <row r="1897" spans="4:6" ht="15.6" x14ac:dyDescent="0.3">
      <c r="D1897" s="145">
        <v>43419</v>
      </c>
      <c r="E1897" s="187">
        <v>10616.7</v>
      </c>
      <c r="F1897" s="146">
        <f t="shared" si="33"/>
        <v>3.8198613881983423E-3</v>
      </c>
    </row>
    <row r="1898" spans="4:6" ht="15.6" x14ac:dyDescent="0.3">
      <c r="D1898" s="145">
        <v>43418</v>
      </c>
      <c r="E1898" s="187">
        <v>10576.3</v>
      </c>
      <c r="F1898" s="146">
        <f t="shared" si="33"/>
        <v>-5.8587290337830389E-4</v>
      </c>
    </row>
    <row r="1899" spans="4:6" ht="15.6" x14ac:dyDescent="0.3">
      <c r="D1899" s="145">
        <v>43417</v>
      </c>
      <c r="E1899" s="187">
        <v>10582.5</v>
      </c>
      <c r="F1899" s="146">
        <f t="shared" si="33"/>
        <v>9.56860201102816E-3</v>
      </c>
    </row>
    <row r="1900" spans="4:6" ht="15.6" x14ac:dyDescent="0.3">
      <c r="D1900" s="145">
        <v>43416</v>
      </c>
      <c r="E1900" s="187">
        <v>10482.200000000001</v>
      </c>
      <c r="F1900" s="146">
        <f t="shared" si="33"/>
        <v>-9.7305672070437943E-3</v>
      </c>
    </row>
    <row r="1901" spans="4:6" ht="15.6" x14ac:dyDescent="0.3">
      <c r="D1901" s="145">
        <v>43413</v>
      </c>
      <c r="E1901" s="187">
        <v>10585.2</v>
      </c>
      <c r="F1901" s="146">
        <f t="shared" si="33"/>
        <v>-1.2454710144926828E-3</v>
      </c>
    </row>
    <row r="1902" spans="4:6" ht="15.6" x14ac:dyDescent="0.3">
      <c r="D1902" s="145">
        <v>43411</v>
      </c>
      <c r="E1902" s="187">
        <v>10598.4</v>
      </c>
      <c r="F1902" s="146">
        <f t="shared" si="33"/>
        <v>6.4957264957263838E-3</v>
      </c>
    </row>
    <row r="1903" spans="4:6" ht="15.6" x14ac:dyDescent="0.3">
      <c r="D1903" s="145">
        <v>43410</v>
      </c>
      <c r="E1903" s="187">
        <v>10530</v>
      </c>
      <c r="F1903" s="146">
        <f t="shared" si="33"/>
        <v>5.7012542759404816E-4</v>
      </c>
    </row>
    <row r="1904" spans="4:6" ht="15.6" x14ac:dyDescent="0.3">
      <c r="D1904" s="145">
        <v>43409</v>
      </c>
      <c r="E1904" s="187">
        <v>10524</v>
      </c>
      <c r="F1904" s="146">
        <f t="shared" si="33"/>
        <v>-2.7480337344830685E-3</v>
      </c>
    </row>
    <row r="1905" spans="4:6" ht="15.6" x14ac:dyDescent="0.3">
      <c r="D1905" s="145">
        <v>43406</v>
      </c>
      <c r="E1905" s="187">
        <v>10553</v>
      </c>
      <c r="F1905" s="146">
        <f t="shared" si="33"/>
        <v>1.6622593432847221E-2</v>
      </c>
    </row>
    <row r="1906" spans="4:6" ht="15.6" x14ac:dyDescent="0.3">
      <c r="D1906" s="145">
        <v>43405</v>
      </c>
      <c r="E1906" s="187">
        <v>10380.450000000001</v>
      </c>
      <c r="F1906" s="146">
        <f t="shared" si="33"/>
        <v>-5.921090636011872E-4</v>
      </c>
    </row>
    <row r="1907" spans="4:6" ht="15.6" x14ac:dyDescent="0.3">
      <c r="D1907" s="145">
        <v>43404</v>
      </c>
      <c r="E1907" s="187">
        <v>10386.6</v>
      </c>
      <c r="F1907" s="146">
        <f t="shared" si="33"/>
        <v>1.8453875117665497E-2</v>
      </c>
    </row>
    <row r="1908" spans="4:6" ht="15.6" x14ac:dyDescent="0.3">
      <c r="D1908" s="145">
        <v>43403</v>
      </c>
      <c r="E1908" s="187">
        <v>10198.4</v>
      </c>
      <c r="F1908" s="146">
        <f t="shared" si="33"/>
        <v>-5.1166488632650164E-3</v>
      </c>
    </row>
    <row r="1909" spans="4:6" ht="15.6" x14ac:dyDescent="0.3">
      <c r="D1909" s="145">
        <v>43402</v>
      </c>
      <c r="E1909" s="187">
        <v>10250.85</v>
      </c>
      <c r="F1909" s="146">
        <f t="shared" si="33"/>
        <v>2.201894317048847E-2</v>
      </c>
    </row>
    <row r="1910" spans="4:6" ht="15.6" x14ac:dyDescent="0.3">
      <c r="D1910" s="145">
        <v>43399</v>
      </c>
      <c r="E1910" s="187">
        <v>10030</v>
      </c>
      <c r="F1910" s="146">
        <f t="shared" si="33"/>
        <v>-9.3729320783414449E-3</v>
      </c>
    </row>
    <row r="1911" spans="4:6" ht="15.6" x14ac:dyDescent="0.3">
      <c r="D1911" s="145">
        <v>43398</v>
      </c>
      <c r="E1911" s="187">
        <v>10124.9</v>
      </c>
      <c r="F1911" s="146">
        <f t="shared" si="33"/>
        <v>-9.76551993936281E-3</v>
      </c>
    </row>
    <row r="1912" spans="4:6" ht="15.6" x14ac:dyDescent="0.3">
      <c r="D1912" s="145">
        <v>43397</v>
      </c>
      <c r="E1912" s="187">
        <v>10224.75</v>
      </c>
      <c r="F1912" s="146">
        <f t="shared" si="33"/>
        <v>7.682224937911597E-3</v>
      </c>
    </row>
    <row r="1913" spans="4:6" ht="15.6" x14ac:dyDescent="0.3">
      <c r="D1913" s="145">
        <v>43396</v>
      </c>
      <c r="E1913" s="187">
        <v>10146.799999999999</v>
      </c>
      <c r="F1913" s="146">
        <f t="shared" si="33"/>
        <v>-9.609331153461409E-3</v>
      </c>
    </row>
    <row r="1914" spans="4:6" ht="15.6" x14ac:dyDescent="0.3">
      <c r="D1914" s="145">
        <v>43395</v>
      </c>
      <c r="E1914" s="187">
        <v>10245.25</v>
      </c>
      <c r="F1914" s="146">
        <f t="shared" si="33"/>
        <v>-5.6582440032802994E-3</v>
      </c>
    </row>
    <row r="1915" spans="4:6" ht="15.6" x14ac:dyDescent="0.3">
      <c r="D1915" s="145">
        <v>43392</v>
      </c>
      <c r="E1915" s="187">
        <v>10303.549999999999</v>
      </c>
      <c r="F1915" s="146">
        <f t="shared" si="33"/>
        <v>-1.4302045814379549E-2</v>
      </c>
    </row>
    <row r="1916" spans="4:6" ht="15.6" x14ac:dyDescent="0.3">
      <c r="D1916" s="145">
        <v>43390</v>
      </c>
      <c r="E1916" s="187">
        <v>10453.049999999999</v>
      </c>
      <c r="F1916" s="146">
        <f t="shared" si="33"/>
        <v>-1.2442428966201402E-2</v>
      </c>
    </row>
    <row r="1917" spans="4:6" ht="15.6" x14ac:dyDescent="0.3">
      <c r="D1917" s="145">
        <v>43389</v>
      </c>
      <c r="E1917" s="187">
        <v>10584.75</v>
      </c>
      <c r="F1917" s="146">
        <f t="shared" si="33"/>
        <v>6.8727705112960891E-3</v>
      </c>
    </row>
    <row r="1918" spans="4:6" ht="15.6" x14ac:dyDescent="0.3">
      <c r="D1918" s="145">
        <v>43388</v>
      </c>
      <c r="E1918" s="187">
        <v>10512.5</v>
      </c>
      <c r="F1918" s="146">
        <f t="shared" si="33"/>
        <v>3.8195273334924451E-3</v>
      </c>
    </row>
    <row r="1919" spans="4:6" ht="15.6" x14ac:dyDescent="0.3">
      <c r="D1919" s="145">
        <v>43385</v>
      </c>
      <c r="E1919" s="187">
        <v>10472.5</v>
      </c>
      <c r="F1919" s="146">
        <f t="shared" si="33"/>
        <v>2.323968088796402E-2</v>
      </c>
    </row>
    <row r="1920" spans="4:6" ht="15.6" x14ac:dyDescent="0.3">
      <c r="D1920" s="145">
        <v>43384</v>
      </c>
      <c r="E1920" s="187">
        <v>10234.65</v>
      </c>
      <c r="F1920" s="146">
        <f t="shared" si="33"/>
        <v>-2.1553331230103057E-2</v>
      </c>
    </row>
    <row r="1921" spans="4:6" ht="15.6" x14ac:dyDescent="0.3">
      <c r="D1921" s="145">
        <v>43383</v>
      </c>
      <c r="E1921" s="187">
        <v>10460.1</v>
      </c>
      <c r="F1921" s="146">
        <f t="shared" si="33"/>
        <v>1.544017357453864E-2</v>
      </c>
    </row>
    <row r="1922" spans="4:6" ht="15.6" x14ac:dyDescent="0.3">
      <c r="D1922" s="145">
        <v>43382</v>
      </c>
      <c r="E1922" s="187">
        <v>10301.049999999999</v>
      </c>
      <c r="F1922" s="146">
        <f t="shared" si="33"/>
        <v>-4.5419185257126182E-3</v>
      </c>
    </row>
    <row r="1923" spans="4:6" ht="15.6" x14ac:dyDescent="0.3">
      <c r="D1923" s="145">
        <v>43381</v>
      </c>
      <c r="E1923" s="187">
        <v>10348.049999999999</v>
      </c>
      <c r="F1923" s="146">
        <f t="shared" si="33"/>
        <v>3.0630691759276907E-3</v>
      </c>
    </row>
    <row r="1924" spans="4:6" ht="15.6" x14ac:dyDescent="0.3">
      <c r="D1924" s="145">
        <v>43378</v>
      </c>
      <c r="E1924" s="187">
        <v>10316.450000000001</v>
      </c>
      <c r="F1924" s="146">
        <f t="shared" si="33"/>
        <v>-2.6681133099039966E-2</v>
      </c>
    </row>
    <row r="1925" spans="4:6" ht="15.6" x14ac:dyDescent="0.3">
      <c r="D1925" s="145">
        <v>43377</v>
      </c>
      <c r="E1925" s="187">
        <v>10599.25</v>
      </c>
      <c r="F1925" s="146">
        <f t="shared" si="33"/>
        <v>-2.3852830796859514E-2</v>
      </c>
    </row>
    <row r="1926" spans="4:6" ht="15.6" x14ac:dyDescent="0.3">
      <c r="D1926" s="145">
        <v>43376</v>
      </c>
      <c r="E1926" s="187">
        <v>10858.25</v>
      </c>
      <c r="F1926" s="146">
        <f t="shared" si="33"/>
        <v>-1.3630624165402394E-2</v>
      </c>
    </row>
    <row r="1927" spans="4:6" ht="15.6" x14ac:dyDescent="0.3">
      <c r="D1927" s="145">
        <v>43374</v>
      </c>
      <c r="E1927" s="187">
        <v>11008.3</v>
      </c>
      <c r="F1927" s="146">
        <f t="shared" si="33"/>
        <v>7.1223051201001475E-3</v>
      </c>
    </row>
    <row r="1928" spans="4:6" ht="15.6" x14ac:dyDescent="0.3">
      <c r="D1928" s="145">
        <v>43371</v>
      </c>
      <c r="E1928" s="187">
        <v>10930.45</v>
      </c>
      <c r="F1928" s="146">
        <f t="shared" si="33"/>
        <v>-4.2905748550449152E-3</v>
      </c>
    </row>
    <row r="1929" spans="4:6" ht="15.6" x14ac:dyDescent="0.3">
      <c r="D1929" s="145">
        <v>43370</v>
      </c>
      <c r="E1929" s="187">
        <v>10977.55</v>
      </c>
      <c r="F1929" s="146">
        <f t="shared" si="33"/>
        <v>-6.8980802981779554E-3</v>
      </c>
    </row>
    <row r="1930" spans="4:6" ht="15.6" x14ac:dyDescent="0.3">
      <c r="D1930" s="145">
        <v>43369</v>
      </c>
      <c r="E1930" s="187">
        <v>11053.8</v>
      </c>
      <c r="F1930" s="146">
        <f t="shared" si="33"/>
        <v>-1.233346434815763E-3</v>
      </c>
    </row>
    <row r="1931" spans="4:6" ht="15.6" x14ac:dyDescent="0.3">
      <c r="D1931" s="145">
        <v>43368</v>
      </c>
      <c r="E1931" s="187">
        <v>11067.45</v>
      </c>
      <c r="F1931" s="146">
        <f t="shared" si="33"/>
        <v>9.1224902894031512E-3</v>
      </c>
    </row>
    <row r="1932" spans="4:6" ht="15.6" x14ac:dyDescent="0.3">
      <c r="D1932" s="145">
        <v>43367</v>
      </c>
      <c r="E1932" s="187">
        <v>10967.4</v>
      </c>
      <c r="F1932" s="146">
        <f t="shared" si="33"/>
        <v>-1.5767605065017842E-2</v>
      </c>
    </row>
    <row r="1933" spans="4:6" ht="15.6" x14ac:dyDescent="0.3">
      <c r="D1933" s="145">
        <v>43364</v>
      </c>
      <c r="E1933" s="187">
        <v>11143.1</v>
      </c>
      <c r="F1933" s="146">
        <f t="shared" si="33"/>
        <v>-8.1224102863094449E-3</v>
      </c>
    </row>
    <row r="1934" spans="4:6" ht="15.6" x14ac:dyDescent="0.3">
      <c r="D1934" s="145">
        <v>43362</v>
      </c>
      <c r="E1934" s="187">
        <v>11234.35</v>
      </c>
      <c r="F1934" s="146">
        <f t="shared" si="33"/>
        <v>-3.9498532658326369E-3</v>
      </c>
    </row>
    <row r="1935" spans="4:6" ht="15.6" x14ac:dyDescent="0.3">
      <c r="D1935" s="145">
        <v>43361</v>
      </c>
      <c r="E1935" s="187">
        <v>11278.9</v>
      </c>
      <c r="F1935" s="146">
        <f t="shared" si="33"/>
        <v>-8.6880094922107132E-3</v>
      </c>
    </row>
    <row r="1936" spans="4:6" ht="15.6" x14ac:dyDescent="0.3">
      <c r="D1936" s="145">
        <v>43360</v>
      </c>
      <c r="E1936" s="187">
        <v>11377.75</v>
      </c>
      <c r="F1936" s="146">
        <f t="shared" si="33"/>
        <v>-1.1936397109907015E-2</v>
      </c>
    </row>
    <row r="1937" spans="4:6" ht="15.6" x14ac:dyDescent="0.3">
      <c r="D1937" s="145">
        <v>43357</v>
      </c>
      <c r="E1937" s="187">
        <v>11515.2</v>
      </c>
      <c r="F1937" s="146">
        <f t="shared" si="33"/>
        <v>1.2779356018962407E-2</v>
      </c>
    </row>
    <row r="1938" spans="4:6" ht="15.6" x14ac:dyDescent="0.3">
      <c r="D1938" s="145">
        <v>43355</v>
      </c>
      <c r="E1938" s="187">
        <v>11369.9</v>
      </c>
      <c r="F1938" s="146">
        <f t="shared" si="33"/>
        <v>7.300110741971233E-3</v>
      </c>
    </row>
    <row r="1939" spans="4:6" ht="15.6" x14ac:dyDescent="0.3">
      <c r="D1939" s="145">
        <v>43354</v>
      </c>
      <c r="E1939" s="187">
        <v>11287.5</v>
      </c>
      <c r="F1939" s="146">
        <f t="shared" si="33"/>
        <v>-1.3166522411939052E-2</v>
      </c>
    </row>
    <row r="1940" spans="4:6" ht="15.6" x14ac:dyDescent="0.3">
      <c r="D1940" s="145">
        <v>43353</v>
      </c>
      <c r="E1940" s="187">
        <v>11438.1</v>
      </c>
      <c r="F1940" s="146">
        <f t="shared" si="33"/>
        <v>-1.3029484601910446E-2</v>
      </c>
    </row>
    <row r="1941" spans="4:6" ht="15.6" x14ac:dyDescent="0.3">
      <c r="D1941" s="145">
        <v>43350</v>
      </c>
      <c r="E1941" s="187">
        <v>11589.1</v>
      </c>
      <c r="F1941" s="146">
        <f t="shared" si="33"/>
        <v>4.5246123308688713E-3</v>
      </c>
    </row>
    <row r="1942" spans="4:6" ht="15.6" x14ac:dyDescent="0.3">
      <c r="D1942" s="145">
        <v>43349</v>
      </c>
      <c r="E1942" s="187">
        <v>11536.9</v>
      </c>
      <c r="F1942" s="146">
        <f t="shared" si="33"/>
        <v>5.2235132156190911E-3</v>
      </c>
    </row>
    <row r="1943" spans="4:6" ht="15.6" x14ac:dyDescent="0.3">
      <c r="D1943" s="145">
        <v>43348</v>
      </c>
      <c r="E1943" s="187">
        <v>11476.95</v>
      </c>
      <c r="F1943" s="146">
        <f t="shared" si="33"/>
        <v>-3.7629228405509085E-3</v>
      </c>
    </row>
    <row r="1944" spans="4:6" ht="15.6" x14ac:dyDescent="0.3">
      <c r="D1944" s="145">
        <v>43347</v>
      </c>
      <c r="E1944" s="187">
        <v>11520.3</v>
      </c>
      <c r="F1944" s="146">
        <f t="shared" si="33"/>
        <v>-5.3572893238419406E-3</v>
      </c>
    </row>
    <row r="1945" spans="4:6" ht="15.6" x14ac:dyDescent="0.3">
      <c r="D1945" s="145">
        <v>43346</v>
      </c>
      <c r="E1945" s="187">
        <v>11582.35</v>
      </c>
      <c r="F1945" s="146">
        <f t="shared" si="33"/>
        <v>-8.4028937117417435E-3</v>
      </c>
    </row>
    <row r="1946" spans="4:6" ht="15.6" x14ac:dyDescent="0.3">
      <c r="D1946" s="145">
        <v>43343</v>
      </c>
      <c r="E1946" s="187">
        <v>11680.5</v>
      </c>
      <c r="F1946" s="146">
        <f t="shared" si="33"/>
        <v>3.1686763496852066E-4</v>
      </c>
    </row>
    <row r="1947" spans="4:6" ht="15.6" x14ac:dyDescent="0.3">
      <c r="D1947" s="145">
        <v>43342</v>
      </c>
      <c r="E1947" s="187">
        <v>11676.8</v>
      </c>
      <c r="F1947" s="146">
        <f t="shared" ref="F1947:F2010" si="34">E1947/E1948-1</f>
        <v>-1.2914924007219053E-3</v>
      </c>
    </row>
    <row r="1948" spans="4:6" ht="15.6" x14ac:dyDescent="0.3">
      <c r="D1948" s="145">
        <v>43341</v>
      </c>
      <c r="E1948" s="187">
        <v>11691.9</v>
      </c>
      <c r="F1948" s="146">
        <f t="shared" si="34"/>
        <v>-3.9698428248924333E-3</v>
      </c>
    </row>
    <row r="1949" spans="4:6" ht="15.6" x14ac:dyDescent="0.3">
      <c r="D1949" s="145">
        <v>43340</v>
      </c>
      <c r="E1949" s="187">
        <v>11738.5</v>
      </c>
      <c r="F1949" s="146">
        <f t="shared" si="34"/>
        <v>3.9813717985450747E-3</v>
      </c>
    </row>
    <row r="1950" spans="4:6" ht="15.6" x14ac:dyDescent="0.3">
      <c r="D1950" s="145">
        <v>43339</v>
      </c>
      <c r="E1950" s="187">
        <v>11691.95</v>
      </c>
      <c r="F1950" s="146">
        <f t="shared" si="34"/>
        <v>1.1668152045063218E-2</v>
      </c>
    </row>
    <row r="1951" spans="4:6" ht="15.6" x14ac:dyDescent="0.3">
      <c r="D1951" s="145">
        <v>43336</v>
      </c>
      <c r="E1951" s="187">
        <v>11557.1</v>
      </c>
      <c r="F1951" s="146">
        <f t="shared" si="34"/>
        <v>-2.214500010791931E-3</v>
      </c>
    </row>
    <row r="1952" spans="4:6" ht="15.6" x14ac:dyDescent="0.3">
      <c r="D1952" s="145">
        <v>43335</v>
      </c>
      <c r="E1952" s="187">
        <v>11582.75</v>
      </c>
      <c r="F1952" s="146">
        <f t="shared" si="34"/>
        <v>1.024120854903332E-3</v>
      </c>
    </row>
    <row r="1953" spans="4:6" ht="15.6" x14ac:dyDescent="0.3">
      <c r="D1953" s="145">
        <v>43333</v>
      </c>
      <c r="E1953" s="187">
        <v>11570.9</v>
      </c>
      <c r="F1953" s="146">
        <f t="shared" si="34"/>
        <v>1.657757482632416E-3</v>
      </c>
    </row>
    <row r="1954" spans="4:6" ht="15.6" x14ac:dyDescent="0.3">
      <c r="D1954" s="145">
        <v>43332</v>
      </c>
      <c r="E1954" s="187">
        <v>11551.75</v>
      </c>
      <c r="F1954" s="146">
        <f t="shared" si="34"/>
        <v>7.061438877143944E-3</v>
      </c>
    </row>
    <row r="1955" spans="4:6" ht="15.6" x14ac:dyDescent="0.3">
      <c r="D1955" s="145">
        <v>43329</v>
      </c>
      <c r="E1955" s="187">
        <v>11470.75</v>
      </c>
      <c r="F1955" s="146">
        <f t="shared" si="34"/>
        <v>7.5274153385360698E-3</v>
      </c>
    </row>
    <row r="1956" spans="4:6" ht="15.6" x14ac:dyDescent="0.3">
      <c r="D1956" s="145">
        <v>43328</v>
      </c>
      <c r="E1956" s="187">
        <v>11385.05</v>
      </c>
      <c r="F1956" s="146">
        <f t="shared" si="34"/>
        <v>-4.3768747103217764E-3</v>
      </c>
    </row>
    <row r="1957" spans="4:6" ht="15.6" x14ac:dyDescent="0.3">
      <c r="D1957" s="145">
        <v>43326</v>
      </c>
      <c r="E1957" s="187">
        <v>11435.1</v>
      </c>
      <c r="F1957" s="146">
        <f t="shared" si="34"/>
        <v>6.9876494287035573E-3</v>
      </c>
    </row>
    <row r="1958" spans="4:6" ht="15.6" x14ac:dyDescent="0.3">
      <c r="D1958" s="145">
        <v>43325</v>
      </c>
      <c r="E1958" s="187">
        <v>11355.75</v>
      </c>
      <c r="F1958" s="146">
        <f t="shared" si="34"/>
        <v>-6.4526007261910268E-3</v>
      </c>
    </row>
    <row r="1959" spans="4:6" ht="15.6" x14ac:dyDescent="0.3">
      <c r="D1959" s="145">
        <v>43322</v>
      </c>
      <c r="E1959" s="187">
        <v>11429.5</v>
      </c>
      <c r="F1959" s="146">
        <f t="shared" si="34"/>
        <v>-3.5917598751602497E-3</v>
      </c>
    </row>
    <row r="1960" spans="4:6" ht="15.6" x14ac:dyDescent="0.3">
      <c r="D1960" s="145">
        <v>43321</v>
      </c>
      <c r="E1960" s="187">
        <v>11470.7</v>
      </c>
      <c r="F1960" s="146">
        <f t="shared" si="34"/>
        <v>1.8078602620088535E-3</v>
      </c>
    </row>
    <row r="1961" spans="4:6" ht="15.6" x14ac:dyDescent="0.3">
      <c r="D1961" s="145">
        <v>43320</v>
      </c>
      <c r="E1961" s="187">
        <v>11450</v>
      </c>
      <c r="F1961" s="146">
        <f t="shared" si="34"/>
        <v>5.3163234396744752E-3</v>
      </c>
    </row>
    <row r="1962" spans="4:6" ht="15.6" x14ac:dyDescent="0.3">
      <c r="D1962" s="145">
        <v>43319</v>
      </c>
      <c r="E1962" s="187">
        <v>11389.45</v>
      </c>
      <c r="F1962" s="146">
        <f t="shared" si="34"/>
        <v>2.0637387921418338E-4</v>
      </c>
    </row>
    <row r="1963" spans="4:6" ht="15.6" x14ac:dyDescent="0.3">
      <c r="D1963" s="145">
        <v>43318</v>
      </c>
      <c r="E1963" s="187">
        <v>11387.1</v>
      </c>
      <c r="F1963" s="146">
        <f t="shared" si="34"/>
        <v>2.3149778184636816E-3</v>
      </c>
    </row>
    <row r="1964" spans="4:6" ht="15.6" x14ac:dyDescent="0.3">
      <c r="D1964" s="145">
        <v>43315</v>
      </c>
      <c r="E1964" s="187">
        <v>11360.8</v>
      </c>
      <c r="F1964" s="146">
        <f t="shared" si="34"/>
        <v>1.0324864158225422E-2</v>
      </c>
    </row>
    <row r="1965" spans="4:6" ht="15.6" x14ac:dyDescent="0.3">
      <c r="D1965" s="145">
        <v>43314</v>
      </c>
      <c r="E1965" s="187">
        <v>11244.7</v>
      </c>
      <c r="F1965" s="146">
        <f t="shared" si="34"/>
        <v>-8.9457263224691497E-3</v>
      </c>
    </row>
    <row r="1966" spans="4:6" ht="15.6" x14ac:dyDescent="0.3">
      <c r="D1966" s="145">
        <v>43313</v>
      </c>
      <c r="E1966" s="187">
        <v>11346.2</v>
      </c>
      <c r="F1966" s="146">
        <f t="shared" si="34"/>
        <v>-9.0696957689417879E-4</v>
      </c>
    </row>
    <row r="1967" spans="4:6" ht="15.6" x14ac:dyDescent="0.3">
      <c r="D1967" s="145">
        <v>43312</v>
      </c>
      <c r="E1967" s="187">
        <v>11356.5</v>
      </c>
      <c r="F1967" s="146">
        <f t="shared" si="34"/>
        <v>3.2642640387647859E-3</v>
      </c>
    </row>
    <row r="1968" spans="4:6" ht="15.6" x14ac:dyDescent="0.3">
      <c r="D1968" s="145">
        <v>43311</v>
      </c>
      <c r="E1968" s="187">
        <v>11319.55</v>
      </c>
      <c r="F1968" s="146">
        <f t="shared" si="34"/>
        <v>3.6530166203387893E-3</v>
      </c>
    </row>
    <row r="1969" spans="4:6" ht="15.6" x14ac:dyDescent="0.3">
      <c r="D1969" s="145">
        <v>43308</v>
      </c>
      <c r="E1969" s="187">
        <v>11278.35</v>
      </c>
      <c r="F1969" s="146">
        <f t="shared" si="34"/>
        <v>9.9442121193127342E-3</v>
      </c>
    </row>
    <row r="1970" spans="4:6" ht="15.6" x14ac:dyDescent="0.3">
      <c r="D1970" s="145">
        <v>43307</v>
      </c>
      <c r="E1970" s="187">
        <v>11167.3</v>
      </c>
      <c r="F1970" s="146">
        <f t="shared" si="34"/>
        <v>3.1710384477181552E-3</v>
      </c>
    </row>
    <row r="1971" spans="4:6" ht="15.6" x14ac:dyDescent="0.3">
      <c r="D1971" s="145">
        <v>43306</v>
      </c>
      <c r="E1971" s="187">
        <v>11132</v>
      </c>
      <c r="F1971" s="146">
        <f t="shared" si="34"/>
        <v>-2.0656889072501183E-4</v>
      </c>
    </row>
    <row r="1972" spans="4:6" ht="15.6" x14ac:dyDescent="0.3">
      <c r="D1972" s="145">
        <v>43305</v>
      </c>
      <c r="E1972" s="187">
        <v>11134.3</v>
      </c>
      <c r="F1972" s="146">
        <f t="shared" si="34"/>
        <v>4.4701053248832334E-3</v>
      </c>
    </row>
    <row r="1973" spans="4:6" ht="15.6" x14ac:dyDescent="0.3">
      <c r="D1973" s="145">
        <v>43304</v>
      </c>
      <c r="E1973" s="187">
        <v>11084.75</v>
      </c>
      <c r="F1973" s="146">
        <f t="shared" si="34"/>
        <v>6.770994169043254E-3</v>
      </c>
    </row>
    <row r="1974" spans="4:6" ht="15.6" x14ac:dyDescent="0.3">
      <c r="D1974" s="145">
        <v>43301</v>
      </c>
      <c r="E1974" s="187">
        <v>11010.2</v>
      </c>
      <c r="F1974" s="146">
        <f t="shared" si="34"/>
        <v>4.8461728011974792E-3</v>
      </c>
    </row>
    <row r="1975" spans="4:6" ht="15.6" x14ac:dyDescent="0.3">
      <c r="D1975" s="145">
        <v>43300</v>
      </c>
      <c r="E1975" s="187">
        <v>10957.1</v>
      </c>
      <c r="F1975" s="146">
        <f t="shared" si="34"/>
        <v>-2.1265066550095746E-3</v>
      </c>
    </row>
    <row r="1976" spans="4:6" ht="15.6" x14ac:dyDescent="0.3">
      <c r="D1976" s="145">
        <v>43299</v>
      </c>
      <c r="E1976" s="187">
        <v>10980.45</v>
      </c>
      <c r="F1976" s="146">
        <f t="shared" si="34"/>
        <v>-2.5072560535243094E-3</v>
      </c>
    </row>
    <row r="1977" spans="4:6" ht="15.6" x14ac:dyDescent="0.3">
      <c r="D1977" s="145">
        <v>43298</v>
      </c>
      <c r="E1977" s="187">
        <v>11008.05</v>
      </c>
      <c r="F1977" s="146">
        <f t="shared" si="34"/>
        <v>6.5101011717265678E-3</v>
      </c>
    </row>
    <row r="1978" spans="4:6" ht="15.6" x14ac:dyDescent="0.3">
      <c r="D1978" s="145">
        <v>43297</v>
      </c>
      <c r="E1978" s="187">
        <v>10936.85</v>
      </c>
      <c r="F1978" s="146">
        <f t="shared" si="34"/>
        <v>-7.4462968172865907E-3</v>
      </c>
    </row>
    <row r="1979" spans="4:6" ht="15.6" x14ac:dyDescent="0.3">
      <c r="D1979" s="145">
        <v>43294</v>
      </c>
      <c r="E1979" s="187">
        <v>11018.9</v>
      </c>
      <c r="F1979" s="146">
        <f t="shared" si="34"/>
        <v>-3.9008636330661872E-4</v>
      </c>
    </row>
    <row r="1980" spans="4:6" ht="15.6" x14ac:dyDescent="0.3">
      <c r="D1980" s="145">
        <v>43293</v>
      </c>
      <c r="E1980" s="187">
        <v>11023.2</v>
      </c>
      <c r="F1980" s="146">
        <f t="shared" si="34"/>
        <v>6.8412447594605741E-3</v>
      </c>
    </row>
    <row r="1981" spans="4:6" ht="15.6" x14ac:dyDescent="0.3">
      <c r="D1981" s="145">
        <v>43292</v>
      </c>
      <c r="E1981" s="187">
        <v>10948.3</v>
      </c>
      <c r="F1981" s="146">
        <f t="shared" si="34"/>
        <v>9.591449907508931E-5</v>
      </c>
    </row>
    <row r="1982" spans="4:6" ht="15.6" x14ac:dyDescent="0.3">
      <c r="D1982" s="145">
        <v>43291</v>
      </c>
      <c r="E1982" s="187">
        <v>10947.25</v>
      </c>
      <c r="F1982" s="146">
        <f t="shared" si="34"/>
        <v>8.6935289185379183E-3</v>
      </c>
    </row>
    <row r="1983" spans="4:6" ht="15.6" x14ac:dyDescent="0.3">
      <c r="D1983" s="145">
        <v>43290</v>
      </c>
      <c r="E1983" s="187">
        <v>10852.9</v>
      </c>
      <c r="F1983" s="146">
        <f t="shared" si="34"/>
        <v>7.4494205232695787E-3</v>
      </c>
    </row>
    <row r="1984" spans="4:6" ht="15.6" x14ac:dyDescent="0.3">
      <c r="D1984" s="145">
        <v>43287</v>
      </c>
      <c r="E1984" s="187">
        <v>10772.65</v>
      </c>
      <c r="F1984" s="146">
        <f t="shared" si="34"/>
        <v>2.130282099583658E-3</v>
      </c>
    </row>
    <row r="1985" spans="4:6" ht="15.6" x14ac:dyDescent="0.3">
      <c r="D1985" s="145">
        <v>43286</v>
      </c>
      <c r="E1985" s="187">
        <v>10749.75</v>
      </c>
      <c r="F1985" s="146">
        <f t="shared" si="34"/>
        <v>-1.8709551620720299E-3</v>
      </c>
    </row>
    <row r="1986" spans="4:6" ht="15.6" x14ac:dyDescent="0.3">
      <c r="D1986" s="145">
        <v>43285</v>
      </c>
      <c r="E1986" s="187">
        <v>10769.9</v>
      </c>
      <c r="F1986" s="146">
        <f t="shared" si="34"/>
        <v>6.5421172160486929E-3</v>
      </c>
    </row>
    <row r="1987" spans="4:6" ht="15.6" x14ac:dyDescent="0.3">
      <c r="D1987" s="145">
        <v>43284</v>
      </c>
      <c r="E1987" s="187">
        <v>10699.9</v>
      </c>
      <c r="F1987" s="146">
        <f t="shared" si="34"/>
        <v>3.9972600940201275E-3</v>
      </c>
    </row>
    <row r="1988" spans="4:6" ht="15.6" x14ac:dyDescent="0.3">
      <c r="D1988" s="145">
        <v>43283</v>
      </c>
      <c r="E1988" s="187">
        <v>10657.3</v>
      </c>
      <c r="F1988" s="146">
        <f t="shared" si="34"/>
        <v>-5.3199929066761742E-3</v>
      </c>
    </row>
    <row r="1989" spans="4:6" ht="15.6" x14ac:dyDescent="0.3">
      <c r="D1989" s="145">
        <v>43280</v>
      </c>
      <c r="E1989" s="187">
        <v>10714.3</v>
      </c>
      <c r="F1989" s="146">
        <f t="shared" si="34"/>
        <v>1.1823478860337522E-2</v>
      </c>
    </row>
    <row r="1990" spans="4:6" ht="15.6" x14ac:dyDescent="0.3">
      <c r="D1990" s="145">
        <v>43279</v>
      </c>
      <c r="E1990" s="187">
        <v>10589.1</v>
      </c>
      <c r="F1990" s="146">
        <f t="shared" si="34"/>
        <v>-7.7122027100473556E-3</v>
      </c>
    </row>
    <row r="1991" spans="4:6" ht="15.6" x14ac:dyDescent="0.3">
      <c r="D1991" s="145">
        <v>43278</v>
      </c>
      <c r="E1991" s="187">
        <v>10671.4</v>
      </c>
      <c r="F1991" s="146">
        <f t="shared" si="34"/>
        <v>-9.0768537906891211E-3</v>
      </c>
    </row>
    <row r="1992" spans="4:6" ht="15.6" x14ac:dyDescent="0.3">
      <c r="D1992" s="145">
        <v>43277</v>
      </c>
      <c r="E1992" s="187">
        <v>10769.15</v>
      </c>
      <c r="F1992" s="146">
        <f t="shared" si="34"/>
        <v>6.2253483175278568E-4</v>
      </c>
    </row>
    <row r="1993" spans="4:6" ht="15.6" x14ac:dyDescent="0.3">
      <c r="D1993" s="145">
        <v>43276</v>
      </c>
      <c r="E1993" s="187">
        <v>10762.45</v>
      </c>
      <c r="F1993" s="146">
        <f t="shared" si="34"/>
        <v>-5.4888951519379559E-3</v>
      </c>
    </row>
    <row r="1994" spans="4:6" ht="15.6" x14ac:dyDescent="0.3">
      <c r="D1994" s="145">
        <v>43273</v>
      </c>
      <c r="E1994" s="187">
        <v>10821.85</v>
      </c>
      <c r="F1994" s="146">
        <f t="shared" si="34"/>
        <v>7.5178519890886086E-3</v>
      </c>
    </row>
    <row r="1995" spans="4:6" ht="15.6" x14ac:dyDescent="0.3">
      <c r="D1995" s="145">
        <v>43272</v>
      </c>
      <c r="E1995" s="187">
        <v>10741.1</v>
      </c>
      <c r="F1995" s="146">
        <f t="shared" si="34"/>
        <v>-2.8731764148883787E-3</v>
      </c>
    </row>
    <row r="1996" spans="4:6" ht="15.6" x14ac:dyDescent="0.3">
      <c r="D1996" s="145">
        <v>43271</v>
      </c>
      <c r="E1996" s="187">
        <v>10772.05</v>
      </c>
      <c r="F1996" s="146">
        <f t="shared" si="34"/>
        <v>5.7513923317880078E-3</v>
      </c>
    </row>
    <row r="1997" spans="4:6" ht="15.6" x14ac:dyDescent="0.3">
      <c r="D1997" s="145">
        <v>43270</v>
      </c>
      <c r="E1997" s="187">
        <v>10710.45</v>
      </c>
      <c r="F1997" s="146">
        <f t="shared" si="34"/>
        <v>-8.2778927485103182E-3</v>
      </c>
    </row>
    <row r="1998" spans="4:6" ht="15.6" x14ac:dyDescent="0.3">
      <c r="D1998" s="145">
        <v>43269</v>
      </c>
      <c r="E1998" s="187">
        <v>10799.85</v>
      </c>
      <c r="F1998" s="146">
        <f t="shared" si="34"/>
        <v>-1.6500734906681469E-3</v>
      </c>
    </row>
    <row r="1999" spans="4:6" ht="15.6" x14ac:dyDescent="0.3">
      <c r="D1999" s="145">
        <v>43266</v>
      </c>
      <c r="E1999" s="187">
        <v>10817.7</v>
      </c>
      <c r="F1999" s="146">
        <f t="shared" si="34"/>
        <v>8.9285301233821279E-4</v>
      </c>
    </row>
    <row r="2000" spans="4:6" ht="15.6" x14ac:dyDescent="0.3">
      <c r="D2000" s="145">
        <v>43265</v>
      </c>
      <c r="E2000" s="187">
        <v>10808.05</v>
      </c>
      <c r="F2000" s="146">
        <f t="shared" si="34"/>
        <v>-4.4811038344986232E-3</v>
      </c>
    </row>
    <row r="2001" spans="4:6" ht="15.6" x14ac:dyDescent="0.3">
      <c r="D2001" s="145">
        <v>43264</v>
      </c>
      <c r="E2001" s="187">
        <v>10856.7</v>
      </c>
      <c r="F2001" s="146">
        <f t="shared" si="34"/>
        <v>1.2773394448877262E-3</v>
      </c>
    </row>
    <row r="2002" spans="4:6" ht="15.6" x14ac:dyDescent="0.3">
      <c r="D2002" s="145">
        <v>43263</v>
      </c>
      <c r="E2002" s="187">
        <v>10842.85</v>
      </c>
      <c r="F2002" s="146">
        <f t="shared" si="34"/>
        <v>5.1821877361071245E-3</v>
      </c>
    </row>
    <row r="2003" spans="4:6" ht="15.6" x14ac:dyDescent="0.3">
      <c r="D2003" s="145">
        <v>43262</v>
      </c>
      <c r="E2003" s="187">
        <v>10786.95</v>
      </c>
      <c r="F2003" s="146">
        <f t="shared" si="34"/>
        <v>1.7924059567315798E-3</v>
      </c>
    </row>
    <row r="2004" spans="4:6" ht="15.6" x14ac:dyDescent="0.3">
      <c r="D2004" s="145">
        <v>43259</v>
      </c>
      <c r="E2004" s="187">
        <v>10767.65</v>
      </c>
      <c r="F2004" s="146">
        <f t="shared" si="34"/>
        <v>-6.5005316506328015E-5</v>
      </c>
    </row>
    <row r="2005" spans="4:6" ht="15.6" x14ac:dyDescent="0.3">
      <c r="D2005" s="145">
        <v>43258</v>
      </c>
      <c r="E2005" s="187">
        <v>10768.35</v>
      </c>
      <c r="F2005" s="146">
        <f t="shared" si="34"/>
        <v>7.833667925482013E-3</v>
      </c>
    </row>
    <row r="2006" spans="4:6" ht="15.6" x14ac:dyDescent="0.3">
      <c r="D2006" s="145">
        <v>43257</v>
      </c>
      <c r="E2006" s="187">
        <v>10684.65</v>
      </c>
      <c r="F2006" s="146">
        <f t="shared" si="34"/>
        <v>8.6376573540447588E-3</v>
      </c>
    </row>
    <row r="2007" spans="4:6" ht="15.6" x14ac:dyDescent="0.3">
      <c r="D2007" s="145">
        <v>43256</v>
      </c>
      <c r="E2007" s="187">
        <v>10593.15</v>
      </c>
      <c r="F2007" s="146">
        <f t="shared" si="34"/>
        <v>-3.3259632121184213E-3</v>
      </c>
    </row>
    <row r="2008" spans="4:6" ht="15.6" x14ac:dyDescent="0.3">
      <c r="D2008" s="145">
        <v>43255</v>
      </c>
      <c r="E2008" s="187">
        <v>10628.5</v>
      </c>
      <c r="F2008" s="146">
        <f t="shared" si="34"/>
        <v>-6.3293506104972197E-3</v>
      </c>
    </row>
    <row r="2009" spans="4:6" ht="15.6" x14ac:dyDescent="0.3">
      <c r="D2009" s="145">
        <v>43252</v>
      </c>
      <c r="E2009" s="187">
        <v>10696.2</v>
      </c>
      <c r="F2009" s="146">
        <f t="shared" si="34"/>
        <v>-3.7210731966299537E-3</v>
      </c>
    </row>
    <row r="2010" spans="4:6" ht="15.6" x14ac:dyDescent="0.3">
      <c r="D2010" s="145">
        <v>43251</v>
      </c>
      <c r="E2010" s="187">
        <v>10736.15</v>
      </c>
      <c r="F2010" s="146">
        <f t="shared" si="34"/>
        <v>1.147503144328188E-2</v>
      </c>
    </row>
    <row r="2011" spans="4:6" ht="15.6" x14ac:dyDescent="0.3">
      <c r="D2011" s="145">
        <v>43250</v>
      </c>
      <c r="E2011" s="187">
        <v>10614.35</v>
      </c>
      <c r="F2011" s="146">
        <f t="shared" ref="F2011:F2074" si="35">E2011/E2012-1</f>
        <v>-1.7821372480790743E-3</v>
      </c>
    </row>
    <row r="2012" spans="4:6" ht="15.6" x14ac:dyDescent="0.3">
      <c r="D2012" s="145">
        <v>43249</v>
      </c>
      <c r="E2012" s="187">
        <v>10633.3</v>
      </c>
      <c r="F2012" s="146">
        <f t="shared" si="35"/>
        <v>-5.1783901615265471E-3</v>
      </c>
    </row>
    <row r="2013" spans="4:6" ht="15.6" x14ac:dyDescent="0.3">
      <c r="D2013" s="145">
        <v>43248</v>
      </c>
      <c r="E2013" s="187">
        <v>10688.65</v>
      </c>
      <c r="F2013" s="146">
        <f t="shared" si="35"/>
        <v>7.8735331419168553E-3</v>
      </c>
    </row>
    <row r="2014" spans="4:6" ht="15.6" x14ac:dyDescent="0.3">
      <c r="D2014" s="145">
        <v>43245</v>
      </c>
      <c r="E2014" s="187">
        <v>10605.15</v>
      </c>
      <c r="F2014" s="146">
        <f t="shared" si="35"/>
        <v>8.6837837709305976E-3</v>
      </c>
    </row>
    <row r="2015" spans="4:6" ht="15.6" x14ac:dyDescent="0.3">
      <c r="D2015" s="145">
        <v>43244</v>
      </c>
      <c r="E2015" s="187">
        <v>10513.85</v>
      </c>
      <c r="F2015" s="146">
        <f t="shared" si="35"/>
        <v>8.0054839962224733E-3</v>
      </c>
    </row>
    <row r="2016" spans="4:6" ht="15.6" x14ac:dyDescent="0.3">
      <c r="D2016" s="145">
        <v>43243</v>
      </c>
      <c r="E2016" s="187">
        <v>10430.35</v>
      </c>
      <c r="F2016" s="146">
        <f t="shared" si="35"/>
        <v>-1.0093292966488643E-2</v>
      </c>
    </row>
    <row r="2017" spans="4:6" ht="15.6" x14ac:dyDescent="0.3">
      <c r="D2017" s="145">
        <v>43242</v>
      </c>
      <c r="E2017" s="187">
        <v>10536.7</v>
      </c>
      <c r="F2017" s="146">
        <f t="shared" si="35"/>
        <v>1.9017372369660723E-3</v>
      </c>
    </row>
    <row r="2018" spans="4:6" ht="15.6" x14ac:dyDescent="0.3">
      <c r="D2018" s="145">
        <v>43241</v>
      </c>
      <c r="E2018" s="187">
        <v>10516.7</v>
      </c>
      <c r="F2018" s="146">
        <f t="shared" si="35"/>
        <v>-7.5214223698613081E-3</v>
      </c>
    </row>
    <row r="2019" spans="4:6" ht="15.6" x14ac:dyDescent="0.3">
      <c r="D2019" s="145">
        <v>43238</v>
      </c>
      <c r="E2019" s="187">
        <v>10596.4</v>
      </c>
      <c r="F2019" s="146">
        <f t="shared" si="35"/>
        <v>-8.0784820316962547E-3</v>
      </c>
    </row>
    <row r="2020" spans="4:6" ht="15.6" x14ac:dyDescent="0.3">
      <c r="D2020" s="145">
        <v>43237</v>
      </c>
      <c r="E2020" s="187">
        <v>10682.7</v>
      </c>
      <c r="F2020" s="146">
        <f t="shared" si="35"/>
        <v>-5.4370595190436077E-3</v>
      </c>
    </row>
    <row r="2021" spans="4:6" ht="15.6" x14ac:dyDescent="0.3">
      <c r="D2021" s="145">
        <v>43236</v>
      </c>
      <c r="E2021" s="187">
        <v>10741.1</v>
      </c>
      <c r="F2021" s="146">
        <f t="shared" si="35"/>
        <v>-5.6240366233561989E-3</v>
      </c>
    </row>
    <row r="2022" spans="4:6" ht="15.6" x14ac:dyDescent="0.3">
      <c r="D2022" s="145">
        <v>43235</v>
      </c>
      <c r="E2022" s="187">
        <v>10801.85</v>
      </c>
      <c r="F2022" s="146">
        <f t="shared" si="35"/>
        <v>-4.3954620324615501E-4</v>
      </c>
    </row>
    <row r="2023" spans="4:6" ht="15.6" x14ac:dyDescent="0.3">
      <c r="D2023" s="145">
        <v>43234</v>
      </c>
      <c r="E2023" s="187">
        <v>10806.6</v>
      </c>
      <c r="F2023" s="146">
        <f t="shared" si="35"/>
        <v>9.2536899087836133E-6</v>
      </c>
    </row>
    <row r="2024" spans="4:6" ht="15.6" x14ac:dyDescent="0.3">
      <c r="D2024" s="145">
        <v>43231</v>
      </c>
      <c r="E2024" s="187">
        <v>10806.5</v>
      </c>
      <c r="F2024" s="146">
        <f t="shared" si="35"/>
        <v>8.3935594944268832E-3</v>
      </c>
    </row>
    <row r="2025" spans="4:6" ht="15.6" x14ac:dyDescent="0.3">
      <c r="D2025" s="145">
        <v>43230</v>
      </c>
      <c r="E2025" s="187">
        <v>10716.55</v>
      </c>
      <c r="F2025" s="146">
        <f t="shared" si="35"/>
        <v>-2.3413426180214358E-3</v>
      </c>
    </row>
    <row r="2026" spans="4:6" ht="15.6" x14ac:dyDescent="0.3">
      <c r="D2026" s="145">
        <v>43229</v>
      </c>
      <c r="E2026" s="187">
        <v>10741.7</v>
      </c>
      <c r="F2026" s="146">
        <f t="shared" si="35"/>
        <v>2.2299352479053791E-3</v>
      </c>
    </row>
    <row r="2027" spans="4:6" ht="15.6" x14ac:dyDescent="0.3">
      <c r="D2027" s="145">
        <v>43228</v>
      </c>
      <c r="E2027" s="187">
        <v>10717.8</v>
      </c>
      <c r="F2027" s="146">
        <f t="shared" si="35"/>
        <v>2.1464234053469866E-4</v>
      </c>
    </row>
    <row r="2028" spans="4:6" ht="15.6" x14ac:dyDescent="0.3">
      <c r="D2028" s="145">
        <v>43227</v>
      </c>
      <c r="E2028" s="187">
        <v>10715.5</v>
      </c>
      <c r="F2028" s="146">
        <f t="shared" si="35"/>
        <v>9.1587596826219198E-3</v>
      </c>
    </row>
    <row r="2029" spans="4:6" ht="15.6" x14ac:dyDescent="0.3">
      <c r="D2029" s="145">
        <v>43224</v>
      </c>
      <c r="E2029" s="187">
        <v>10618.25</v>
      </c>
      <c r="F2029" s="146">
        <f t="shared" si="35"/>
        <v>-5.7492520822310933E-3</v>
      </c>
    </row>
    <row r="2030" spans="4:6" ht="15.6" x14ac:dyDescent="0.3">
      <c r="D2030" s="145">
        <v>43223</v>
      </c>
      <c r="E2030" s="187">
        <v>10679.65</v>
      </c>
      <c r="F2030" s="146">
        <f t="shared" si="35"/>
        <v>-3.5827412635693889E-3</v>
      </c>
    </row>
    <row r="2031" spans="4:6" ht="15.6" x14ac:dyDescent="0.3">
      <c r="D2031" s="145">
        <v>43222</v>
      </c>
      <c r="E2031" s="187">
        <v>10718.05</v>
      </c>
      <c r="F2031" s="146">
        <f t="shared" si="35"/>
        <v>-1.9833602592336241E-3</v>
      </c>
    </row>
    <row r="2032" spans="4:6" ht="15.6" x14ac:dyDescent="0.3">
      <c r="D2032" s="145">
        <v>43220</v>
      </c>
      <c r="E2032" s="187">
        <v>10739.35</v>
      </c>
      <c r="F2032" s="146">
        <f t="shared" si="35"/>
        <v>4.4003628779589743E-3</v>
      </c>
    </row>
    <row r="2033" spans="4:6" ht="15.6" x14ac:dyDescent="0.3">
      <c r="D2033" s="145">
        <v>43217</v>
      </c>
      <c r="E2033" s="187">
        <v>10692.3</v>
      </c>
      <c r="F2033" s="146">
        <f t="shared" si="35"/>
        <v>7.0165194296369915E-3</v>
      </c>
    </row>
    <row r="2034" spans="4:6" ht="15.6" x14ac:dyDescent="0.3">
      <c r="D2034" s="145">
        <v>43216</v>
      </c>
      <c r="E2034" s="187">
        <v>10617.8</v>
      </c>
      <c r="F2034" s="146">
        <f t="shared" si="35"/>
        <v>4.4699660850191503E-3</v>
      </c>
    </row>
    <row r="2035" spans="4:6" ht="15.6" x14ac:dyDescent="0.3">
      <c r="D2035" s="145">
        <v>43215</v>
      </c>
      <c r="E2035" s="187">
        <v>10570.55</v>
      </c>
      <c r="F2035" s="146">
        <f t="shared" si="35"/>
        <v>-4.1264891397024828E-3</v>
      </c>
    </row>
    <row r="2036" spans="4:6" ht="15.6" x14ac:dyDescent="0.3">
      <c r="D2036" s="145">
        <v>43214</v>
      </c>
      <c r="E2036" s="187">
        <v>10614.35</v>
      </c>
      <c r="F2036" s="146">
        <f t="shared" si="35"/>
        <v>2.8012130716978945E-3</v>
      </c>
    </row>
    <row r="2037" spans="4:6" ht="15.6" x14ac:dyDescent="0.3">
      <c r="D2037" s="145">
        <v>43213</v>
      </c>
      <c r="E2037" s="187">
        <v>10584.7</v>
      </c>
      <c r="F2037" s="146">
        <f t="shared" si="35"/>
        <v>1.9547427359773994E-3</v>
      </c>
    </row>
    <row r="2038" spans="4:6" ht="15.6" x14ac:dyDescent="0.3">
      <c r="D2038" s="145">
        <v>43210</v>
      </c>
      <c r="E2038" s="187">
        <v>10564.05</v>
      </c>
      <c r="F2038" s="146">
        <f t="shared" si="35"/>
        <v>-1.1831183212973606E-4</v>
      </c>
    </row>
    <row r="2039" spans="4:6" ht="15.6" x14ac:dyDescent="0.3">
      <c r="D2039" s="145">
        <v>43209</v>
      </c>
      <c r="E2039" s="187">
        <v>10565.3</v>
      </c>
      <c r="F2039" s="146">
        <f t="shared" si="35"/>
        <v>3.7145408599492669E-3</v>
      </c>
    </row>
    <row r="2040" spans="4:6" ht="15.6" x14ac:dyDescent="0.3">
      <c r="D2040" s="145">
        <v>43208</v>
      </c>
      <c r="E2040" s="187">
        <v>10526.2</v>
      </c>
      <c r="F2040" s="146">
        <f t="shared" si="35"/>
        <v>-2.1329642515190983E-3</v>
      </c>
    </row>
    <row r="2041" spans="4:6" ht="15.6" x14ac:dyDescent="0.3">
      <c r="D2041" s="145">
        <v>43207</v>
      </c>
      <c r="E2041" s="187">
        <v>10548.7</v>
      </c>
      <c r="F2041" s="146">
        <f t="shared" si="35"/>
        <v>1.9328764716219915E-3</v>
      </c>
    </row>
    <row r="2042" spans="4:6" ht="15.6" x14ac:dyDescent="0.3">
      <c r="D2042" s="145">
        <v>43206</v>
      </c>
      <c r="E2042" s="187">
        <v>10528.35</v>
      </c>
      <c r="F2042" s="146">
        <f t="shared" si="35"/>
        <v>4.5560368681183405E-3</v>
      </c>
    </row>
    <row r="2043" spans="4:6" ht="15.6" x14ac:dyDescent="0.3">
      <c r="D2043" s="145">
        <v>43203</v>
      </c>
      <c r="E2043" s="187">
        <v>10480.6</v>
      </c>
      <c r="F2043" s="146">
        <f t="shared" si="35"/>
        <v>2.0987412333333122E-3</v>
      </c>
    </row>
    <row r="2044" spans="4:6" ht="15.6" x14ac:dyDescent="0.3">
      <c r="D2044" s="145">
        <v>43202</v>
      </c>
      <c r="E2044" s="187">
        <v>10458.65</v>
      </c>
      <c r="F2044" s="146">
        <f t="shared" si="35"/>
        <v>3.9838151509770103E-3</v>
      </c>
    </row>
    <row r="2045" spans="4:6" ht="15.6" x14ac:dyDescent="0.3">
      <c r="D2045" s="145">
        <v>43201</v>
      </c>
      <c r="E2045" s="187">
        <v>10417.15</v>
      </c>
      <c r="F2045" s="146">
        <f t="shared" si="35"/>
        <v>1.4323824172655097E-3</v>
      </c>
    </row>
    <row r="2046" spans="4:6" ht="15.6" x14ac:dyDescent="0.3">
      <c r="D2046" s="145">
        <v>43200</v>
      </c>
      <c r="E2046" s="187">
        <v>10402.25</v>
      </c>
      <c r="F2046" s="146">
        <f t="shared" si="35"/>
        <v>2.206303862958725E-3</v>
      </c>
    </row>
    <row r="2047" spans="4:6" ht="15.6" x14ac:dyDescent="0.3">
      <c r="D2047" s="145">
        <v>43199</v>
      </c>
      <c r="E2047" s="187">
        <v>10379.35</v>
      </c>
      <c r="F2047" s="146">
        <f t="shared" si="35"/>
        <v>4.6217430020518702E-3</v>
      </c>
    </row>
    <row r="2048" spans="4:6" ht="15.6" x14ac:dyDescent="0.3">
      <c r="D2048" s="145">
        <v>43196</v>
      </c>
      <c r="E2048" s="187">
        <v>10331.6</v>
      </c>
      <c r="F2048" s="146">
        <f t="shared" si="35"/>
        <v>6.2468826118755594E-4</v>
      </c>
    </row>
    <row r="2049" spans="4:6" ht="15.6" x14ac:dyDescent="0.3">
      <c r="D2049" s="145">
        <v>43195</v>
      </c>
      <c r="E2049" s="187">
        <v>10325.15</v>
      </c>
      <c r="F2049" s="146">
        <f t="shared" si="35"/>
        <v>1.9425575609178125E-2</v>
      </c>
    </row>
    <row r="2050" spans="4:6" ht="15.6" x14ac:dyDescent="0.3">
      <c r="D2050" s="145">
        <v>43194</v>
      </c>
      <c r="E2050" s="187">
        <v>10128.4</v>
      </c>
      <c r="F2050" s="146">
        <f t="shared" si="35"/>
        <v>-1.1381161542215801E-2</v>
      </c>
    </row>
    <row r="2051" spans="4:6" ht="15.6" x14ac:dyDescent="0.3">
      <c r="D2051" s="145">
        <v>43193</v>
      </c>
      <c r="E2051" s="187">
        <v>10245</v>
      </c>
      <c r="F2051" s="146">
        <f t="shared" si="35"/>
        <v>3.2511408370710093E-3</v>
      </c>
    </row>
    <row r="2052" spans="4:6" ht="15.6" x14ac:dyDescent="0.3">
      <c r="D2052" s="145">
        <v>43192</v>
      </c>
      <c r="E2052" s="187">
        <v>10211.799999999999</v>
      </c>
      <c r="F2052" s="146">
        <f t="shared" si="35"/>
        <v>9.6997142489887445E-3</v>
      </c>
    </row>
    <row r="2053" spans="4:6" ht="15.6" x14ac:dyDescent="0.3">
      <c r="D2053" s="145">
        <v>43187</v>
      </c>
      <c r="E2053" s="187">
        <v>10113.700000000001</v>
      </c>
      <c r="F2053" s="146">
        <f t="shared" si="35"/>
        <v>-6.9176121718551586E-3</v>
      </c>
    </row>
    <row r="2054" spans="4:6" ht="15.6" x14ac:dyDescent="0.3">
      <c r="D2054" s="145">
        <v>43186</v>
      </c>
      <c r="E2054" s="187">
        <v>10184.15</v>
      </c>
      <c r="F2054" s="146">
        <f t="shared" si="35"/>
        <v>5.2810036868315979E-3</v>
      </c>
    </row>
    <row r="2055" spans="4:6" ht="15.6" x14ac:dyDescent="0.3">
      <c r="D2055" s="145">
        <v>43185</v>
      </c>
      <c r="E2055" s="187">
        <v>10130.65</v>
      </c>
      <c r="F2055" s="146">
        <f t="shared" si="35"/>
        <v>1.3262586204309867E-2</v>
      </c>
    </row>
    <row r="2056" spans="4:6" ht="15.6" x14ac:dyDescent="0.3">
      <c r="D2056" s="145">
        <v>43182</v>
      </c>
      <c r="E2056" s="187">
        <v>9998.0499999999993</v>
      </c>
      <c r="F2056" s="146">
        <f t="shared" si="35"/>
        <v>-1.1537605971477349E-2</v>
      </c>
    </row>
    <row r="2057" spans="4:6" ht="15.6" x14ac:dyDescent="0.3">
      <c r="D2057" s="145">
        <v>43181</v>
      </c>
      <c r="E2057" s="187">
        <v>10114.75</v>
      </c>
      <c r="F2057" s="146">
        <f t="shared" si="35"/>
        <v>-3.988084980675044E-3</v>
      </c>
    </row>
    <row r="2058" spans="4:6" ht="15.6" x14ac:dyDescent="0.3">
      <c r="D2058" s="145">
        <v>43180</v>
      </c>
      <c r="E2058" s="187">
        <v>10155.25</v>
      </c>
      <c r="F2058" s="146">
        <f t="shared" si="35"/>
        <v>3.0520477857838291E-3</v>
      </c>
    </row>
    <row r="2059" spans="4:6" ht="15.6" x14ac:dyDescent="0.3">
      <c r="D2059" s="145">
        <v>43179</v>
      </c>
      <c r="E2059" s="187">
        <v>10124.35</v>
      </c>
      <c r="F2059" s="146">
        <f t="shared" si="35"/>
        <v>2.9818956336529201E-3</v>
      </c>
    </row>
    <row r="2060" spans="4:6" ht="15.6" x14ac:dyDescent="0.3">
      <c r="D2060" s="145">
        <v>43178</v>
      </c>
      <c r="E2060" s="187">
        <v>10094.25</v>
      </c>
      <c r="F2060" s="146">
        <f t="shared" si="35"/>
        <v>-9.8968627239421902E-3</v>
      </c>
    </row>
    <row r="2061" spans="4:6" ht="15.6" x14ac:dyDescent="0.3">
      <c r="D2061" s="145">
        <v>43175</v>
      </c>
      <c r="E2061" s="187">
        <v>10195.15</v>
      </c>
      <c r="F2061" s="146">
        <f t="shared" si="35"/>
        <v>-1.592641033189679E-2</v>
      </c>
    </row>
    <row r="2062" spans="4:6" ht="15.6" x14ac:dyDescent="0.3">
      <c r="D2062" s="145">
        <v>43174</v>
      </c>
      <c r="E2062" s="187">
        <v>10360.15</v>
      </c>
      <c r="F2062" s="146">
        <f t="shared" si="35"/>
        <v>-4.8746986331633657E-3</v>
      </c>
    </row>
    <row r="2063" spans="4:6" ht="15.6" x14ac:dyDescent="0.3">
      <c r="D2063" s="145">
        <v>43173</v>
      </c>
      <c r="E2063" s="187">
        <v>10410.9</v>
      </c>
      <c r="F2063" s="146">
        <f t="shared" si="35"/>
        <v>-1.5297045608214654E-3</v>
      </c>
    </row>
    <row r="2064" spans="4:6" ht="15.6" x14ac:dyDescent="0.3">
      <c r="D2064" s="145">
        <v>43172</v>
      </c>
      <c r="E2064" s="187">
        <v>10426.85</v>
      </c>
      <c r="F2064" s="146">
        <f t="shared" si="35"/>
        <v>5.229623659011029E-4</v>
      </c>
    </row>
    <row r="2065" spans="4:6" ht="15.6" x14ac:dyDescent="0.3">
      <c r="D2065" s="145">
        <v>43171</v>
      </c>
      <c r="E2065" s="187">
        <v>10421.4</v>
      </c>
      <c r="F2065" s="146">
        <f t="shared" si="35"/>
        <v>1.9023452969389343E-2</v>
      </c>
    </row>
    <row r="2066" spans="4:6" ht="15.6" x14ac:dyDescent="0.3">
      <c r="D2066" s="145">
        <v>43168</v>
      </c>
      <c r="E2066" s="187">
        <v>10226.85</v>
      </c>
      <c r="F2066" s="146">
        <f t="shared" si="35"/>
        <v>-1.542569549872308E-3</v>
      </c>
    </row>
    <row r="2067" spans="4:6" ht="15.6" x14ac:dyDescent="0.3">
      <c r="D2067" s="145">
        <v>43167</v>
      </c>
      <c r="E2067" s="187">
        <v>10242.65</v>
      </c>
      <c r="F2067" s="146">
        <f t="shared" si="35"/>
        <v>8.7106812944395262E-3</v>
      </c>
    </row>
    <row r="2068" spans="4:6" ht="15.6" x14ac:dyDescent="0.3">
      <c r="D2068" s="145">
        <v>43166</v>
      </c>
      <c r="E2068" s="187">
        <v>10154.200000000001</v>
      </c>
      <c r="F2068" s="146">
        <f t="shared" si="35"/>
        <v>-9.2738493060466887E-3</v>
      </c>
    </row>
    <row r="2069" spans="4:6" ht="15.6" x14ac:dyDescent="0.3">
      <c r="D2069" s="145">
        <v>43165</v>
      </c>
      <c r="E2069" s="187">
        <v>10249.25</v>
      </c>
      <c r="F2069" s="146">
        <f t="shared" si="35"/>
        <v>-1.0580325036080307E-2</v>
      </c>
    </row>
    <row r="2070" spans="4:6" ht="15.6" x14ac:dyDescent="0.3">
      <c r="D2070" s="145">
        <v>43164</v>
      </c>
      <c r="E2070" s="187">
        <v>10358.85</v>
      </c>
      <c r="F2070" s="146">
        <f t="shared" si="35"/>
        <v>-9.5139290614676408E-3</v>
      </c>
    </row>
    <row r="2071" spans="4:6" ht="15.6" x14ac:dyDescent="0.3">
      <c r="D2071" s="145">
        <v>43160</v>
      </c>
      <c r="E2071" s="187">
        <v>10458.35</v>
      </c>
      <c r="F2071" s="146">
        <f t="shared" si="35"/>
        <v>-3.2879532252915178E-3</v>
      </c>
    </row>
    <row r="2072" spans="4:6" ht="15.6" x14ac:dyDescent="0.3">
      <c r="D2072" s="145">
        <v>43159</v>
      </c>
      <c r="E2072" s="187">
        <v>10492.85</v>
      </c>
      <c r="F2072" s="146">
        <f t="shared" si="35"/>
        <v>-5.8222714912404827E-3</v>
      </c>
    </row>
    <row r="2073" spans="4:6" ht="15.6" x14ac:dyDescent="0.3">
      <c r="D2073" s="145">
        <v>43158</v>
      </c>
      <c r="E2073" s="187">
        <v>10554.3</v>
      </c>
      <c r="F2073" s="146">
        <f t="shared" si="35"/>
        <v>-2.6742010470017785E-3</v>
      </c>
    </row>
    <row r="2074" spans="4:6" ht="15.6" x14ac:dyDescent="0.3">
      <c r="D2074" s="145">
        <v>43157</v>
      </c>
      <c r="E2074" s="187">
        <v>10582.6</v>
      </c>
      <c r="F2074" s="146">
        <f t="shared" si="35"/>
        <v>8.7264859094180469E-3</v>
      </c>
    </row>
    <row r="2075" spans="4:6" ht="15.6" x14ac:dyDescent="0.3">
      <c r="D2075" s="145">
        <v>43154</v>
      </c>
      <c r="E2075" s="187">
        <v>10491.05</v>
      </c>
      <c r="F2075" s="146">
        <f t="shared" ref="F2075:F2138" si="36">E2075/E2076-1</f>
        <v>1.0435628497404092E-2</v>
      </c>
    </row>
    <row r="2076" spans="4:6" ht="15.6" x14ac:dyDescent="0.3">
      <c r="D2076" s="145">
        <v>43153</v>
      </c>
      <c r="E2076" s="187">
        <v>10382.700000000001</v>
      </c>
      <c r="F2076" s="146">
        <f t="shared" si="36"/>
        <v>-1.4186170647610963E-3</v>
      </c>
    </row>
    <row r="2077" spans="4:6" ht="15.6" x14ac:dyDescent="0.3">
      <c r="D2077" s="145">
        <v>43152</v>
      </c>
      <c r="E2077" s="187">
        <v>10397.450000000001</v>
      </c>
      <c r="F2077" s="146">
        <f t="shared" si="36"/>
        <v>3.5761167522490034E-3</v>
      </c>
    </row>
    <row r="2078" spans="4:6" ht="15.6" x14ac:dyDescent="0.3">
      <c r="D2078" s="145">
        <v>43151</v>
      </c>
      <c r="E2078" s="187">
        <v>10360.4</v>
      </c>
      <c r="F2078" s="146">
        <f t="shared" si="36"/>
        <v>-1.7343713867262744E-3</v>
      </c>
    </row>
    <row r="2079" spans="4:6" ht="15.6" x14ac:dyDescent="0.3">
      <c r="D2079" s="145">
        <v>43150</v>
      </c>
      <c r="E2079" s="187">
        <v>10378.4</v>
      </c>
      <c r="F2079" s="146">
        <f t="shared" si="36"/>
        <v>-7.0702142112262223E-3</v>
      </c>
    </row>
    <row r="2080" spans="4:6" ht="15.6" x14ac:dyDescent="0.3">
      <c r="D2080" s="145">
        <v>43147</v>
      </c>
      <c r="E2080" s="187">
        <v>10452.299999999999</v>
      </c>
      <c r="F2080" s="146">
        <f t="shared" si="36"/>
        <v>-8.8378929401167206E-3</v>
      </c>
    </row>
    <row r="2081" spans="4:6" ht="15.6" x14ac:dyDescent="0.3">
      <c r="D2081" s="145">
        <v>43146</v>
      </c>
      <c r="E2081" s="187">
        <v>10545.5</v>
      </c>
      <c r="F2081" s="146">
        <f t="shared" si="36"/>
        <v>4.247254997190808E-3</v>
      </c>
    </row>
    <row r="2082" spans="4:6" ht="15.6" x14ac:dyDescent="0.3">
      <c r="D2082" s="145">
        <v>43145</v>
      </c>
      <c r="E2082" s="187">
        <v>10500.9</v>
      </c>
      <c r="F2082" s="146">
        <f t="shared" si="36"/>
        <v>-3.6860456841956157E-3</v>
      </c>
    </row>
    <row r="2083" spans="4:6" ht="15.6" x14ac:dyDescent="0.3">
      <c r="D2083" s="145">
        <v>43143</v>
      </c>
      <c r="E2083" s="187">
        <v>10539.75</v>
      </c>
      <c r="F2083" s="146">
        <f t="shared" si="36"/>
        <v>8.1109904877592065E-3</v>
      </c>
    </row>
    <row r="2084" spans="4:6" ht="15.6" x14ac:dyDescent="0.3">
      <c r="D2084" s="145">
        <v>43140</v>
      </c>
      <c r="E2084" s="187">
        <v>10454.950000000001</v>
      </c>
      <c r="F2084" s="146">
        <f t="shared" si="36"/>
        <v>-1.1525170537541873E-2</v>
      </c>
    </row>
    <row r="2085" spans="4:6" ht="15.6" x14ac:dyDescent="0.3">
      <c r="D2085" s="145">
        <v>43139</v>
      </c>
      <c r="E2085" s="187">
        <v>10576.85</v>
      </c>
      <c r="F2085" s="146">
        <f t="shared" si="36"/>
        <v>9.5593077973026297E-3</v>
      </c>
    </row>
    <row r="2086" spans="4:6" ht="15.6" x14ac:dyDescent="0.3">
      <c r="D2086" s="145">
        <v>43138</v>
      </c>
      <c r="E2086" s="187">
        <v>10476.700000000001</v>
      </c>
      <c r="F2086" s="146">
        <f t="shared" si="36"/>
        <v>-2.052723072893059E-3</v>
      </c>
    </row>
    <row r="2087" spans="4:6" ht="15.6" x14ac:dyDescent="0.3">
      <c r="D2087" s="145">
        <v>43137</v>
      </c>
      <c r="E2087" s="187">
        <v>10498.25</v>
      </c>
      <c r="F2087" s="146">
        <f t="shared" si="36"/>
        <v>-1.5778297575129607E-2</v>
      </c>
    </row>
    <row r="2088" spans="4:6" ht="15.6" x14ac:dyDescent="0.3">
      <c r="D2088" s="145">
        <v>43136</v>
      </c>
      <c r="E2088" s="187">
        <v>10666.55</v>
      </c>
      <c r="F2088" s="146">
        <f t="shared" si="36"/>
        <v>-8.7402189468990255E-3</v>
      </c>
    </row>
    <row r="2089" spans="4:6" ht="15.6" x14ac:dyDescent="0.3">
      <c r="D2089" s="145">
        <v>43133</v>
      </c>
      <c r="E2089" s="187">
        <v>10760.6</v>
      </c>
      <c r="F2089" s="146">
        <f t="shared" si="36"/>
        <v>-2.326425764053397E-2</v>
      </c>
    </row>
    <row r="2090" spans="4:6" ht="15.6" x14ac:dyDescent="0.3">
      <c r="D2090" s="145">
        <v>43132</v>
      </c>
      <c r="E2090" s="187">
        <v>11016.9</v>
      </c>
      <c r="F2090" s="146">
        <f t="shared" si="36"/>
        <v>-9.7935199542975582E-4</v>
      </c>
    </row>
    <row r="2091" spans="4:6" ht="15.6" x14ac:dyDescent="0.3">
      <c r="D2091" s="145">
        <v>43131</v>
      </c>
      <c r="E2091" s="187">
        <v>11027.7</v>
      </c>
      <c r="F2091" s="146">
        <f t="shared" si="36"/>
        <v>-1.9864882598090716E-3</v>
      </c>
    </row>
    <row r="2092" spans="4:6" ht="15.6" x14ac:dyDescent="0.3">
      <c r="D2092" s="145">
        <v>43130</v>
      </c>
      <c r="E2092" s="187">
        <v>11049.65</v>
      </c>
      <c r="F2092" s="146">
        <f t="shared" si="36"/>
        <v>-7.2549054840795879E-3</v>
      </c>
    </row>
    <row r="2093" spans="4:6" ht="15.6" x14ac:dyDescent="0.3">
      <c r="D2093" s="145">
        <v>43129</v>
      </c>
      <c r="E2093" s="187">
        <v>11130.4</v>
      </c>
      <c r="F2093" s="146">
        <f t="shared" si="36"/>
        <v>5.4879783913674984E-3</v>
      </c>
    </row>
    <row r="2094" spans="4:6" ht="15.6" x14ac:dyDescent="0.3">
      <c r="D2094" s="145">
        <v>43125</v>
      </c>
      <c r="E2094" s="187">
        <v>11069.65</v>
      </c>
      <c r="F2094" s="146">
        <f t="shared" si="36"/>
        <v>-1.4748331228576772E-3</v>
      </c>
    </row>
    <row r="2095" spans="4:6" ht="15.6" x14ac:dyDescent="0.3">
      <c r="D2095" s="145">
        <v>43124</v>
      </c>
      <c r="E2095" s="187">
        <v>11086</v>
      </c>
      <c r="F2095" s="146">
        <f t="shared" si="36"/>
        <v>2.0751193193602191E-4</v>
      </c>
    </row>
    <row r="2096" spans="4:6" ht="15.6" x14ac:dyDescent="0.3">
      <c r="D2096" s="145">
        <v>43123</v>
      </c>
      <c r="E2096" s="187">
        <v>11083.7</v>
      </c>
      <c r="F2096" s="146">
        <f t="shared" si="36"/>
        <v>1.071474166073938E-2</v>
      </c>
    </row>
    <row r="2097" spans="4:6" ht="15.6" x14ac:dyDescent="0.3">
      <c r="D2097" s="145">
        <v>43122</v>
      </c>
      <c r="E2097" s="187">
        <v>10966.2</v>
      </c>
      <c r="F2097" s="146">
        <f t="shared" si="36"/>
        <v>6.5628241254922504E-3</v>
      </c>
    </row>
    <row r="2098" spans="4:6" ht="15.6" x14ac:dyDescent="0.3">
      <c r="D2098" s="145">
        <v>43119</v>
      </c>
      <c r="E2098" s="187">
        <v>10894.7</v>
      </c>
      <c r="F2098" s="146">
        <f t="shared" si="36"/>
        <v>7.1831376536932723E-3</v>
      </c>
    </row>
    <row r="2099" spans="4:6" ht="15.6" x14ac:dyDescent="0.3">
      <c r="D2099" s="145">
        <v>43118</v>
      </c>
      <c r="E2099" s="187">
        <v>10817</v>
      </c>
      <c r="F2099" s="146">
        <f t="shared" si="36"/>
        <v>2.6370550259302572E-3</v>
      </c>
    </row>
    <row r="2100" spans="4:6" ht="15.6" x14ac:dyDescent="0.3">
      <c r="D2100" s="145">
        <v>43117</v>
      </c>
      <c r="E2100" s="187">
        <v>10788.55</v>
      </c>
      <c r="F2100" s="146">
        <f t="shared" si="36"/>
        <v>8.2332985995914321E-3</v>
      </c>
    </row>
    <row r="2101" spans="4:6" ht="15.6" x14ac:dyDescent="0.3">
      <c r="D2101" s="145">
        <v>43116</v>
      </c>
      <c r="E2101" s="187">
        <v>10700.45</v>
      </c>
      <c r="F2101" s="146">
        <f t="shared" si="36"/>
        <v>-3.8262634349789382E-3</v>
      </c>
    </row>
    <row r="2102" spans="4:6" ht="15.6" x14ac:dyDescent="0.3">
      <c r="D2102" s="145">
        <v>43115</v>
      </c>
      <c r="E2102" s="187">
        <v>10741.55</v>
      </c>
      <c r="F2102" s="146">
        <f t="shared" si="36"/>
        <v>5.6454066705675654E-3</v>
      </c>
    </row>
    <row r="2103" spans="4:6" ht="15.6" x14ac:dyDescent="0.3">
      <c r="D2103" s="145">
        <v>43112</v>
      </c>
      <c r="E2103" s="187">
        <v>10681.25</v>
      </c>
      <c r="F2103" s="146">
        <f t="shared" si="36"/>
        <v>2.8212783536125663E-3</v>
      </c>
    </row>
    <row r="2104" spans="4:6" ht="15.6" x14ac:dyDescent="0.3">
      <c r="D2104" s="145">
        <v>43111</v>
      </c>
      <c r="E2104" s="187">
        <v>10651.2</v>
      </c>
      <c r="F2104" s="146">
        <f t="shared" si="36"/>
        <v>1.7870243223414572E-3</v>
      </c>
    </row>
    <row r="2105" spans="4:6" ht="15.6" x14ac:dyDescent="0.3">
      <c r="D2105" s="145">
        <v>43110</v>
      </c>
      <c r="E2105" s="187">
        <v>10632.2</v>
      </c>
      <c r="F2105" s="146">
        <f t="shared" si="36"/>
        <v>-4.5125505311638392E-4</v>
      </c>
    </row>
    <row r="2106" spans="4:6" ht="15.6" x14ac:dyDescent="0.3">
      <c r="D2106" s="145">
        <v>43109</v>
      </c>
      <c r="E2106" s="187">
        <v>10637</v>
      </c>
      <c r="F2106" s="146">
        <f t="shared" si="36"/>
        <v>1.2613426710341713E-3</v>
      </c>
    </row>
    <row r="2107" spans="4:6" ht="15.6" x14ac:dyDescent="0.3">
      <c r="D2107" s="145">
        <v>43108</v>
      </c>
      <c r="E2107" s="187">
        <v>10623.6</v>
      </c>
      <c r="F2107" s="146">
        <f t="shared" si="36"/>
        <v>6.132296604270282E-3</v>
      </c>
    </row>
    <row r="2108" spans="4:6" ht="15.6" x14ac:dyDescent="0.3">
      <c r="D2108" s="145">
        <v>43105</v>
      </c>
      <c r="E2108" s="187">
        <v>10558.85</v>
      </c>
      <c r="F2108" s="146">
        <f t="shared" si="36"/>
        <v>5.1452669255960259E-3</v>
      </c>
    </row>
    <row r="2109" spans="4:6" ht="15.6" x14ac:dyDescent="0.3">
      <c r="D2109" s="145">
        <v>43104</v>
      </c>
      <c r="E2109" s="187">
        <v>10504.8</v>
      </c>
      <c r="F2109" s="146">
        <f t="shared" si="36"/>
        <v>5.8985751493794147E-3</v>
      </c>
    </row>
    <row r="2110" spans="4:6" ht="15.6" x14ac:dyDescent="0.3">
      <c r="D2110" s="145">
        <v>43103</v>
      </c>
      <c r="E2110" s="187">
        <v>10443.200000000001</v>
      </c>
      <c r="F2110" s="146">
        <f t="shared" si="36"/>
        <v>9.5765260194280444E-5</v>
      </c>
    </row>
    <row r="2111" spans="4:6" ht="15.6" x14ac:dyDescent="0.3">
      <c r="D2111" s="145">
        <v>43102</v>
      </c>
      <c r="E2111" s="187">
        <v>10442.200000000001</v>
      </c>
      <c r="F2111" s="146">
        <f t="shared" si="36"/>
        <v>6.3724480262195016E-4</v>
      </c>
    </row>
    <row r="2112" spans="4:6" ht="15.6" x14ac:dyDescent="0.3">
      <c r="D2112" s="145">
        <v>43101</v>
      </c>
      <c r="E2112" s="187">
        <v>10435.549999999999</v>
      </c>
      <c r="F2112" s="146">
        <f t="shared" si="36"/>
        <v>-9.0354867197813826E-3</v>
      </c>
    </row>
    <row r="2113" spans="4:6" ht="15.6" x14ac:dyDescent="0.3">
      <c r="D2113" s="145">
        <v>43098</v>
      </c>
      <c r="E2113" s="187">
        <v>10530.7</v>
      </c>
      <c r="F2113" s="146">
        <f t="shared" si="36"/>
        <v>5.03917769782114E-3</v>
      </c>
    </row>
    <row r="2114" spans="4:6" ht="15.6" x14ac:dyDescent="0.3">
      <c r="D2114" s="145">
        <v>43097</v>
      </c>
      <c r="E2114" s="187">
        <v>10477.9</v>
      </c>
      <c r="F2114" s="146">
        <f t="shared" si="36"/>
        <v>-1.2248885923313857E-3</v>
      </c>
    </row>
    <row r="2115" spans="4:6" ht="15.6" x14ac:dyDescent="0.3">
      <c r="D2115" s="145">
        <v>43096</v>
      </c>
      <c r="E2115" s="187">
        <v>10490.75</v>
      </c>
      <c r="F2115" s="146">
        <f t="shared" si="36"/>
        <v>-3.8693443479086431E-3</v>
      </c>
    </row>
    <row r="2116" spans="4:6" ht="15.6" x14ac:dyDescent="0.3">
      <c r="D2116" s="145">
        <v>43095</v>
      </c>
      <c r="E2116" s="187">
        <v>10531.5</v>
      </c>
      <c r="F2116" s="146">
        <f t="shared" si="36"/>
        <v>3.6691127418277958E-3</v>
      </c>
    </row>
    <row r="2117" spans="4:6" ht="15.6" x14ac:dyDescent="0.3">
      <c r="D2117" s="145">
        <v>43091</v>
      </c>
      <c r="E2117" s="187">
        <v>10493</v>
      </c>
      <c r="F2117" s="146">
        <f t="shared" si="36"/>
        <v>5.047747670086089E-3</v>
      </c>
    </row>
    <row r="2118" spans="4:6" ht="15.6" x14ac:dyDescent="0.3">
      <c r="D2118" s="145">
        <v>43090</v>
      </c>
      <c r="E2118" s="187">
        <v>10440.299999999999</v>
      </c>
      <c r="F2118" s="146">
        <f t="shared" si="36"/>
        <v>-3.7341299477233747E-4</v>
      </c>
    </row>
    <row r="2119" spans="4:6" ht="15.6" x14ac:dyDescent="0.3">
      <c r="D2119" s="145">
        <v>43089</v>
      </c>
      <c r="E2119" s="187">
        <v>10444.200000000001</v>
      </c>
      <c r="F2119" s="146">
        <f t="shared" si="36"/>
        <v>-1.8158880648367903E-3</v>
      </c>
    </row>
    <row r="2120" spans="4:6" ht="15.6" x14ac:dyDescent="0.3">
      <c r="D2120" s="145">
        <v>43088</v>
      </c>
      <c r="E2120" s="187">
        <v>10463.200000000001</v>
      </c>
      <c r="F2120" s="146">
        <f t="shared" si="36"/>
        <v>7.1664059679943382E-3</v>
      </c>
    </row>
    <row r="2121" spans="4:6" ht="15.6" x14ac:dyDescent="0.3">
      <c r="D2121" s="145">
        <v>43087</v>
      </c>
      <c r="E2121" s="187">
        <v>10388.75</v>
      </c>
      <c r="F2121" s="146">
        <f t="shared" si="36"/>
        <v>5.3710110565408087E-3</v>
      </c>
    </row>
    <row r="2122" spans="4:6" ht="15.6" x14ac:dyDescent="0.3">
      <c r="D2122" s="145">
        <v>43084</v>
      </c>
      <c r="E2122" s="187">
        <v>10333.25</v>
      </c>
      <c r="F2122" s="146">
        <f t="shared" si="36"/>
        <v>7.9154514684796062E-3</v>
      </c>
    </row>
    <row r="2123" spans="4:6" ht="15.6" x14ac:dyDescent="0.3">
      <c r="D2123" s="145">
        <v>43083</v>
      </c>
      <c r="E2123" s="187">
        <v>10252.1</v>
      </c>
      <c r="F2123" s="146">
        <f t="shared" si="36"/>
        <v>5.8030305260008408E-3</v>
      </c>
    </row>
    <row r="2124" spans="4:6" ht="15.6" x14ac:dyDescent="0.3">
      <c r="D2124" s="145">
        <v>43082</v>
      </c>
      <c r="E2124" s="187">
        <v>10192.950000000001</v>
      </c>
      <c r="F2124" s="146">
        <f t="shared" si="36"/>
        <v>-4.6093074808473133E-3</v>
      </c>
    </row>
    <row r="2125" spans="4:6" ht="15.6" x14ac:dyDescent="0.3">
      <c r="D2125" s="145">
        <v>43081</v>
      </c>
      <c r="E2125" s="187">
        <v>10240.15</v>
      </c>
      <c r="F2125" s="146">
        <f t="shared" si="36"/>
        <v>-7.9536922667055032E-3</v>
      </c>
    </row>
    <row r="2126" spans="4:6" ht="15.6" x14ac:dyDescent="0.3">
      <c r="D2126" s="145">
        <v>43080</v>
      </c>
      <c r="E2126" s="187">
        <v>10322.25</v>
      </c>
      <c r="F2126" s="146">
        <f t="shared" si="36"/>
        <v>5.5135329959623558E-3</v>
      </c>
    </row>
    <row r="2127" spans="4:6" ht="15.6" x14ac:dyDescent="0.3">
      <c r="D2127" s="145">
        <v>43077</v>
      </c>
      <c r="E2127" s="187">
        <v>10265.65</v>
      </c>
      <c r="F2127" s="146">
        <f t="shared" si="36"/>
        <v>9.7327549745738207E-3</v>
      </c>
    </row>
    <row r="2128" spans="4:6" ht="15.6" x14ac:dyDescent="0.3">
      <c r="D2128" s="145">
        <v>43076</v>
      </c>
      <c r="E2128" s="187">
        <v>10166.700000000001</v>
      </c>
      <c r="F2128" s="146">
        <f t="shared" si="36"/>
        <v>1.2206170786830173E-2</v>
      </c>
    </row>
    <row r="2129" spans="4:6" ht="15.6" x14ac:dyDescent="0.3">
      <c r="D2129" s="145">
        <v>43075</v>
      </c>
      <c r="E2129" s="187">
        <v>10044.1</v>
      </c>
      <c r="F2129" s="146">
        <f t="shared" si="36"/>
        <v>-7.3283423516912194E-3</v>
      </c>
    </row>
    <row r="2130" spans="4:6" ht="15.6" x14ac:dyDescent="0.3">
      <c r="D2130" s="145">
        <v>43074</v>
      </c>
      <c r="E2130" s="187">
        <v>10118.25</v>
      </c>
      <c r="F2130" s="146">
        <f t="shared" si="36"/>
        <v>-9.3801683493377475E-4</v>
      </c>
    </row>
    <row r="2131" spans="4:6" ht="15.6" x14ac:dyDescent="0.3">
      <c r="D2131" s="145">
        <v>43073</v>
      </c>
      <c r="E2131" s="187">
        <v>10127.75</v>
      </c>
      <c r="F2131" s="146">
        <f t="shared" si="36"/>
        <v>5.8784010749080018E-4</v>
      </c>
    </row>
    <row r="2132" spans="4:6" ht="15.6" x14ac:dyDescent="0.3">
      <c r="D2132" s="145">
        <v>43070</v>
      </c>
      <c r="E2132" s="187">
        <v>10121.799999999999</v>
      </c>
      <c r="F2132" s="146">
        <f t="shared" si="36"/>
        <v>-1.0242946057076874E-2</v>
      </c>
    </row>
    <row r="2133" spans="4:6" ht="15.6" x14ac:dyDescent="0.3">
      <c r="D2133" s="145">
        <v>43069</v>
      </c>
      <c r="E2133" s="187">
        <v>10226.549999999999</v>
      </c>
      <c r="F2133" s="146">
        <f t="shared" si="36"/>
        <v>-1.3005124839547189E-2</v>
      </c>
    </row>
    <row r="2134" spans="4:6" ht="15.6" x14ac:dyDescent="0.3">
      <c r="D2134" s="145">
        <v>43068</v>
      </c>
      <c r="E2134" s="187">
        <v>10361.299999999999</v>
      </c>
      <c r="F2134" s="146">
        <f t="shared" si="36"/>
        <v>-8.6304573178086486E-4</v>
      </c>
    </row>
    <row r="2135" spans="4:6" ht="15.6" x14ac:dyDescent="0.3">
      <c r="D2135" s="145">
        <v>43067</v>
      </c>
      <c r="E2135" s="187">
        <v>10370.25</v>
      </c>
      <c r="F2135" s="146">
        <f t="shared" si="36"/>
        <v>-2.8174296003191657E-3</v>
      </c>
    </row>
    <row r="2136" spans="4:6" ht="15.6" x14ac:dyDescent="0.3">
      <c r="D2136" s="145">
        <v>43066</v>
      </c>
      <c r="E2136" s="187">
        <v>10399.549999999999</v>
      </c>
      <c r="F2136" s="146">
        <f t="shared" si="36"/>
        <v>9.4805432303135539E-4</v>
      </c>
    </row>
    <row r="2137" spans="4:6" ht="15.6" x14ac:dyDescent="0.3">
      <c r="D2137" s="145">
        <v>43063</v>
      </c>
      <c r="E2137" s="187">
        <v>10389.700000000001</v>
      </c>
      <c r="F2137" s="146">
        <f t="shared" si="36"/>
        <v>3.9569996376374039E-3</v>
      </c>
    </row>
    <row r="2138" spans="4:6" ht="15.6" x14ac:dyDescent="0.3">
      <c r="D2138" s="145">
        <v>43062</v>
      </c>
      <c r="E2138" s="187">
        <v>10348.75</v>
      </c>
      <c r="F2138" s="146">
        <f t="shared" si="36"/>
        <v>6.2365237906458759E-4</v>
      </c>
    </row>
    <row r="2139" spans="4:6" ht="15.6" x14ac:dyDescent="0.3">
      <c r="D2139" s="145">
        <v>43061</v>
      </c>
      <c r="E2139" s="187">
        <v>10342.299999999999</v>
      </c>
      <c r="F2139" s="146">
        <f t="shared" ref="F2139:F2202" si="37">E2139/E2140-1</f>
        <v>1.4912510046576344E-3</v>
      </c>
    </row>
    <row r="2140" spans="4:6" ht="15.6" x14ac:dyDescent="0.3">
      <c r="D2140" s="145">
        <v>43060</v>
      </c>
      <c r="E2140" s="187">
        <v>10326.9</v>
      </c>
      <c r="F2140" s="146">
        <f t="shared" si="37"/>
        <v>2.7333414249302024E-3</v>
      </c>
    </row>
    <row r="2141" spans="4:6" ht="15.6" x14ac:dyDescent="0.3">
      <c r="D2141" s="145">
        <v>43059</v>
      </c>
      <c r="E2141" s="187">
        <v>10298.75</v>
      </c>
      <c r="F2141" s="146">
        <f t="shared" si="37"/>
        <v>1.4732194951183608E-3</v>
      </c>
    </row>
    <row r="2142" spans="4:6" ht="15.6" x14ac:dyDescent="0.3">
      <c r="D2142" s="145">
        <v>43056</v>
      </c>
      <c r="E2142" s="187">
        <v>10283.6</v>
      </c>
      <c r="F2142" s="146">
        <f t="shared" si="37"/>
        <v>6.7402530654201431E-3</v>
      </c>
    </row>
    <row r="2143" spans="4:6" ht="15.6" x14ac:dyDescent="0.3">
      <c r="D2143" s="145">
        <v>43055</v>
      </c>
      <c r="E2143" s="187">
        <v>10214.75</v>
      </c>
      <c r="F2143" s="146">
        <f t="shared" si="37"/>
        <v>9.557177519383675E-3</v>
      </c>
    </row>
    <row r="2144" spans="4:6" ht="15.6" x14ac:dyDescent="0.3">
      <c r="D2144" s="145">
        <v>43054</v>
      </c>
      <c r="E2144" s="187">
        <v>10118.049999999999</v>
      </c>
      <c r="F2144" s="146">
        <f t="shared" si="37"/>
        <v>-6.7294288575188155E-3</v>
      </c>
    </row>
    <row r="2145" spans="4:6" ht="15.6" x14ac:dyDescent="0.3">
      <c r="D2145" s="145">
        <v>43053</v>
      </c>
      <c r="E2145" s="187">
        <v>10186.6</v>
      </c>
      <c r="F2145" s="146">
        <f t="shared" si="37"/>
        <v>-3.750629587430776E-3</v>
      </c>
    </row>
    <row r="2146" spans="4:6" ht="15.6" x14ac:dyDescent="0.3">
      <c r="D2146" s="145">
        <v>43052</v>
      </c>
      <c r="E2146" s="187">
        <v>10224.950000000001</v>
      </c>
      <c r="F2146" s="146">
        <f t="shared" si="37"/>
        <v>-9.3782546564292746E-3</v>
      </c>
    </row>
    <row r="2147" spans="4:6" ht="15.6" x14ac:dyDescent="0.3">
      <c r="D2147" s="145">
        <v>43049</v>
      </c>
      <c r="E2147" s="187">
        <v>10321.75</v>
      </c>
      <c r="F2147" s="146">
        <f t="shared" si="37"/>
        <v>1.2416395462195862E-3</v>
      </c>
    </row>
    <row r="2148" spans="4:6" ht="15.6" x14ac:dyDescent="0.3">
      <c r="D2148" s="145">
        <v>43048</v>
      </c>
      <c r="E2148" s="187">
        <v>10308.950000000001</v>
      </c>
      <c r="F2148" s="146">
        <f t="shared" si="37"/>
        <v>5.6293463649481623E-4</v>
      </c>
    </row>
    <row r="2149" spans="4:6" ht="15.6" x14ac:dyDescent="0.3">
      <c r="D2149" s="145">
        <v>43047</v>
      </c>
      <c r="E2149" s="187">
        <v>10303.15</v>
      </c>
      <c r="F2149" s="146">
        <f t="shared" si="37"/>
        <v>-4.5409969903817959E-3</v>
      </c>
    </row>
    <row r="2150" spans="4:6" ht="15.6" x14ac:dyDescent="0.3">
      <c r="D2150" s="145">
        <v>43046</v>
      </c>
      <c r="E2150" s="187">
        <v>10350.15</v>
      </c>
      <c r="F2150" s="146">
        <f t="shared" si="37"/>
        <v>-9.7255975047360055E-3</v>
      </c>
    </row>
    <row r="2151" spans="4:6" ht="15.6" x14ac:dyDescent="0.3">
      <c r="D2151" s="145">
        <v>43045</v>
      </c>
      <c r="E2151" s="187">
        <v>10451.799999999999</v>
      </c>
      <c r="F2151" s="146">
        <f t="shared" si="37"/>
        <v>-6.6969624491819424E-5</v>
      </c>
    </row>
    <row r="2152" spans="4:6" ht="15.6" x14ac:dyDescent="0.3">
      <c r="D2152" s="145">
        <v>43042</v>
      </c>
      <c r="E2152" s="187">
        <v>10452.5</v>
      </c>
      <c r="F2152" s="146">
        <f t="shared" si="37"/>
        <v>2.7533145302098827E-3</v>
      </c>
    </row>
    <row r="2153" spans="4:6" ht="15.6" x14ac:dyDescent="0.3">
      <c r="D2153" s="145">
        <v>43041</v>
      </c>
      <c r="E2153" s="187">
        <v>10423.799999999999</v>
      </c>
      <c r="F2153" s="146">
        <f t="shared" si="37"/>
        <v>-1.599540251903675E-3</v>
      </c>
    </row>
    <row r="2154" spans="4:6" ht="15.6" x14ac:dyDescent="0.3">
      <c r="D2154" s="145">
        <v>43040</v>
      </c>
      <c r="E2154" s="187">
        <v>10440.5</v>
      </c>
      <c r="F2154" s="146">
        <f t="shared" si="37"/>
        <v>1.0178707923330865E-2</v>
      </c>
    </row>
    <row r="2155" spans="4:6" ht="15.6" x14ac:dyDescent="0.3">
      <c r="D2155" s="145">
        <v>43039</v>
      </c>
      <c r="E2155" s="187">
        <v>10335.299999999999</v>
      </c>
      <c r="F2155" s="146">
        <f t="shared" si="37"/>
        <v>-2.7355227164175266E-3</v>
      </c>
    </row>
    <row r="2156" spans="4:6" ht="15.6" x14ac:dyDescent="0.3">
      <c r="D2156" s="145">
        <v>43038</v>
      </c>
      <c r="E2156" s="187">
        <v>10363.65</v>
      </c>
      <c r="F2156" s="146">
        <f t="shared" si="37"/>
        <v>3.9329461738537574E-3</v>
      </c>
    </row>
    <row r="2157" spans="4:6" ht="15.6" x14ac:dyDescent="0.3">
      <c r="D2157" s="145">
        <v>43035</v>
      </c>
      <c r="E2157" s="187">
        <v>10323.049999999999</v>
      </c>
      <c r="F2157" s="146">
        <f t="shared" si="37"/>
        <v>-2.00603259923815E-3</v>
      </c>
    </row>
    <row r="2158" spans="4:6" ht="15.6" x14ac:dyDescent="0.3">
      <c r="D2158" s="145">
        <v>43034</v>
      </c>
      <c r="E2158" s="187">
        <v>10343.799999999999</v>
      </c>
      <c r="F2158" s="146">
        <f t="shared" si="37"/>
        <v>4.7060080521788006E-3</v>
      </c>
    </row>
    <row r="2159" spans="4:6" ht="15.6" x14ac:dyDescent="0.3">
      <c r="D2159" s="145">
        <v>43033</v>
      </c>
      <c r="E2159" s="187">
        <v>10295.35</v>
      </c>
      <c r="F2159" s="146">
        <f t="shared" si="37"/>
        <v>8.5866551720759077E-3</v>
      </c>
    </row>
    <row r="2160" spans="4:6" ht="15.6" x14ac:dyDescent="0.3">
      <c r="D2160" s="145">
        <v>43032</v>
      </c>
      <c r="E2160" s="187">
        <v>10207.700000000001</v>
      </c>
      <c r="F2160" s="146">
        <f t="shared" si="37"/>
        <v>2.2435283779338455E-3</v>
      </c>
    </row>
    <row r="2161" spans="4:6" ht="15.6" x14ac:dyDescent="0.3">
      <c r="D2161" s="145">
        <v>43031</v>
      </c>
      <c r="E2161" s="187">
        <v>10184.85</v>
      </c>
      <c r="F2161" s="146">
        <f t="shared" si="37"/>
        <v>3.7746820347803745E-3</v>
      </c>
    </row>
    <row r="2162" spans="4:6" ht="15.6" x14ac:dyDescent="0.3">
      <c r="D2162" s="145">
        <v>43027</v>
      </c>
      <c r="E2162" s="187">
        <v>10146.549999999999</v>
      </c>
      <c r="F2162" s="146">
        <f t="shared" si="37"/>
        <v>-6.2972230519497963E-3</v>
      </c>
    </row>
    <row r="2163" spans="4:6" ht="15.6" x14ac:dyDescent="0.3">
      <c r="D2163" s="145">
        <v>43026</v>
      </c>
      <c r="E2163" s="187">
        <v>10210.85</v>
      </c>
      <c r="F2163" s="146">
        <f t="shared" si="37"/>
        <v>-2.3059373000015038E-3</v>
      </c>
    </row>
    <row r="2164" spans="4:6" ht="15.6" x14ac:dyDescent="0.3">
      <c r="D2164" s="145">
        <v>43025</v>
      </c>
      <c r="E2164" s="187">
        <v>10234.450000000001</v>
      </c>
      <c r="F2164" s="146">
        <f t="shared" si="37"/>
        <v>3.5187692127247594E-4</v>
      </c>
    </row>
    <row r="2165" spans="4:6" ht="15.6" x14ac:dyDescent="0.3">
      <c r="D2165" s="145">
        <v>43024</v>
      </c>
      <c r="E2165" s="187">
        <v>10230.85</v>
      </c>
      <c r="F2165" s="146">
        <f t="shared" si="37"/>
        <v>6.2355851270474716E-3</v>
      </c>
    </row>
    <row r="2166" spans="4:6" ht="15.6" x14ac:dyDescent="0.3">
      <c r="D2166" s="145">
        <v>43021</v>
      </c>
      <c r="E2166" s="187">
        <v>10167.450000000001</v>
      </c>
      <c r="F2166" s="146">
        <f t="shared" si="37"/>
        <v>7.0371617606277415E-3</v>
      </c>
    </row>
    <row r="2167" spans="4:6" ht="15.6" x14ac:dyDescent="0.3">
      <c r="D2167" s="145">
        <v>43020</v>
      </c>
      <c r="E2167" s="187">
        <v>10096.4</v>
      </c>
      <c r="F2167" s="146">
        <f t="shared" si="37"/>
        <v>1.1176989023315542E-2</v>
      </c>
    </row>
    <row r="2168" spans="4:6" ht="15.6" x14ac:dyDescent="0.3">
      <c r="D2168" s="145">
        <v>43019</v>
      </c>
      <c r="E2168" s="187">
        <v>9984.7999999999993</v>
      </c>
      <c r="F2168" s="146">
        <f t="shared" si="37"/>
        <v>-3.2095597961456779E-3</v>
      </c>
    </row>
    <row r="2169" spans="4:6" ht="15.6" x14ac:dyDescent="0.3">
      <c r="D2169" s="145">
        <v>43018</v>
      </c>
      <c r="E2169" s="187">
        <v>10016.950000000001</v>
      </c>
      <c r="F2169" s="146">
        <f t="shared" si="37"/>
        <v>2.8231760730823563E-3</v>
      </c>
    </row>
    <row r="2170" spans="4:6" ht="15.6" x14ac:dyDescent="0.3">
      <c r="D2170" s="145">
        <v>43017</v>
      </c>
      <c r="E2170" s="187">
        <v>9988.75</v>
      </c>
      <c r="F2170" s="146">
        <f t="shared" si="37"/>
        <v>9.0684088700054843E-4</v>
      </c>
    </row>
    <row r="2171" spans="4:6" ht="15.6" x14ac:dyDescent="0.3">
      <c r="D2171" s="145">
        <v>43014</v>
      </c>
      <c r="E2171" s="187">
        <v>9979.7000000000007</v>
      </c>
      <c r="F2171" s="146">
        <f t="shared" si="37"/>
        <v>9.202422967629742E-3</v>
      </c>
    </row>
    <row r="2172" spans="4:6" ht="15.6" x14ac:dyDescent="0.3">
      <c r="D2172" s="145">
        <v>43013</v>
      </c>
      <c r="E2172" s="187">
        <v>9888.7000000000007</v>
      </c>
      <c r="F2172" s="146">
        <f t="shared" si="37"/>
        <v>-2.6424875692139249E-3</v>
      </c>
    </row>
    <row r="2173" spans="4:6" ht="15.6" x14ac:dyDescent="0.3">
      <c r="D2173" s="145">
        <v>43012</v>
      </c>
      <c r="E2173" s="187">
        <v>9914.9</v>
      </c>
      <c r="F2173" s="146">
        <f t="shared" si="37"/>
        <v>5.61894619402592E-3</v>
      </c>
    </row>
    <row r="2174" spans="4:6" ht="15.6" x14ac:dyDescent="0.3">
      <c r="D2174" s="145">
        <v>43011</v>
      </c>
      <c r="E2174" s="187">
        <v>9859.5</v>
      </c>
      <c r="F2174" s="146">
        <f t="shared" si="37"/>
        <v>7.2431195472284493E-3</v>
      </c>
    </row>
    <row r="2175" spans="4:6" ht="15.6" x14ac:dyDescent="0.3">
      <c r="D2175" s="145">
        <v>43007</v>
      </c>
      <c r="E2175" s="187">
        <v>9788.6</v>
      </c>
      <c r="F2175" s="146">
        <f t="shared" si="37"/>
        <v>2.0114751329467495E-3</v>
      </c>
    </row>
    <row r="2176" spans="4:6" ht="15.6" x14ac:dyDescent="0.3">
      <c r="D2176" s="145">
        <v>43006</v>
      </c>
      <c r="E2176" s="187">
        <v>9768.9500000000007</v>
      </c>
      <c r="F2176" s="146">
        <f t="shared" si="37"/>
        <v>3.4101122152891961E-3</v>
      </c>
    </row>
    <row r="2177" spans="4:6" ht="15.6" x14ac:dyDescent="0.3">
      <c r="D2177" s="145">
        <v>43005</v>
      </c>
      <c r="E2177" s="187">
        <v>9735.75</v>
      </c>
      <c r="F2177" s="146">
        <f t="shared" si="37"/>
        <v>-1.3751709466646389E-2</v>
      </c>
    </row>
    <row r="2178" spans="4:6" ht="15.6" x14ac:dyDescent="0.3">
      <c r="D2178" s="145">
        <v>43004</v>
      </c>
      <c r="E2178" s="187">
        <v>9871.5</v>
      </c>
      <c r="F2178" s="146">
        <f t="shared" si="37"/>
        <v>-1.1141948422910275E-4</v>
      </c>
    </row>
    <row r="2179" spans="4:6" ht="15.6" x14ac:dyDescent="0.3">
      <c r="D2179" s="145">
        <v>43003</v>
      </c>
      <c r="E2179" s="187">
        <v>9872.6</v>
      </c>
      <c r="F2179" s="146">
        <f t="shared" si="37"/>
        <v>-9.2127975593110367E-3</v>
      </c>
    </row>
    <row r="2180" spans="4:6" ht="15.6" x14ac:dyDescent="0.3">
      <c r="D2180" s="145">
        <v>43000</v>
      </c>
      <c r="E2180" s="187">
        <v>9964.4</v>
      </c>
      <c r="F2180" s="146">
        <f t="shared" si="37"/>
        <v>-1.5560319702822567E-2</v>
      </c>
    </row>
    <row r="2181" spans="4:6" ht="15.6" x14ac:dyDescent="0.3">
      <c r="D2181" s="145">
        <v>42999</v>
      </c>
      <c r="E2181" s="187">
        <v>10121.9</v>
      </c>
      <c r="F2181" s="146">
        <f t="shared" si="37"/>
        <v>-1.8982068108646111E-3</v>
      </c>
    </row>
    <row r="2182" spans="4:6" ht="15.6" x14ac:dyDescent="0.3">
      <c r="D2182" s="145">
        <v>42998</v>
      </c>
      <c r="E2182" s="187">
        <v>10141.15</v>
      </c>
      <c r="F2182" s="146">
        <f t="shared" si="37"/>
        <v>-6.3069410843008544E-4</v>
      </c>
    </row>
    <row r="2183" spans="4:6" ht="15.6" x14ac:dyDescent="0.3">
      <c r="D2183" s="145">
        <v>42997</v>
      </c>
      <c r="E2183" s="187">
        <v>10147.549999999999</v>
      </c>
      <c r="F2183" s="146">
        <f t="shared" si="37"/>
        <v>-5.4663107819297174E-4</v>
      </c>
    </row>
    <row r="2184" spans="4:6" ht="15.6" x14ac:dyDescent="0.3">
      <c r="D2184" s="145">
        <v>42996</v>
      </c>
      <c r="E2184" s="187">
        <v>10153.1</v>
      </c>
      <c r="F2184" s="146">
        <f t="shared" si="37"/>
        <v>6.7126737660381242E-3</v>
      </c>
    </row>
    <row r="2185" spans="4:6" ht="15.6" x14ac:dyDescent="0.3">
      <c r="D2185" s="145">
        <v>42993</v>
      </c>
      <c r="E2185" s="187">
        <v>10085.4</v>
      </c>
      <c r="F2185" s="146">
        <f t="shared" si="37"/>
        <v>-1.1896972220581947E-4</v>
      </c>
    </row>
    <row r="2186" spans="4:6" ht="15.6" x14ac:dyDescent="0.3">
      <c r="D2186" s="145">
        <v>42992</v>
      </c>
      <c r="E2186" s="187">
        <v>10086.6</v>
      </c>
      <c r="F2186" s="146">
        <f t="shared" si="37"/>
        <v>7.2425664480668672E-4</v>
      </c>
    </row>
    <row r="2187" spans="4:6" ht="15.6" x14ac:dyDescent="0.3">
      <c r="D2187" s="145">
        <v>42991</v>
      </c>
      <c r="E2187" s="187">
        <v>10079.299999999999</v>
      </c>
      <c r="F2187" s="146">
        <f t="shared" si="37"/>
        <v>-1.3623235790964916E-3</v>
      </c>
    </row>
    <row r="2188" spans="4:6" ht="15.6" x14ac:dyDescent="0.3">
      <c r="D2188" s="145">
        <v>42990</v>
      </c>
      <c r="E2188" s="187">
        <v>10093.049999999999</v>
      </c>
      <c r="F2188" s="146">
        <f t="shared" si="37"/>
        <v>8.6947396824921253E-3</v>
      </c>
    </row>
    <row r="2189" spans="4:6" ht="15.6" x14ac:dyDescent="0.3">
      <c r="D2189" s="145">
        <v>42989</v>
      </c>
      <c r="E2189" s="187">
        <v>10006.049999999999</v>
      </c>
      <c r="F2189" s="146">
        <f t="shared" si="37"/>
        <v>7.1717598743810118E-3</v>
      </c>
    </row>
    <row r="2190" spans="4:6" ht="15.6" x14ac:dyDescent="0.3">
      <c r="D2190" s="145">
        <v>42986</v>
      </c>
      <c r="E2190" s="187">
        <v>9934.7999999999993</v>
      </c>
      <c r="F2190" s="146">
        <f t="shared" si="37"/>
        <v>4.9345914863185847E-4</v>
      </c>
    </row>
    <row r="2191" spans="4:6" ht="15.6" x14ac:dyDescent="0.3">
      <c r="D2191" s="145">
        <v>42985</v>
      </c>
      <c r="E2191" s="187">
        <v>9929.9</v>
      </c>
      <c r="F2191" s="146">
        <f t="shared" si="37"/>
        <v>1.3815776204593178E-3</v>
      </c>
    </row>
    <row r="2192" spans="4:6" ht="15.6" x14ac:dyDescent="0.3">
      <c r="D2192" s="145">
        <v>42984</v>
      </c>
      <c r="E2192" s="187">
        <v>9916.2000000000007</v>
      </c>
      <c r="F2192" s="146">
        <f t="shared" si="37"/>
        <v>-3.6172906493037171E-3</v>
      </c>
    </row>
    <row r="2193" spans="4:6" ht="15.6" x14ac:dyDescent="0.3">
      <c r="D2193" s="145">
        <v>42983</v>
      </c>
      <c r="E2193" s="187">
        <v>9952.2000000000007</v>
      </c>
      <c r="F2193" s="146">
        <f t="shared" si="37"/>
        <v>3.9695950206046771E-3</v>
      </c>
    </row>
    <row r="2194" spans="4:6" ht="15.6" x14ac:dyDescent="0.3">
      <c r="D2194" s="145">
        <v>42982</v>
      </c>
      <c r="E2194" s="187">
        <v>9912.85</v>
      </c>
      <c r="F2194" s="146">
        <f t="shared" si="37"/>
        <v>-6.1707972409367207E-3</v>
      </c>
    </row>
    <row r="2195" spans="4:6" ht="15.6" x14ac:dyDescent="0.3">
      <c r="D2195" s="145">
        <v>42979</v>
      </c>
      <c r="E2195" s="187">
        <v>9974.4</v>
      </c>
      <c r="F2195" s="146">
        <f t="shared" si="37"/>
        <v>5.6967704856873969E-3</v>
      </c>
    </row>
    <row r="2196" spans="4:6" ht="15.6" x14ac:dyDescent="0.3">
      <c r="D2196" s="145">
        <v>42978</v>
      </c>
      <c r="E2196" s="187">
        <v>9917.9</v>
      </c>
      <c r="F2196" s="146">
        <f t="shared" si="37"/>
        <v>3.3891789081785806E-3</v>
      </c>
    </row>
    <row r="2197" spans="4:6" ht="15.6" x14ac:dyDescent="0.3">
      <c r="D2197" s="145">
        <v>42977</v>
      </c>
      <c r="E2197" s="187">
        <v>9884.4</v>
      </c>
      <c r="F2197" s="146">
        <f t="shared" si="37"/>
        <v>9.0189413079762026E-3</v>
      </c>
    </row>
    <row r="2198" spans="4:6" ht="15.6" x14ac:dyDescent="0.3">
      <c r="D2198" s="145">
        <v>42976</v>
      </c>
      <c r="E2198" s="187">
        <v>9796.0499999999993</v>
      </c>
      <c r="F2198" s="146">
        <f t="shared" si="37"/>
        <v>-1.1777701557582065E-2</v>
      </c>
    </row>
    <row r="2199" spans="4:6" ht="15.6" x14ac:dyDescent="0.3">
      <c r="D2199" s="145">
        <v>42975</v>
      </c>
      <c r="E2199" s="187">
        <v>9912.7999999999993</v>
      </c>
      <c r="F2199" s="146">
        <f t="shared" si="37"/>
        <v>5.6558503811992011E-3</v>
      </c>
    </row>
    <row r="2200" spans="4:6" ht="15.6" x14ac:dyDescent="0.3">
      <c r="D2200" s="145">
        <v>42971</v>
      </c>
      <c r="E2200" s="187">
        <v>9857.0499999999993</v>
      </c>
      <c r="F2200" s="146">
        <f t="shared" si="37"/>
        <v>4.6181172291293038E-4</v>
      </c>
    </row>
    <row r="2201" spans="4:6" ht="15.6" x14ac:dyDescent="0.3">
      <c r="D2201" s="145">
        <v>42970</v>
      </c>
      <c r="E2201" s="187">
        <v>9852.5</v>
      </c>
      <c r="F2201" s="146">
        <f t="shared" si="37"/>
        <v>8.9037483807876683E-3</v>
      </c>
    </row>
    <row r="2202" spans="4:6" ht="15.6" x14ac:dyDescent="0.3">
      <c r="D2202" s="145">
        <v>42969</v>
      </c>
      <c r="E2202" s="187">
        <v>9765.5499999999993</v>
      </c>
      <c r="F2202" s="146">
        <f t="shared" si="37"/>
        <v>1.1482056723408629E-3</v>
      </c>
    </row>
    <row r="2203" spans="4:6" ht="15.6" x14ac:dyDescent="0.3">
      <c r="D2203" s="145">
        <v>42968</v>
      </c>
      <c r="E2203" s="187">
        <v>9754.35</v>
      </c>
      <c r="F2203" s="146">
        <f t="shared" ref="F2203:F2266" si="38">E2203/E2204-1</f>
        <v>-8.4422713318559328E-3</v>
      </c>
    </row>
    <row r="2204" spans="4:6" ht="15.6" x14ac:dyDescent="0.3">
      <c r="D2204" s="145">
        <v>42965</v>
      </c>
      <c r="E2204" s="187">
        <v>9837.4</v>
      </c>
      <c r="F2204" s="146">
        <f t="shared" si="38"/>
        <v>-6.7395990569609765E-3</v>
      </c>
    </row>
    <row r="2205" spans="4:6" ht="15.6" x14ac:dyDescent="0.3">
      <c r="D2205" s="145">
        <v>42964</v>
      </c>
      <c r="E2205" s="187">
        <v>9904.15</v>
      </c>
      <c r="F2205" s="146">
        <f t="shared" si="38"/>
        <v>6.9210794863239222E-4</v>
      </c>
    </row>
    <row r="2206" spans="4:6" ht="15.6" x14ac:dyDescent="0.3">
      <c r="D2206" s="145">
        <v>42963</v>
      </c>
      <c r="E2206" s="187">
        <v>9897.2999999999993</v>
      </c>
      <c r="F2206" s="146">
        <f t="shared" si="38"/>
        <v>1.0531797042111934E-2</v>
      </c>
    </row>
    <row r="2207" spans="4:6" ht="15.6" x14ac:dyDescent="0.3">
      <c r="D2207" s="145">
        <v>42961</v>
      </c>
      <c r="E2207" s="187">
        <v>9794.15</v>
      </c>
      <c r="F2207" s="146">
        <f t="shared" si="38"/>
        <v>8.5832269226016056E-3</v>
      </c>
    </row>
    <row r="2208" spans="4:6" ht="15.6" x14ac:dyDescent="0.3">
      <c r="D2208" s="145">
        <v>42958</v>
      </c>
      <c r="E2208" s="187">
        <v>9710.7999999999993</v>
      </c>
      <c r="F2208" s="146">
        <f t="shared" si="38"/>
        <v>-1.1145337440492953E-2</v>
      </c>
    </row>
    <row r="2209" spans="4:6" ht="15.6" x14ac:dyDescent="0.3">
      <c r="D2209" s="145">
        <v>42957</v>
      </c>
      <c r="E2209" s="187">
        <v>9820.25</v>
      </c>
      <c r="F2209" s="146">
        <f t="shared" si="38"/>
        <v>-8.8614813207441578E-3</v>
      </c>
    </row>
    <row r="2210" spans="4:6" ht="15.6" x14ac:dyDescent="0.3">
      <c r="D2210" s="145">
        <v>42956</v>
      </c>
      <c r="E2210" s="187">
        <v>9908.0499999999993</v>
      </c>
      <c r="F2210" s="146">
        <f t="shared" si="38"/>
        <v>-7.0651547569536843E-3</v>
      </c>
    </row>
    <row r="2211" spans="4:6" ht="15.6" x14ac:dyDescent="0.3">
      <c r="D2211" s="145">
        <v>42955</v>
      </c>
      <c r="E2211" s="187">
        <v>9978.5499999999993</v>
      </c>
      <c r="F2211" s="146">
        <f t="shared" si="38"/>
        <v>-7.8399984091316322E-3</v>
      </c>
    </row>
    <row r="2212" spans="4:6" ht="15.6" x14ac:dyDescent="0.3">
      <c r="D2212" s="145">
        <v>42954</v>
      </c>
      <c r="E2212" s="187">
        <v>10057.4</v>
      </c>
      <c r="F2212" s="146">
        <f t="shared" si="38"/>
        <v>-8.9406341889852747E-4</v>
      </c>
    </row>
    <row r="2213" spans="4:6" ht="15.6" x14ac:dyDescent="0.3">
      <c r="D2213" s="145">
        <v>42951</v>
      </c>
      <c r="E2213" s="187">
        <v>10066.4</v>
      </c>
      <c r="F2213" s="146">
        <f t="shared" si="38"/>
        <v>5.2678094401141795E-3</v>
      </c>
    </row>
    <row r="2214" spans="4:6" ht="15.6" x14ac:dyDescent="0.3">
      <c r="D2214" s="145">
        <v>42950</v>
      </c>
      <c r="E2214" s="187">
        <v>10013.65</v>
      </c>
      <c r="F2214" s="146">
        <f t="shared" si="38"/>
        <v>-6.7301492833408139E-3</v>
      </c>
    </row>
    <row r="2215" spans="4:6" ht="15.6" x14ac:dyDescent="0.3">
      <c r="D2215" s="145">
        <v>42949</v>
      </c>
      <c r="E2215" s="187">
        <v>10081.5</v>
      </c>
      <c r="F2215" s="146">
        <f t="shared" si="38"/>
        <v>-3.2774243300558448E-3</v>
      </c>
    </row>
    <row r="2216" spans="4:6" ht="15.6" x14ac:dyDescent="0.3">
      <c r="D2216" s="145">
        <v>42948</v>
      </c>
      <c r="E2216" s="187">
        <v>10114.65</v>
      </c>
      <c r="F2216" s="146">
        <f t="shared" si="38"/>
        <v>3.7262704547935677E-3</v>
      </c>
    </row>
    <row r="2217" spans="4:6" ht="15.6" x14ac:dyDescent="0.3">
      <c r="D2217" s="145">
        <v>42947</v>
      </c>
      <c r="E2217" s="187">
        <v>10077.1</v>
      </c>
      <c r="F2217" s="146">
        <f t="shared" si="38"/>
        <v>6.2509361425933108E-3</v>
      </c>
    </row>
    <row r="2218" spans="4:6" ht="15.6" x14ac:dyDescent="0.3">
      <c r="D2218" s="145">
        <v>42944</v>
      </c>
      <c r="E2218" s="187">
        <v>10014.5</v>
      </c>
      <c r="F2218" s="146">
        <f t="shared" si="38"/>
        <v>-6.0375927469047408E-4</v>
      </c>
    </row>
    <row r="2219" spans="4:6" ht="15.6" x14ac:dyDescent="0.3">
      <c r="D2219" s="145">
        <v>42943</v>
      </c>
      <c r="E2219" s="187">
        <v>10020.549999999999</v>
      </c>
      <c r="F2219" s="146">
        <f t="shared" si="38"/>
        <v>-9.9793925544267026E-6</v>
      </c>
    </row>
    <row r="2220" spans="4:6" ht="15.6" x14ac:dyDescent="0.3">
      <c r="D2220" s="145">
        <v>42942</v>
      </c>
      <c r="E2220" s="187">
        <v>10020.65</v>
      </c>
      <c r="F2220" s="146">
        <f t="shared" si="38"/>
        <v>5.6299582018255467E-3</v>
      </c>
    </row>
    <row r="2221" spans="4:6" ht="15.6" x14ac:dyDescent="0.3">
      <c r="D2221" s="145">
        <v>42941</v>
      </c>
      <c r="E2221" s="187">
        <v>9964.5499999999993</v>
      </c>
      <c r="F2221" s="146">
        <f t="shared" si="38"/>
        <v>-1.8562369561736514E-4</v>
      </c>
    </row>
    <row r="2222" spans="4:6" ht="15.6" x14ac:dyDescent="0.3">
      <c r="D2222" s="145">
        <v>42940</v>
      </c>
      <c r="E2222" s="187">
        <v>9966.4</v>
      </c>
      <c r="F2222" s="146">
        <f t="shared" si="38"/>
        <v>5.1587201532992122E-3</v>
      </c>
    </row>
    <row r="2223" spans="4:6" ht="15.6" x14ac:dyDescent="0.3">
      <c r="D2223" s="145">
        <v>42937</v>
      </c>
      <c r="E2223" s="187">
        <v>9915.25</v>
      </c>
      <c r="F2223" s="146">
        <f t="shared" si="38"/>
        <v>4.2488327104412971E-3</v>
      </c>
    </row>
    <row r="2224" spans="4:6" ht="15.6" x14ac:dyDescent="0.3">
      <c r="D2224" s="145">
        <v>42936</v>
      </c>
      <c r="E2224" s="187">
        <v>9873.2999999999993</v>
      </c>
      <c r="F2224" s="146">
        <f t="shared" si="38"/>
        <v>-2.6566729968888758E-3</v>
      </c>
    </row>
    <row r="2225" spans="4:6" ht="15.6" x14ac:dyDescent="0.3">
      <c r="D2225" s="145">
        <v>42935</v>
      </c>
      <c r="E2225" s="187">
        <v>9899.6</v>
      </c>
      <c r="F2225" s="146">
        <f t="shared" si="38"/>
        <v>7.372432495688086E-3</v>
      </c>
    </row>
    <row r="2226" spans="4:6" ht="15.6" x14ac:dyDescent="0.3">
      <c r="D2226" s="145">
        <v>42934</v>
      </c>
      <c r="E2226" s="187">
        <v>9827.15</v>
      </c>
      <c r="F2226" s="146">
        <f t="shared" si="38"/>
        <v>-8.9552690362497689E-3</v>
      </c>
    </row>
    <row r="2227" spans="4:6" ht="15.6" x14ac:dyDescent="0.3">
      <c r="D2227" s="145">
        <v>42933</v>
      </c>
      <c r="E2227" s="187">
        <v>9915.9500000000007</v>
      </c>
      <c r="F2227" s="146">
        <f t="shared" si="38"/>
        <v>2.9940271181982947E-3</v>
      </c>
    </row>
    <row r="2228" spans="4:6" ht="15.6" x14ac:dyDescent="0.3">
      <c r="D2228" s="145">
        <v>42930</v>
      </c>
      <c r="E2228" s="187">
        <v>9886.35</v>
      </c>
      <c r="F2228" s="146">
        <f t="shared" si="38"/>
        <v>-5.4085748657972665E-4</v>
      </c>
    </row>
    <row r="2229" spans="4:6" ht="15.6" x14ac:dyDescent="0.3">
      <c r="D2229" s="145">
        <v>42929</v>
      </c>
      <c r="E2229" s="187">
        <v>9891.7000000000007</v>
      </c>
      <c r="F2229" s="146">
        <f t="shared" si="38"/>
        <v>7.7016330314483294E-3</v>
      </c>
    </row>
    <row r="2230" spans="4:6" ht="15.6" x14ac:dyDescent="0.3">
      <c r="D2230" s="145">
        <v>42928</v>
      </c>
      <c r="E2230" s="187">
        <v>9816.1</v>
      </c>
      <c r="F2230" s="146">
        <f t="shared" si="38"/>
        <v>3.0706975746088716E-3</v>
      </c>
    </row>
    <row r="2231" spans="4:6" ht="15.6" x14ac:dyDescent="0.3">
      <c r="D2231" s="145">
        <v>42927</v>
      </c>
      <c r="E2231" s="187">
        <v>9786.0499999999993</v>
      </c>
      <c r="F2231" s="146">
        <f t="shared" si="38"/>
        <v>1.5351471950302287E-3</v>
      </c>
    </row>
    <row r="2232" spans="4:6" ht="15.6" x14ac:dyDescent="0.3">
      <c r="D2232" s="145">
        <v>42926</v>
      </c>
      <c r="E2232" s="187">
        <v>9771.0499999999993</v>
      </c>
      <c r="F2232" s="146">
        <f t="shared" si="38"/>
        <v>1.0888907281342508E-2</v>
      </c>
    </row>
    <row r="2233" spans="4:6" ht="15.6" x14ac:dyDescent="0.3">
      <c r="D2233" s="145">
        <v>42923</v>
      </c>
      <c r="E2233" s="187">
        <v>9665.7999999999993</v>
      </c>
      <c r="F2233" s="146">
        <f t="shared" si="38"/>
        <v>-9.0443483159419191E-4</v>
      </c>
    </row>
    <row r="2234" spans="4:6" ht="15.6" x14ac:dyDescent="0.3">
      <c r="D2234" s="145">
        <v>42922</v>
      </c>
      <c r="E2234" s="187">
        <v>9674.5499999999993</v>
      </c>
      <c r="F2234" s="146">
        <f t="shared" si="38"/>
        <v>3.833942060263773E-3</v>
      </c>
    </row>
    <row r="2235" spans="4:6" ht="15.6" x14ac:dyDescent="0.3">
      <c r="D2235" s="145">
        <v>42921</v>
      </c>
      <c r="E2235" s="187">
        <v>9637.6</v>
      </c>
      <c r="F2235" s="146">
        <f t="shared" si="38"/>
        <v>2.5277480157699372E-3</v>
      </c>
    </row>
    <row r="2236" spans="4:6" ht="15.6" x14ac:dyDescent="0.3">
      <c r="D2236" s="145">
        <v>42920</v>
      </c>
      <c r="E2236" s="187">
        <v>9613.2999999999993</v>
      </c>
      <c r="F2236" s="146">
        <f t="shared" si="38"/>
        <v>-1.7680707228295844E-4</v>
      </c>
    </row>
    <row r="2237" spans="4:6" ht="15.6" x14ac:dyDescent="0.3">
      <c r="D2237" s="145">
        <v>42919</v>
      </c>
      <c r="E2237" s="187">
        <v>9615</v>
      </c>
      <c r="F2237" s="146">
        <f t="shared" si="38"/>
        <v>9.8835194151813965E-3</v>
      </c>
    </row>
    <row r="2238" spans="4:6" ht="15.6" x14ac:dyDescent="0.3">
      <c r="D2238" s="145">
        <v>42916</v>
      </c>
      <c r="E2238" s="187">
        <v>9520.9</v>
      </c>
      <c r="F2238" s="146">
        <f t="shared" si="38"/>
        <v>1.767658168579711E-3</v>
      </c>
    </row>
    <row r="2239" spans="4:6" ht="15.6" x14ac:dyDescent="0.3">
      <c r="D2239" s="145">
        <v>42915</v>
      </c>
      <c r="E2239" s="187">
        <v>9504.1</v>
      </c>
      <c r="F2239" s="146">
        <f t="shared" si="38"/>
        <v>1.3538785723692381E-3</v>
      </c>
    </row>
    <row r="2240" spans="4:6" ht="15.6" x14ac:dyDescent="0.3">
      <c r="D2240" s="145">
        <v>42914</v>
      </c>
      <c r="E2240" s="187">
        <v>9491.25</v>
      </c>
      <c r="F2240" s="146">
        <f t="shared" si="38"/>
        <v>-2.1185104190760695E-3</v>
      </c>
    </row>
    <row r="2241" spans="4:6" ht="15.6" x14ac:dyDescent="0.3">
      <c r="D2241" s="145">
        <v>42913</v>
      </c>
      <c r="E2241" s="187">
        <v>9511.4</v>
      </c>
      <c r="F2241" s="146">
        <f t="shared" si="38"/>
        <v>-6.6371103765555661E-3</v>
      </c>
    </row>
    <row r="2242" spans="4:6" ht="15.6" x14ac:dyDescent="0.3">
      <c r="D2242" s="145">
        <v>42909</v>
      </c>
      <c r="E2242" s="187">
        <v>9574.9500000000007</v>
      </c>
      <c r="F2242" s="146">
        <f t="shared" si="38"/>
        <v>-5.7165109034267303E-3</v>
      </c>
    </row>
    <row r="2243" spans="4:6" ht="15.6" x14ac:dyDescent="0.3">
      <c r="D2243" s="145">
        <v>42908</v>
      </c>
      <c r="E2243" s="187">
        <v>9630</v>
      </c>
      <c r="F2243" s="146">
        <f t="shared" si="38"/>
        <v>-3.7369207772797175E-4</v>
      </c>
    </row>
    <row r="2244" spans="4:6" ht="15.6" x14ac:dyDescent="0.3">
      <c r="D2244" s="145">
        <v>42907</v>
      </c>
      <c r="E2244" s="187">
        <v>9633.6</v>
      </c>
      <c r="F2244" s="146">
        <f t="shared" si="38"/>
        <v>-2.0614284974361796E-3</v>
      </c>
    </row>
    <row r="2245" spans="4:6" ht="15.6" x14ac:dyDescent="0.3">
      <c r="D2245" s="145">
        <v>42906</v>
      </c>
      <c r="E2245" s="187">
        <v>9653.5</v>
      </c>
      <c r="F2245" s="146">
        <f t="shared" si="38"/>
        <v>-4.1936101806350212E-4</v>
      </c>
    </row>
    <row r="2246" spans="4:6" ht="15.6" x14ac:dyDescent="0.3">
      <c r="D2246" s="145">
        <v>42905</v>
      </c>
      <c r="E2246" s="187">
        <v>9657.5499999999993</v>
      </c>
      <c r="F2246" s="146">
        <f t="shared" si="38"/>
        <v>7.2486063380978738E-3</v>
      </c>
    </row>
    <row r="2247" spans="4:6" ht="15.6" x14ac:dyDescent="0.3">
      <c r="D2247" s="145">
        <v>42902</v>
      </c>
      <c r="E2247" s="187">
        <v>9588.0499999999993</v>
      </c>
      <c r="F2247" s="146">
        <f t="shared" si="38"/>
        <v>1.0440538522977771E-3</v>
      </c>
    </row>
    <row r="2248" spans="4:6" ht="15.6" x14ac:dyDescent="0.3">
      <c r="D2248" s="145">
        <v>42901</v>
      </c>
      <c r="E2248" s="187">
        <v>9578.0499999999993</v>
      </c>
      <c r="F2248" s="146">
        <f t="shared" si="38"/>
        <v>-4.1692009378103689E-3</v>
      </c>
    </row>
    <row r="2249" spans="4:6" ht="15.6" x14ac:dyDescent="0.3">
      <c r="D2249" s="145">
        <v>42900</v>
      </c>
      <c r="E2249" s="187">
        <v>9618.15</v>
      </c>
      <c r="F2249" s="146">
        <f t="shared" si="38"/>
        <v>1.1710333198013956E-3</v>
      </c>
    </row>
    <row r="2250" spans="4:6" ht="15.6" x14ac:dyDescent="0.3">
      <c r="D2250" s="145">
        <v>42899</v>
      </c>
      <c r="E2250" s="187">
        <v>9606.9</v>
      </c>
      <c r="F2250" s="146">
        <f t="shared" si="38"/>
        <v>-9.8789567821633284E-4</v>
      </c>
    </row>
    <row r="2251" spans="4:6" ht="15.6" x14ac:dyDescent="0.3">
      <c r="D2251" s="145">
        <v>42898</v>
      </c>
      <c r="E2251" s="187">
        <v>9616.4</v>
      </c>
      <c r="F2251" s="146">
        <f t="shared" si="38"/>
        <v>-5.3629146950069373E-3</v>
      </c>
    </row>
    <row r="2252" spans="4:6" ht="15.6" x14ac:dyDescent="0.3">
      <c r="D2252" s="145">
        <v>42895</v>
      </c>
      <c r="E2252" s="187">
        <v>9668.25</v>
      </c>
      <c r="F2252" s="146">
        <f t="shared" si="38"/>
        <v>2.1767861307626646E-3</v>
      </c>
    </row>
    <row r="2253" spans="4:6" ht="15.6" x14ac:dyDescent="0.3">
      <c r="D2253" s="145">
        <v>42894</v>
      </c>
      <c r="E2253" s="187">
        <v>9647.25</v>
      </c>
      <c r="F2253" s="146">
        <f t="shared" si="38"/>
        <v>-1.7229069009405684E-3</v>
      </c>
    </row>
    <row r="2254" spans="4:6" ht="15.6" x14ac:dyDescent="0.3">
      <c r="D2254" s="145">
        <v>42893</v>
      </c>
      <c r="E2254" s="187">
        <v>9663.9</v>
      </c>
      <c r="F2254" s="146">
        <f t="shared" si="38"/>
        <v>2.7757168872539761E-3</v>
      </c>
    </row>
    <row r="2255" spans="4:6" ht="15.6" x14ac:dyDescent="0.3">
      <c r="D2255" s="145">
        <v>42892</v>
      </c>
      <c r="E2255" s="187">
        <v>9637.15</v>
      </c>
      <c r="F2255" s="146">
        <f t="shared" si="38"/>
        <v>-3.9224400781388002E-3</v>
      </c>
    </row>
    <row r="2256" spans="4:6" ht="15.6" x14ac:dyDescent="0.3">
      <c r="D2256" s="145">
        <v>42891</v>
      </c>
      <c r="E2256" s="187">
        <v>9675.1</v>
      </c>
      <c r="F2256" s="146">
        <f t="shared" si="38"/>
        <v>2.2375304293780207E-3</v>
      </c>
    </row>
    <row r="2257" spans="4:6" ht="15.6" x14ac:dyDescent="0.3">
      <c r="D2257" s="145">
        <v>42888</v>
      </c>
      <c r="E2257" s="187">
        <v>9653.5</v>
      </c>
      <c r="F2257" s="146">
        <f t="shared" si="38"/>
        <v>3.8893106352886342E-3</v>
      </c>
    </row>
    <row r="2258" spans="4:6" ht="15.6" x14ac:dyDescent="0.3">
      <c r="D2258" s="145">
        <v>42887</v>
      </c>
      <c r="E2258" s="187">
        <v>9616.1</v>
      </c>
      <c r="F2258" s="146">
        <f t="shared" si="38"/>
        <v>-5.3527348317528034E-4</v>
      </c>
    </row>
    <row r="2259" spans="4:6" ht="15.6" x14ac:dyDescent="0.3">
      <c r="D2259" s="145">
        <v>42886</v>
      </c>
      <c r="E2259" s="187">
        <v>9621.25</v>
      </c>
      <c r="F2259" s="146">
        <f t="shared" si="38"/>
        <v>-3.428731732911805E-4</v>
      </c>
    </row>
    <row r="2260" spans="4:6" ht="15.6" x14ac:dyDescent="0.3">
      <c r="D2260" s="145">
        <v>42885</v>
      </c>
      <c r="E2260" s="187">
        <v>9624.5499999999993</v>
      </c>
      <c r="F2260" s="146">
        <f t="shared" si="38"/>
        <v>2.0458307738757675E-3</v>
      </c>
    </row>
    <row r="2261" spans="4:6" ht="15.6" x14ac:dyDescent="0.3">
      <c r="D2261" s="145">
        <v>42884</v>
      </c>
      <c r="E2261" s="187">
        <v>9604.9</v>
      </c>
      <c r="F2261" s="146">
        <f t="shared" si="38"/>
        <v>1.0213546497690462E-3</v>
      </c>
    </row>
    <row r="2262" spans="4:6" ht="15.6" x14ac:dyDescent="0.3">
      <c r="D2262" s="145">
        <v>42881</v>
      </c>
      <c r="E2262" s="187">
        <v>9595.1</v>
      </c>
      <c r="F2262" s="146">
        <f t="shared" si="38"/>
        <v>8.9749993427798991E-3</v>
      </c>
    </row>
    <row r="2263" spans="4:6" ht="15.6" x14ac:dyDescent="0.3">
      <c r="D2263" s="145">
        <v>42880</v>
      </c>
      <c r="E2263" s="187">
        <v>9509.75</v>
      </c>
      <c r="F2263" s="146">
        <f t="shared" si="38"/>
        <v>1.5939234339862551E-2</v>
      </c>
    </row>
    <row r="2264" spans="4:6" ht="15.6" x14ac:dyDescent="0.3">
      <c r="D2264" s="145">
        <v>42879</v>
      </c>
      <c r="E2264" s="187">
        <v>9360.5499999999993</v>
      </c>
      <c r="F2264" s="146">
        <f t="shared" si="38"/>
        <v>-2.7274228517549792E-3</v>
      </c>
    </row>
    <row r="2265" spans="4:6" ht="15.6" x14ac:dyDescent="0.3">
      <c r="D2265" s="145">
        <v>42878</v>
      </c>
      <c r="E2265" s="187">
        <v>9386.15</v>
      </c>
      <c r="F2265" s="146">
        <f t="shared" si="38"/>
        <v>-5.5200911185866453E-3</v>
      </c>
    </row>
    <row r="2266" spans="4:6" ht="15.6" x14ac:dyDescent="0.3">
      <c r="D2266" s="145">
        <v>42877</v>
      </c>
      <c r="E2266" s="187">
        <v>9438.25</v>
      </c>
      <c r="F2266" s="146">
        <f t="shared" si="38"/>
        <v>1.0978054497821077E-3</v>
      </c>
    </row>
    <row r="2267" spans="4:6" ht="15.6" x14ac:dyDescent="0.3">
      <c r="D2267" s="145">
        <v>42874</v>
      </c>
      <c r="E2267" s="187">
        <v>9427.9</v>
      </c>
      <c r="F2267" s="146">
        <f t="shared" ref="F2267:F2330" si="39">E2267/E2268-1</f>
        <v>-1.643786222951249E-4</v>
      </c>
    </row>
    <row r="2268" spans="4:6" ht="15.6" x14ac:dyDescent="0.3">
      <c r="D2268" s="145">
        <v>42873</v>
      </c>
      <c r="E2268" s="187">
        <v>9429.4500000000007</v>
      </c>
      <c r="F2268" s="146">
        <f t="shared" si="39"/>
        <v>-1.0109440201558906E-2</v>
      </c>
    </row>
    <row r="2269" spans="4:6" ht="15.6" x14ac:dyDescent="0.3">
      <c r="D2269" s="145">
        <v>42872</v>
      </c>
      <c r="E2269" s="187">
        <v>9525.75</v>
      </c>
      <c r="F2269" s="146">
        <f t="shared" si="39"/>
        <v>1.4192225814082526E-3</v>
      </c>
    </row>
    <row r="2270" spans="4:6" ht="15.6" x14ac:dyDescent="0.3">
      <c r="D2270" s="145">
        <v>42871</v>
      </c>
      <c r="E2270" s="187">
        <v>9512.25</v>
      </c>
      <c r="F2270" s="146">
        <f t="shared" si="39"/>
        <v>7.0775192157028766E-3</v>
      </c>
    </row>
    <row r="2271" spans="4:6" ht="15.6" x14ac:dyDescent="0.3">
      <c r="D2271" s="145">
        <v>42870</v>
      </c>
      <c r="E2271" s="187">
        <v>9445.4</v>
      </c>
      <c r="F2271" s="146">
        <f t="shared" si="39"/>
        <v>4.7335893371911464E-3</v>
      </c>
    </row>
    <row r="2272" spans="4:6" ht="15.6" x14ac:dyDescent="0.3">
      <c r="D2272" s="145">
        <v>42867</v>
      </c>
      <c r="E2272" s="187">
        <v>9400.9</v>
      </c>
      <c r="F2272" s="146">
        <f t="shared" si="39"/>
        <v>-2.2817965698760379E-3</v>
      </c>
    </row>
    <row r="2273" spans="4:6" ht="15.6" x14ac:dyDescent="0.3">
      <c r="D2273" s="145">
        <v>42866</v>
      </c>
      <c r="E2273" s="187">
        <v>9422.4</v>
      </c>
      <c r="F2273" s="146">
        <f t="shared" si="39"/>
        <v>1.6051364365972098E-3</v>
      </c>
    </row>
    <row r="2274" spans="4:6" ht="15.6" x14ac:dyDescent="0.3">
      <c r="D2274" s="145">
        <v>42865</v>
      </c>
      <c r="E2274" s="187">
        <v>9407.2999999999993</v>
      </c>
      <c r="F2274" s="146">
        <f t="shared" si="39"/>
        <v>9.708216832942318E-3</v>
      </c>
    </row>
    <row r="2275" spans="4:6" ht="15.6" x14ac:dyDescent="0.3">
      <c r="D2275" s="145">
        <v>42864</v>
      </c>
      <c r="E2275" s="187">
        <v>9316.85</v>
      </c>
      <c r="F2275" s="146">
        <f t="shared" si="39"/>
        <v>3.0062110467521386E-4</v>
      </c>
    </row>
    <row r="2276" spans="4:6" ht="15.6" x14ac:dyDescent="0.3">
      <c r="D2276" s="145">
        <v>42863</v>
      </c>
      <c r="E2276" s="187">
        <v>9314.0499999999993</v>
      </c>
      <c r="F2276" s="146">
        <f t="shared" si="39"/>
        <v>3.0962919884118811E-3</v>
      </c>
    </row>
    <row r="2277" spans="4:6" ht="15.6" x14ac:dyDescent="0.3">
      <c r="D2277" s="145">
        <v>42860</v>
      </c>
      <c r="E2277" s="187">
        <v>9285.2999999999993</v>
      </c>
      <c r="F2277" s="146">
        <f t="shared" si="39"/>
        <v>-7.9701706214810875E-3</v>
      </c>
    </row>
    <row r="2278" spans="4:6" ht="15.6" x14ac:dyDescent="0.3">
      <c r="D2278" s="145">
        <v>42859</v>
      </c>
      <c r="E2278" s="187">
        <v>9359.9</v>
      </c>
      <c r="F2278" s="146">
        <f t="shared" si="39"/>
        <v>5.1492974081690512E-3</v>
      </c>
    </row>
    <row r="2279" spans="4:6" ht="15.6" x14ac:dyDescent="0.3">
      <c r="D2279" s="145">
        <v>42858</v>
      </c>
      <c r="E2279" s="187">
        <v>9311.9500000000007</v>
      </c>
      <c r="F2279" s="146">
        <f t="shared" si="39"/>
        <v>-1.9862998990727299E-4</v>
      </c>
    </row>
    <row r="2280" spans="4:6" ht="15.6" x14ac:dyDescent="0.3">
      <c r="D2280" s="145">
        <v>42857</v>
      </c>
      <c r="E2280" s="187">
        <v>9313.7999999999993</v>
      </c>
      <c r="F2280" s="146">
        <f t="shared" si="39"/>
        <v>1.0479307398389981E-3</v>
      </c>
    </row>
    <row r="2281" spans="4:6" ht="15.6" x14ac:dyDescent="0.3">
      <c r="D2281" s="145">
        <v>42853</v>
      </c>
      <c r="E2281" s="187">
        <v>9304.0499999999993</v>
      </c>
      <c r="F2281" s="146">
        <f t="shared" si="39"/>
        <v>-4.0782903293139494E-3</v>
      </c>
    </row>
    <row r="2282" spans="4:6" ht="15.6" x14ac:dyDescent="0.3">
      <c r="D2282" s="145">
        <v>42852</v>
      </c>
      <c r="E2282" s="187">
        <v>9342.15</v>
      </c>
      <c r="F2282" s="146">
        <f t="shared" si="39"/>
        <v>-1.0372279281640751E-3</v>
      </c>
    </row>
    <row r="2283" spans="4:6" ht="15.6" x14ac:dyDescent="0.3">
      <c r="D2283" s="145">
        <v>42851</v>
      </c>
      <c r="E2283" s="187">
        <v>9351.85</v>
      </c>
      <c r="F2283" s="146">
        <f t="shared" si="39"/>
        <v>4.8621408462812266E-3</v>
      </c>
    </row>
    <row r="2284" spans="4:6" ht="15.6" x14ac:dyDescent="0.3">
      <c r="D2284" s="145">
        <v>42850</v>
      </c>
      <c r="E2284" s="187">
        <v>9306.6</v>
      </c>
      <c r="F2284" s="146">
        <f t="shared" si="39"/>
        <v>9.6171057556180273E-3</v>
      </c>
    </row>
    <row r="2285" spans="4:6" ht="15.6" x14ac:dyDescent="0.3">
      <c r="D2285" s="145">
        <v>42849</v>
      </c>
      <c r="E2285" s="187">
        <v>9217.9500000000007</v>
      </c>
      <c r="F2285" s="146">
        <f t="shared" si="39"/>
        <v>1.0806632015264217E-2</v>
      </c>
    </row>
    <row r="2286" spans="4:6" ht="15.6" x14ac:dyDescent="0.3">
      <c r="D2286" s="145">
        <v>42846</v>
      </c>
      <c r="E2286" s="187">
        <v>9119.4</v>
      </c>
      <c r="F2286" s="146">
        <f t="shared" si="39"/>
        <v>-1.8606891116851321E-3</v>
      </c>
    </row>
    <row r="2287" spans="4:6" ht="15.6" x14ac:dyDescent="0.3">
      <c r="D2287" s="145">
        <v>42845</v>
      </c>
      <c r="E2287" s="187">
        <v>9136.4</v>
      </c>
      <c r="F2287" s="146">
        <f t="shared" si="39"/>
        <v>3.6139946174547077E-3</v>
      </c>
    </row>
    <row r="2288" spans="4:6" ht="15.6" x14ac:dyDescent="0.3">
      <c r="D2288" s="145">
        <v>42844</v>
      </c>
      <c r="E2288" s="187">
        <v>9103.5</v>
      </c>
      <c r="F2288" s="146">
        <f t="shared" si="39"/>
        <v>-1.812161249402644E-4</v>
      </c>
    </row>
    <row r="2289" spans="4:6" ht="15.6" x14ac:dyDescent="0.3">
      <c r="D2289" s="145">
        <v>42843</v>
      </c>
      <c r="E2289" s="187">
        <v>9105.15</v>
      </c>
      <c r="F2289" s="146">
        <f t="shared" si="39"/>
        <v>-3.7366100248377165E-3</v>
      </c>
    </row>
    <row r="2290" spans="4:6" ht="15.6" x14ac:dyDescent="0.3">
      <c r="D2290" s="145">
        <v>42842</v>
      </c>
      <c r="E2290" s="187">
        <v>9139.2999999999993</v>
      </c>
      <c r="F2290" s="146">
        <f t="shared" si="39"/>
        <v>-1.2567207238711742E-3</v>
      </c>
    </row>
    <row r="2291" spans="4:6" ht="15.6" x14ac:dyDescent="0.3">
      <c r="D2291" s="145">
        <v>42838</v>
      </c>
      <c r="E2291" s="187">
        <v>9150.7999999999993</v>
      </c>
      <c r="F2291" s="146">
        <f t="shared" si="39"/>
        <v>-5.7206808316447866E-3</v>
      </c>
    </row>
    <row r="2292" spans="4:6" ht="15.6" x14ac:dyDescent="0.3">
      <c r="D2292" s="145">
        <v>42837</v>
      </c>
      <c r="E2292" s="187">
        <v>9203.4500000000007</v>
      </c>
      <c r="F2292" s="146">
        <f t="shared" si="39"/>
        <v>-3.6321316444731799E-3</v>
      </c>
    </row>
    <row r="2293" spans="4:6" ht="15.6" x14ac:dyDescent="0.3">
      <c r="D2293" s="145">
        <v>42836</v>
      </c>
      <c r="E2293" s="187">
        <v>9237</v>
      </c>
      <c r="F2293" s="146">
        <f t="shared" si="39"/>
        <v>6.0502426087380989E-3</v>
      </c>
    </row>
    <row r="2294" spans="4:6" ht="15.6" x14ac:dyDescent="0.3">
      <c r="D2294" s="145">
        <v>42835</v>
      </c>
      <c r="E2294" s="187">
        <v>9181.4500000000007</v>
      </c>
      <c r="F2294" s="146">
        <f t="shared" si="39"/>
        <v>-1.8318602350432256E-3</v>
      </c>
    </row>
    <row r="2295" spans="4:6" ht="15.6" x14ac:dyDescent="0.3">
      <c r="D2295" s="145">
        <v>42832</v>
      </c>
      <c r="E2295" s="187">
        <v>9198.2999999999993</v>
      </c>
      <c r="F2295" s="146">
        <f t="shared" si="39"/>
        <v>-6.8722029378264216E-3</v>
      </c>
    </row>
    <row r="2296" spans="4:6" ht="15.6" x14ac:dyDescent="0.3">
      <c r="D2296" s="145">
        <v>42831</v>
      </c>
      <c r="E2296" s="187">
        <v>9261.9500000000007</v>
      </c>
      <c r="F2296" s="146">
        <f t="shared" si="39"/>
        <v>-3.453802690727148E-4</v>
      </c>
    </row>
    <row r="2297" spans="4:6" ht="15.6" x14ac:dyDescent="0.3">
      <c r="D2297" s="145">
        <v>42830</v>
      </c>
      <c r="E2297" s="187">
        <v>9265.15</v>
      </c>
      <c r="F2297" s="146">
        <f t="shared" si="39"/>
        <v>2.9552330899504931E-3</v>
      </c>
    </row>
    <row r="2298" spans="4:6" ht="15.6" x14ac:dyDescent="0.3">
      <c r="D2298" s="145">
        <v>42828</v>
      </c>
      <c r="E2298" s="187">
        <v>9237.85</v>
      </c>
      <c r="F2298" s="146">
        <f t="shared" si="39"/>
        <v>6.9873279738383864E-3</v>
      </c>
    </row>
    <row r="2299" spans="4:6" ht="15.6" x14ac:dyDescent="0.3">
      <c r="D2299" s="145">
        <v>42825</v>
      </c>
      <c r="E2299" s="187">
        <v>9173.75</v>
      </c>
      <c r="F2299" s="146">
        <f t="shared" si="39"/>
        <v>0</v>
      </c>
    </row>
    <row r="2300" spans="4:6" ht="15.6" x14ac:dyDescent="0.3">
      <c r="D2300" s="145">
        <v>42824</v>
      </c>
      <c r="E2300" s="187">
        <v>9173.75</v>
      </c>
      <c r="F2300" s="146">
        <f t="shared" si="39"/>
        <v>3.2754434698922807E-3</v>
      </c>
    </row>
    <row r="2301" spans="4:6" ht="15.6" x14ac:dyDescent="0.3">
      <c r="D2301" s="145">
        <v>42823</v>
      </c>
      <c r="E2301" s="187">
        <v>9143.7999999999993</v>
      </c>
      <c r="F2301" s="146">
        <f t="shared" si="39"/>
        <v>4.7248593530238026E-3</v>
      </c>
    </row>
    <row r="2302" spans="4:6" ht="15.6" x14ac:dyDescent="0.3">
      <c r="D2302" s="145">
        <v>42822</v>
      </c>
      <c r="E2302" s="187">
        <v>9100.7999999999993</v>
      </c>
      <c r="F2302" s="146">
        <f t="shared" si="39"/>
        <v>6.1469066466190991E-3</v>
      </c>
    </row>
    <row r="2303" spans="4:6" ht="15.6" x14ac:dyDescent="0.3">
      <c r="D2303" s="145">
        <v>42821</v>
      </c>
      <c r="E2303" s="187">
        <v>9045.2000000000007</v>
      </c>
      <c r="F2303" s="146">
        <f t="shared" si="39"/>
        <v>-6.8950373298198864E-3</v>
      </c>
    </row>
    <row r="2304" spans="4:6" ht="15.6" x14ac:dyDescent="0.3">
      <c r="D2304" s="145">
        <v>42818</v>
      </c>
      <c r="E2304" s="187">
        <v>9108</v>
      </c>
      <c r="F2304" s="146">
        <f t="shared" si="39"/>
        <v>2.3882108228872045E-3</v>
      </c>
    </row>
    <row r="2305" spans="4:6" ht="15.6" x14ac:dyDescent="0.3">
      <c r="D2305" s="145">
        <v>42817</v>
      </c>
      <c r="E2305" s="187">
        <v>9086.2999999999993</v>
      </c>
      <c r="F2305" s="146">
        <f t="shared" si="39"/>
        <v>6.1846308877187006E-3</v>
      </c>
    </row>
    <row r="2306" spans="4:6" ht="15.6" x14ac:dyDescent="0.3">
      <c r="D2306" s="145">
        <v>42816</v>
      </c>
      <c r="E2306" s="187">
        <v>9030.4500000000007</v>
      </c>
      <c r="F2306" s="146">
        <f t="shared" si="39"/>
        <v>-9.9819108699226167E-3</v>
      </c>
    </row>
    <row r="2307" spans="4:6" ht="15.6" x14ac:dyDescent="0.3">
      <c r="D2307" s="145">
        <v>42815</v>
      </c>
      <c r="E2307" s="187">
        <v>9121.5</v>
      </c>
      <c r="F2307" s="146">
        <f t="shared" si="39"/>
        <v>-5.861825273780763E-4</v>
      </c>
    </row>
    <row r="2308" spans="4:6" ht="15.6" x14ac:dyDescent="0.3">
      <c r="D2308" s="145">
        <v>42814</v>
      </c>
      <c r="E2308" s="187">
        <v>9126.85</v>
      </c>
      <c r="F2308" s="146">
        <f t="shared" si="39"/>
        <v>-3.6244343644411536E-3</v>
      </c>
    </row>
    <row r="2309" spans="4:6" ht="15.6" x14ac:dyDescent="0.3">
      <c r="D2309" s="145">
        <v>42811</v>
      </c>
      <c r="E2309" s="187">
        <v>9160.0499999999993</v>
      </c>
      <c r="F2309" s="146">
        <f t="shared" si="39"/>
        <v>6.9370855501027506E-4</v>
      </c>
    </row>
    <row r="2310" spans="4:6" ht="15.6" x14ac:dyDescent="0.3">
      <c r="D2310" s="145">
        <v>42810</v>
      </c>
      <c r="E2310" s="187">
        <v>9153.7000000000007</v>
      </c>
      <c r="F2310" s="146">
        <f t="shared" si="39"/>
        <v>7.5840965128568527E-3</v>
      </c>
    </row>
    <row r="2311" spans="4:6" ht="15.6" x14ac:dyDescent="0.3">
      <c r="D2311" s="145">
        <v>42809</v>
      </c>
      <c r="E2311" s="187">
        <v>9084.7999999999993</v>
      </c>
      <c r="F2311" s="146">
        <f t="shared" si="39"/>
        <v>-2.4210410476510624E-4</v>
      </c>
    </row>
    <row r="2312" spans="4:6" ht="15.6" x14ac:dyDescent="0.3">
      <c r="D2312" s="145">
        <v>42808</v>
      </c>
      <c r="E2312" s="187">
        <v>9087</v>
      </c>
      <c r="F2312" s="146">
        <f t="shared" si="39"/>
        <v>1.7062974632186423E-2</v>
      </c>
    </row>
    <row r="2313" spans="4:6" ht="15.6" x14ac:dyDescent="0.3">
      <c r="D2313" s="145">
        <v>42804</v>
      </c>
      <c r="E2313" s="187">
        <v>8934.5499999999993</v>
      </c>
      <c r="F2313" s="146">
        <f t="shared" si="39"/>
        <v>8.457488517978895E-4</v>
      </c>
    </row>
    <row r="2314" spans="4:6" ht="15.6" x14ac:dyDescent="0.3">
      <c r="D2314" s="145">
        <v>42803</v>
      </c>
      <c r="E2314" s="187">
        <v>8927</v>
      </c>
      <c r="F2314" s="146">
        <f t="shared" si="39"/>
        <v>3.0254473740254362E-4</v>
      </c>
    </row>
    <row r="2315" spans="4:6" ht="15.6" x14ac:dyDescent="0.3">
      <c r="D2315" s="145">
        <v>42802</v>
      </c>
      <c r="E2315" s="187">
        <v>8924.2999999999993</v>
      </c>
      <c r="F2315" s="146">
        <f t="shared" si="39"/>
        <v>-2.5260145972347825E-3</v>
      </c>
    </row>
    <row r="2316" spans="4:6" ht="15.6" x14ac:dyDescent="0.3">
      <c r="D2316" s="145">
        <v>42801</v>
      </c>
      <c r="E2316" s="187">
        <v>8946.9</v>
      </c>
      <c r="F2316" s="146">
        <f t="shared" si="39"/>
        <v>-1.8463872727577657E-3</v>
      </c>
    </row>
    <row r="2317" spans="4:6" ht="15.6" x14ac:dyDescent="0.3">
      <c r="D2317" s="145">
        <v>42800</v>
      </c>
      <c r="E2317" s="187">
        <v>8963.4500000000007</v>
      </c>
      <c r="F2317" s="146">
        <f t="shared" si="39"/>
        <v>7.4065332591557453E-3</v>
      </c>
    </row>
    <row r="2318" spans="4:6" ht="15.6" x14ac:dyDescent="0.3">
      <c r="D2318" s="145">
        <v>42797</v>
      </c>
      <c r="E2318" s="187">
        <v>8897.5499999999993</v>
      </c>
      <c r="F2318" s="146">
        <f t="shared" si="39"/>
        <v>-2.4719795499883457E-4</v>
      </c>
    </row>
    <row r="2319" spans="4:6" ht="15.6" x14ac:dyDescent="0.3">
      <c r="D2319" s="145">
        <v>42796</v>
      </c>
      <c r="E2319" s="187">
        <v>8899.75</v>
      </c>
      <c r="F2319" s="146">
        <f t="shared" si="39"/>
        <v>-5.1476670616378284E-3</v>
      </c>
    </row>
    <row r="2320" spans="4:6" ht="15.6" x14ac:dyDescent="0.3">
      <c r="D2320" s="145">
        <v>42795</v>
      </c>
      <c r="E2320" s="187">
        <v>8945.7999999999993</v>
      </c>
      <c r="F2320" s="146">
        <f t="shared" si="39"/>
        <v>7.4552907788638656E-3</v>
      </c>
    </row>
    <row r="2321" spans="4:6" ht="15.6" x14ac:dyDescent="0.3">
      <c r="D2321" s="145">
        <v>42794</v>
      </c>
      <c r="E2321" s="187">
        <v>8879.6</v>
      </c>
      <c r="F2321" s="146">
        <f t="shared" si="39"/>
        <v>-1.9220609889060158E-3</v>
      </c>
    </row>
    <row r="2322" spans="4:6" ht="15.6" x14ac:dyDescent="0.3">
      <c r="D2322" s="145">
        <v>42793</v>
      </c>
      <c r="E2322" s="187">
        <v>8896.7000000000007</v>
      </c>
      <c r="F2322" s="146">
        <f t="shared" si="39"/>
        <v>-4.7877398064768428E-3</v>
      </c>
    </row>
    <row r="2323" spans="4:6" ht="15.6" x14ac:dyDescent="0.3">
      <c r="D2323" s="145">
        <v>42789</v>
      </c>
      <c r="E2323" s="187">
        <v>8939.5</v>
      </c>
      <c r="F2323" s="146">
        <f t="shared" si="39"/>
        <v>1.4114642261031651E-3</v>
      </c>
    </row>
    <row r="2324" spans="4:6" ht="15.6" x14ac:dyDescent="0.3">
      <c r="D2324" s="145">
        <v>42788</v>
      </c>
      <c r="E2324" s="187">
        <v>8926.9</v>
      </c>
      <c r="F2324" s="146">
        <f t="shared" si="39"/>
        <v>2.1385631774220037E-3</v>
      </c>
    </row>
    <row r="2325" spans="4:6" ht="15.6" x14ac:dyDescent="0.3">
      <c r="D2325" s="145">
        <v>42787</v>
      </c>
      <c r="E2325" s="187">
        <v>8907.85</v>
      </c>
      <c r="F2325" s="146">
        <f t="shared" si="39"/>
        <v>3.2266420398232576E-3</v>
      </c>
    </row>
    <row r="2326" spans="4:6" ht="15.6" x14ac:dyDescent="0.3">
      <c r="D2326" s="145">
        <v>42786</v>
      </c>
      <c r="E2326" s="187">
        <v>8879.2000000000007</v>
      </c>
      <c r="F2326" s="146">
        <f t="shared" si="39"/>
        <v>6.5180180690795897E-3</v>
      </c>
    </row>
    <row r="2327" spans="4:6" ht="15.6" x14ac:dyDescent="0.3">
      <c r="D2327" s="145">
        <v>42783</v>
      </c>
      <c r="E2327" s="187">
        <v>8821.7000000000007</v>
      </c>
      <c r="F2327" s="146">
        <f t="shared" si="39"/>
        <v>4.9783549783550818E-3</v>
      </c>
    </row>
    <row r="2328" spans="4:6" ht="15.6" x14ac:dyDescent="0.3">
      <c r="D2328" s="145">
        <v>42782</v>
      </c>
      <c r="E2328" s="187">
        <v>8778</v>
      </c>
      <c r="F2328" s="146">
        <f t="shared" si="39"/>
        <v>6.1090925762490311E-3</v>
      </c>
    </row>
    <row r="2329" spans="4:6" ht="15.6" x14ac:dyDescent="0.3">
      <c r="D2329" s="145">
        <v>42781</v>
      </c>
      <c r="E2329" s="187">
        <v>8724.7000000000007</v>
      </c>
      <c r="F2329" s="146">
        <f t="shared" si="39"/>
        <v>-7.6885456592699075E-3</v>
      </c>
    </row>
    <row r="2330" spans="4:6" ht="15.6" x14ac:dyDescent="0.3">
      <c r="D2330" s="145">
        <v>42780</v>
      </c>
      <c r="E2330" s="187">
        <v>8792.2999999999993</v>
      </c>
      <c r="F2330" s="146">
        <f t="shared" si="39"/>
        <v>-1.4480326630740281E-3</v>
      </c>
    </row>
    <row r="2331" spans="4:6" ht="15.6" x14ac:dyDescent="0.3">
      <c r="D2331" s="145">
        <v>42779</v>
      </c>
      <c r="E2331" s="187">
        <v>8805.0499999999993</v>
      </c>
      <c r="F2331" s="146">
        <f t="shared" ref="F2331:F2394" si="40">E2331/E2332-1</f>
        <v>1.307776722711429E-3</v>
      </c>
    </row>
    <row r="2332" spans="4:6" ht="15.6" x14ac:dyDescent="0.3">
      <c r="D2332" s="145">
        <v>42776</v>
      </c>
      <c r="E2332" s="187">
        <v>8793.5499999999993</v>
      </c>
      <c r="F2332" s="146">
        <f t="shared" si="40"/>
        <v>1.7258270299826961E-3</v>
      </c>
    </row>
    <row r="2333" spans="4:6" ht="15.6" x14ac:dyDescent="0.3">
      <c r="D2333" s="145">
        <v>42775</v>
      </c>
      <c r="E2333" s="187">
        <v>8778.4</v>
      </c>
      <c r="F2333" s="146">
        <f t="shared" si="40"/>
        <v>1.0662500498914707E-3</v>
      </c>
    </row>
    <row r="2334" spans="4:6" ht="15.6" x14ac:dyDescent="0.3">
      <c r="D2334" s="145">
        <v>42774</v>
      </c>
      <c r="E2334" s="187">
        <v>8769.0499999999993</v>
      </c>
      <c r="F2334" s="146">
        <f t="shared" si="40"/>
        <v>8.5535394546365495E-5</v>
      </c>
    </row>
    <row r="2335" spans="4:6" ht="15.6" x14ac:dyDescent="0.3">
      <c r="D2335" s="145">
        <v>42773</v>
      </c>
      <c r="E2335" s="187">
        <v>8768.2999999999993</v>
      </c>
      <c r="F2335" s="146">
        <f t="shared" si="40"/>
        <v>-3.7211469086074755E-3</v>
      </c>
    </row>
    <row r="2336" spans="4:6" ht="15.6" x14ac:dyDescent="0.3">
      <c r="D2336" s="145">
        <v>42772</v>
      </c>
      <c r="E2336" s="187">
        <v>8801.0499999999993</v>
      </c>
      <c r="F2336" s="146">
        <f t="shared" si="40"/>
        <v>6.8756828491181032E-3</v>
      </c>
    </row>
    <row r="2337" spans="4:6" ht="15.6" x14ac:dyDescent="0.3">
      <c r="D2337" s="145">
        <v>42769</v>
      </c>
      <c r="E2337" s="187">
        <v>8740.9500000000007</v>
      </c>
      <c r="F2337" s="146">
        <f t="shared" si="40"/>
        <v>7.6709505681660239E-4</v>
      </c>
    </row>
    <row r="2338" spans="4:6" ht="15.6" x14ac:dyDescent="0.3">
      <c r="D2338" s="145">
        <v>42768</v>
      </c>
      <c r="E2338" s="187">
        <v>8734.25</v>
      </c>
      <c r="F2338" s="146">
        <f t="shared" si="40"/>
        <v>2.0478637969805202E-3</v>
      </c>
    </row>
    <row r="2339" spans="4:6" ht="15.6" x14ac:dyDescent="0.3">
      <c r="D2339" s="145">
        <v>42767</v>
      </c>
      <c r="E2339" s="187">
        <v>8716.4</v>
      </c>
      <c r="F2339" s="146">
        <f t="shared" si="40"/>
        <v>1.8116407554927383E-2</v>
      </c>
    </row>
    <row r="2340" spans="4:6" ht="15.6" x14ac:dyDescent="0.3">
      <c r="D2340" s="145">
        <v>42766</v>
      </c>
      <c r="E2340" s="187">
        <v>8561.2999999999993</v>
      </c>
      <c r="F2340" s="146">
        <f t="shared" si="40"/>
        <v>-8.2766210072110491E-3</v>
      </c>
    </row>
    <row r="2341" spans="4:6" ht="15.6" x14ac:dyDescent="0.3">
      <c r="D2341" s="145">
        <v>42765</v>
      </c>
      <c r="E2341" s="187">
        <v>8632.75</v>
      </c>
      <c r="F2341" s="146">
        <f t="shared" si="40"/>
        <v>-9.8365398524513648E-4</v>
      </c>
    </row>
    <row r="2342" spans="4:6" ht="15.6" x14ac:dyDescent="0.3">
      <c r="D2342" s="145">
        <v>42762</v>
      </c>
      <c r="E2342" s="187">
        <v>8641.25</v>
      </c>
      <c r="F2342" s="146">
        <f t="shared" si="40"/>
        <v>4.4753131266164203E-3</v>
      </c>
    </row>
    <row r="2343" spans="4:6" ht="15.6" x14ac:dyDescent="0.3">
      <c r="D2343" s="145">
        <v>42760</v>
      </c>
      <c r="E2343" s="187">
        <v>8602.75</v>
      </c>
      <c r="F2343" s="146">
        <f t="shared" si="40"/>
        <v>1.4977937185870482E-2</v>
      </c>
    </row>
    <row r="2344" spans="4:6" ht="15.6" x14ac:dyDescent="0.3">
      <c r="D2344" s="145">
        <v>42759</v>
      </c>
      <c r="E2344" s="187">
        <v>8475.7999999999993</v>
      </c>
      <c r="F2344" s="146">
        <f t="shared" si="40"/>
        <v>1.0045879759280174E-2</v>
      </c>
    </row>
    <row r="2345" spans="4:6" ht="15.6" x14ac:dyDescent="0.3">
      <c r="D2345" s="145">
        <v>42758</v>
      </c>
      <c r="E2345" s="187">
        <v>8391.5</v>
      </c>
      <c r="F2345" s="146">
        <f t="shared" si="40"/>
        <v>5.0482971728338377E-3</v>
      </c>
    </row>
    <row r="2346" spans="4:6" ht="15.6" x14ac:dyDescent="0.3">
      <c r="D2346" s="145">
        <v>42755</v>
      </c>
      <c r="E2346" s="187">
        <v>8349.35</v>
      </c>
      <c r="F2346" s="146">
        <f t="shared" si="40"/>
        <v>-1.0165854583822354E-2</v>
      </c>
    </row>
    <row r="2347" spans="4:6" ht="15.6" x14ac:dyDescent="0.3">
      <c r="D2347" s="145">
        <v>42754</v>
      </c>
      <c r="E2347" s="187">
        <v>8435.1</v>
      </c>
      <c r="F2347" s="146">
        <f t="shared" si="40"/>
        <v>2.1504098847571207E-3</v>
      </c>
    </row>
    <row r="2348" spans="4:6" ht="15.6" x14ac:dyDescent="0.3">
      <c r="D2348" s="145">
        <v>42753</v>
      </c>
      <c r="E2348" s="187">
        <v>8417</v>
      </c>
      <c r="F2348" s="146">
        <f t="shared" si="40"/>
        <v>2.2624434389140191E-3</v>
      </c>
    </row>
    <row r="2349" spans="4:6" ht="15.6" x14ac:dyDescent="0.3">
      <c r="D2349" s="145">
        <v>42752</v>
      </c>
      <c r="E2349" s="187">
        <v>8398</v>
      </c>
      <c r="F2349" s="146">
        <f t="shared" si="40"/>
        <v>-1.7592240395586378E-3</v>
      </c>
    </row>
    <row r="2350" spans="4:6" ht="15.6" x14ac:dyDescent="0.3">
      <c r="D2350" s="145">
        <v>42751</v>
      </c>
      <c r="E2350" s="187">
        <v>8412.7999999999993</v>
      </c>
      <c r="F2350" s="146">
        <f t="shared" si="40"/>
        <v>1.4820811037634662E-3</v>
      </c>
    </row>
    <row r="2351" spans="4:6" ht="15.6" x14ac:dyDescent="0.3">
      <c r="D2351" s="145">
        <v>42748</v>
      </c>
      <c r="E2351" s="187">
        <v>8400.35</v>
      </c>
      <c r="F2351" s="146">
        <f t="shared" si="40"/>
        <v>-8.1477780949668066E-4</v>
      </c>
    </row>
    <row r="2352" spans="4:6" ht="15.6" x14ac:dyDescent="0.3">
      <c r="D2352" s="145">
        <v>42747</v>
      </c>
      <c r="E2352" s="187">
        <v>8407.2000000000007</v>
      </c>
      <c r="F2352" s="146">
        <f t="shared" si="40"/>
        <v>3.1680120277068902E-3</v>
      </c>
    </row>
    <row r="2353" spans="4:6" ht="15.6" x14ac:dyDescent="0.3">
      <c r="D2353" s="145">
        <v>42746</v>
      </c>
      <c r="E2353" s="187">
        <v>8380.65</v>
      </c>
      <c r="F2353" s="146">
        <f t="shared" si="40"/>
        <v>1.110561494100315E-2</v>
      </c>
    </row>
    <row r="2354" spans="4:6" ht="15.6" x14ac:dyDescent="0.3">
      <c r="D2354" s="145">
        <v>42745</v>
      </c>
      <c r="E2354" s="187">
        <v>8288.6</v>
      </c>
      <c r="F2354" s="146">
        <f t="shared" si="40"/>
        <v>6.3804857911258228E-3</v>
      </c>
    </row>
    <row r="2355" spans="4:6" ht="15.6" x14ac:dyDescent="0.3">
      <c r="D2355" s="145">
        <v>42744</v>
      </c>
      <c r="E2355" s="187">
        <v>8236.0499999999993</v>
      </c>
      <c r="F2355" s="146">
        <f t="shared" si="40"/>
        <v>-9.4010043911785246E-4</v>
      </c>
    </row>
    <row r="2356" spans="4:6" ht="15.6" x14ac:dyDescent="0.3">
      <c r="D2356" s="145">
        <v>42741</v>
      </c>
      <c r="E2356" s="187">
        <v>8243.7999999999993</v>
      </c>
      <c r="F2356" s="146">
        <f t="shared" si="40"/>
        <v>-3.6259034542773794E-3</v>
      </c>
    </row>
    <row r="2357" spans="4:6" ht="15.6" x14ac:dyDescent="0.3">
      <c r="D2357" s="145">
        <v>42740</v>
      </c>
      <c r="E2357" s="187">
        <v>8273.7999999999993</v>
      </c>
      <c r="F2357" s="146">
        <f t="shared" si="40"/>
        <v>1.0170319272327699E-2</v>
      </c>
    </row>
    <row r="2358" spans="4:6" ht="15.6" x14ac:dyDescent="0.3">
      <c r="D2358" s="145">
        <v>42739</v>
      </c>
      <c r="E2358" s="187">
        <v>8190.5</v>
      </c>
      <c r="F2358" s="146">
        <f t="shared" si="40"/>
        <v>-2.1361652781592966E-4</v>
      </c>
    </row>
    <row r="2359" spans="4:6" ht="15.6" x14ac:dyDescent="0.3">
      <c r="D2359" s="145">
        <v>42738</v>
      </c>
      <c r="E2359" s="187">
        <v>8192.25</v>
      </c>
      <c r="F2359" s="146">
        <f t="shared" si="40"/>
        <v>1.5587749862460143E-3</v>
      </c>
    </row>
    <row r="2360" spans="4:6" ht="15.6" x14ac:dyDescent="0.3">
      <c r="D2360" s="145">
        <v>42737</v>
      </c>
      <c r="E2360" s="187">
        <v>8179.5</v>
      </c>
      <c r="F2360" s="146">
        <f t="shared" si="40"/>
        <v>-7.6962544894820795E-4</v>
      </c>
    </row>
    <row r="2361" spans="4:6" ht="15.6" x14ac:dyDescent="0.3">
      <c r="D2361" s="145">
        <v>42734</v>
      </c>
      <c r="E2361" s="187">
        <v>8185.8</v>
      </c>
      <c r="F2361" s="146">
        <f t="shared" si="40"/>
        <v>1.0143639863764209E-2</v>
      </c>
    </row>
    <row r="2362" spans="4:6" ht="15.6" x14ac:dyDescent="0.3">
      <c r="D2362" s="145">
        <v>42733</v>
      </c>
      <c r="E2362" s="187">
        <v>8103.6</v>
      </c>
      <c r="F2362" s="146">
        <f t="shared" si="40"/>
        <v>8.5564758520693118E-3</v>
      </c>
    </row>
    <row r="2363" spans="4:6" ht="15.6" x14ac:dyDescent="0.3">
      <c r="D2363" s="145">
        <v>42732</v>
      </c>
      <c r="E2363" s="187">
        <v>8034.85</v>
      </c>
      <c r="F2363" s="146">
        <f t="shared" si="40"/>
        <v>2.4897763558384689E-4</v>
      </c>
    </row>
    <row r="2364" spans="4:6" ht="15.6" x14ac:dyDescent="0.3">
      <c r="D2364" s="145">
        <v>42731</v>
      </c>
      <c r="E2364" s="187">
        <v>8032.85</v>
      </c>
      <c r="F2364" s="146">
        <f t="shared" si="40"/>
        <v>1.5755698163310461E-2</v>
      </c>
    </row>
    <row r="2365" spans="4:6" ht="15.6" x14ac:dyDescent="0.3">
      <c r="D2365" s="145">
        <v>42730</v>
      </c>
      <c r="E2365" s="187">
        <v>7908.25</v>
      </c>
      <c r="F2365" s="146">
        <f t="shared" si="40"/>
        <v>-9.7047866512225411E-3</v>
      </c>
    </row>
    <row r="2366" spans="4:6" ht="15.6" x14ac:dyDescent="0.3">
      <c r="D2366" s="145">
        <v>42727</v>
      </c>
      <c r="E2366" s="187">
        <v>7985.75</v>
      </c>
      <c r="F2366" s="146">
        <f t="shared" si="40"/>
        <v>8.3342732889679638E-4</v>
      </c>
    </row>
    <row r="2367" spans="4:6" ht="15.6" x14ac:dyDescent="0.3">
      <c r="D2367" s="145">
        <v>42726</v>
      </c>
      <c r="E2367" s="187">
        <v>7979.1</v>
      </c>
      <c r="F2367" s="146">
        <f t="shared" si="40"/>
        <v>-1.0196866510364333E-2</v>
      </c>
    </row>
    <row r="2368" spans="4:6" ht="15.6" x14ac:dyDescent="0.3">
      <c r="D2368" s="145">
        <v>42725</v>
      </c>
      <c r="E2368" s="187">
        <v>8061.3</v>
      </c>
      <c r="F2368" s="146">
        <f t="shared" si="40"/>
        <v>-2.6106107096901532E-3</v>
      </c>
    </row>
    <row r="2369" spans="4:6" ht="15.6" x14ac:dyDescent="0.3">
      <c r="D2369" s="145">
        <v>42724</v>
      </c>
      <c r="E2369" s="187">
        <v>8082.4</v>
      </c>
      <c r="F2369" s="146">
        <f t="shared" si="40"/>
        <v>-2.7084220202731046E-3</v>
      </c>
    </row>
    <row r="2370" spans="4:6" ht="15.6" x14ac:dyDescent="0.3">
      <c r="D2370" s="145">
        <v>42723</v>
      </c>
      <c r="E2370" s="187">
        <v>8104.35</v>
      </c>
      <c r="F2370" s="146">
        <f t="shared" si="40"/>
        <v>-4.3123306857342225E-3</v>
      </c>
    </row>
    <row r="2371" spans="4:6" ht="15.6" x14ac:dyDescent="0.3">
      <c r="D2371" s="145">
        <v>42720</v>
      </c>
      <c r="E2371" s="187">
        <v>8139.45</v>
      </c>
      <c r="F2371" s="146">
        <f t="shared" si="40"/>
        <v>-1.7354297488226811E-3</v>
      </c>
    </row>
    <row r="2372" spans="4:6" ht="15.6" x14ac:dyDescent="0.3">
      <c r="D2372" s="145">
        <v>42719</v>
      </c>
      <c r="E2372" s="187">
        <v>8153.6</v>
      </c>
      <c r="F2372" s="146">
        <f t="shared" si="40"/>
        <v>-3.5258388380007277E-3</v>
      </c>
    </row>
    <row r="2373" spans="4:6" ht="15.6" x14ac:dyDescent="0.3">
      <c r="D2373" s="145">
        <v>42718</v>
      </c>
      <c r="E2373" s="187">
        <v>8182.45</v>
      </c>
      <c r="F2373" s="146">
        <f t="shared" si="40"/>
        <v>-4.7860565812838374E-3</v>
      </c>
    </row>
    <row r="2374" spans="4:6" ht="15.6" x14ac:dyDescent="0.3">
      <c r="D2374" s="145">
        <v>42717</v>
      </c>
      <c r="E2374" s="187">
        <v>8221.7999999999993</v>
      </c>
      <c r="F2374" s="146">
        <f t="shared" si="40"/>
        <v>6.2417388750182212E-3</v>
      </c>
    </row>
    <row r="2375" spans="4:6" ht="15.6" x14ac:dyDescent="0.3">
      <c r="D2375" s="145">
        <v>42716</v>
      </c>
      <c r="E2375" s="187">
        <v>8170.8</v>
      </c>
      <c r="F2375" s="146">
        <f t="shared" si="40"/>
        <v>-1.1008563560988893E-2</v>
      </c>
    </row>
    <row r="2376" spans="4:6" ht="15.6" x14ac:dyDescent="0.3">
      <c r="D2376" s="145">
        <v>42713</v>
      </c>
      <c r="E2376" s="187">
        <v>8261.75</v>
      </c>
      <c r="F2376" s="146">
        <f t="shared" si="40"/>
        <v>1.8067504562346848E-3</v>
      </c>
    </row>
    <row r="2377" spans="4:6" ht="15.6" x14ac:dyDescent="0.3">
      <c r="D2377" s="145">
        <v>42712</v>
      </c>
      <c r="E2377" s="187">
        <v>8246.85</v>
      </c>
      <c r="F2377" s="146">
        <f t="shared" si="40"/>
        <v>1.7872020044309878E-2</v>
      </c>
    </row>
    <row r="2378" spans="4:6" ht="15.6" x14ac:dyDescent="0.3">
      <c r="D2378" s="145">
        <v>42711</v>
      </c>
      <c r="E2378" s="187">
        <v>8102.05</v>
      </c>
      <c r="F2378" s="146">
        <f t="shared" si="40"/>
        <v>-5.0471868994184099E-3</v>
      </c>
    </row>
    <row r="2379" spans="4:6" ht="15.6" x14ac:dyDescent="0.3">
      <c r="D2379" s="145">
        <v>42710</v>
      </c>
      <c r="E2379" s="187">
        <v>8143.15</v>
      </c>
      <c r="F2379" s="146">
        <f t="shared" si="40"/>
        <v>1.7714900815009038E-3</v>
      </c>
    </row>
    <row r="2380" spans="4:6" ht="15.6" x14ac:dyDescent="0.3">
      <c r="D2380" s="145">
        <v>42709</v>
      </c>
      <c r="E2380" s="187">
        <v>8128.75</v>
      </c>
      <c r="F2380" s="146">
        <f t="shared" si="40"/>
        <v>5.1874659939654677E-3</v>
      </c>
    </row>
    <row r="2381" spans="4:6" ht="15.6" x14ac:dyDescent="0.3">
      <c r="D2381" s="145">
        <v>42706</v>
      </c>
      <c r="E2381" s="187">
        <v>8086.8</v>
      </c>
      <c r="F2381" s="146">
        <f t="shared" si="40"/>
        <v>-1.2950237400676134E-2</v>
      </c>
    </row>
    <row r="2382" spans="4:6" ht="15.6" x14ac:dyDescent="0.3">
      <c r="D2382" s="145">
        <v>42705</v>
      </c>
      <c r="E2382" s="187">
        <v>8192.9</v>
      </c>
      <c r="F2382" s="146">
        <f t="shared" si="40"/>
        <v>-3.8421788558575809E-3</v>
      </c>
    </row>
    <row r="2383" spans="4:6" ht="15.6" x14ac:dyDescent="0.3">
      <c r="D2383" s="145">
        <v>42704</v>
      </c>
      <c r="E2383" s="187">
        <v>8224.5</v>
      </c>
      <c r="F2383" s="146">
        <f t="shared" si="40"/>
        <v>1.0114036218934919E-2</v>
      </c>
    </row>
    <row r="2384" spans="4:6" ht="15.6" x14ac:dyDescent="0.3">
      <c r="D2384" s="145">
        <v>42703</v>
      </c>
      <c r="E2384" s="187">
        <v>8142.15</v>
      </c>
      <c r="F2384" s="146">
        <f t="shared" si="40"/>
        <v>1.8764842682941207E-3</v>
      </c>
    </row>
    <row r="2385" spans="4:6" ht="15.6" x14ac:dyDescent="0.3">
      <c r="D2385" s="145">
        <v>42702</v>
      </c>
      <c r="E2385" s="187">
        <v>8126.9</v>
      </c>
      <c r="F2385" s="146">
        <f t="shared" si="40"/>
        <v>1.552814167580685E-3</v>
      </c>
    </row>
    <row r="2386" spans="4:6" ht="15.6" x14ac:dyDescent="0.3">
      <c r="D2386" s="145">
        <v>42699</v>
      </c>
      <c r="E2386" s="187">
        <v>8114.3</v>
      </c>
      <c r="F2386" s="146">
        <f t="shared" si="40"/>
        <v>1.86805599146318E-2</v>
      </c>
    </row>
    <row r="2387" spans="4:6" ht="15.6" x14ac:dyDescent="0.3">
      <c r="D2387" s="145">
        <v>42698</v>
      </c>
      <c r="E2387" s="187">
        <v>7965.5</v>
      </c>
      <c r="F2387" s="146">
        <f t="shared" si="40"/>
        <v>-8.439869045099746E-3</v>
      </c>
    </row>
    <row r="2388" spans="4:6" ht="15.6" x14ac:dyDescent="0.3">
      <c r="D2388" s="145">
        <v>42697</v>
      </c>
      <c r="E2388" s="187">
        <v>8033.3</v>
      </c>
      <c r="F2388" s="146">
        <f t="shared" si="40"/>
        <v>3.8738862577010202E-3</v>
      </c>
    </row>
    <row r="2389" spans="4:6" ht="15.6" x14ac:dyDescent="0.3">
      <c r="D2389" s="145">
        <v>42696</v>
      </c>
      <c r="E2389" s="187">
        <v>8002.3</v>
      </c>
      <c r="F2389" s="146">
        <f t="shared" si="40"/>
        <v>9.2318169779672665E-3</v>
      </c>
    </row>
    <row r="2390" spans="4:6" ht="15.6" x14ac:dyDescent="0.3">
      <c r="D2390" s="145">
        <v>42695</v>
      </c>
      <c r="E2390" s="187">
        <v>7929.1</v>
      </c>
      <c r="F2390" s="146">
        <f t="shared" si="40"/>
        <v>-1.795865793091489E-2</v>
      </c>
    </row>
    <row r="2391" spans="4:6" ht="15.6" x14ac:dyDescent="0.3">
      <c r="D2391" s="145">
        <v>42692</v>
      </c>
      <c r="E2391" s="187">
        <v>8074.1</v>
      </c>
      <c r="F2391" s="146">
        <f t="shared" si="40"/>
        <v>-7.2401438127700501E-4</v>
      </c>
    </row>
    <row r="2392" spans="4:6" ht="15.6" x14ac:dyDescent="0.3">
      <c r="D2392" s="145">
        <v>42691</v>
      </c>
      <c r="E2392" s="187">
        <v>8079.95</v>
      </c>
      <c r="F2392" s="146">
        <f t="shared" si="40"/>
        <v>-3.9018196163519425E-3</v>
      </c>
    </row>
    <row r="2393" spans="4:6" ht="15.6" x14ac:dyDescent="0.3">
      <c r="D2393" s="145">
        <v>42690</v>
      </c>
      <c r="E2393" s="187">
        <v>8111.6</v>
      </c>
      <c r="F2393" s="146">
        <f t="shared" si="40"/>
        <v>3.8848361894072703E-4</v>
      </c>
    </row>
    <row r="2394" spans="4:6" ht="15.6" x14ac:dyDescent="0.3">
      <c r="D2394" s="145">
        <v>42689</v>
      </c>
      <c r="E2394" s="187">
        <v>8108.45</v>
      </c>
      <c r="F2394" s="146">
        <f t="shared" si="40"/>
        <v>-2.2642623820257168E-2</v>
      </c>
    </row>
    <row r="2395" spans="4:6" ht="15.6" x14ac:dyDescent="0.3">
      <c r="D2395" s="145">
        <v>42685</v>
      </c>
      <c r="E2395" s="187">
        <v>8296.2999999999993</v>
      </c>
      <c r="F2395" s="146">
        <f t="shared" ref="F2395:F2458" si="41">E2395/E2396-1</f>
        <v>-2.6912588335337162E-2</v>
      </c>
    </row>
    <row r="2396" spans="4:6" ht="15.6" x14ac:dyDescent="0.3">
      <c r="D2396" s="145">
        <v>42684</v>
      </c>
      <c r="E2396" s="187">
        <v>8525.75</v>
      </c>
      <c r="F2396" s="146">
        <f t="shared" si="41"/>
        <v>1.1118358633776193E-2</v>
      </c>
    </row>
    <row r="2397" spans="4:6" ht="15.6" x14ac:dyDescent="0.3">
      <c r="D2397" s="145">
        <v>42683</v>
      </c>
      <c r="E2397" s="187">
        <v>8432</v>
      </c>
      <c r="F2397" s="146">
        <f t="shared" si="41"/>
        <v>-1.3056633366691717E-2</v>
      </c>
    </row>
    <row r="2398" spans="4:6" ht="15.6" x14ac:dyDescent="0.3">
      <c r="D2398" s="145">
        <v>42682</v>
      </c>
      <c r="E2398" s="187">
        <v>8543.5499999999993</v>
      </c>
      <c r="F2398" s="146">
        <f t="shared" si="41"/>
        <v>5.4724875103713266E-3</v>
      </c>
    </row>
    <row r="2399" spans="4:6" ht="15.6" x14ac:dyDescent="0.3">
      <c r="D2399" s="145">
        <v>42681</v>
      </c>
      <c r="E2399" s="187">
        <v>8497.0499999999993</v>
      </c>
      <c r="F2399" s="146">
        <f t="shared" si="41"/>
        <v>7.5055580257892274E-3</v>
      </c>
    </row>
    <row r="2400" spans="4:6" ht="15.6" x14ac:dyDescent="0.3">
      <c r="D2400" s="145">
        <v>42678</v>
      </c>
      <c r="E2400" s="187">
        <v>8433.75</v>
      </c>
      <c r="F2400" s="146">
        <f t="shared" si="41"/>
        <v>-6.0342135192311686E-3</v>
      </c>
    </row>
    <row r="2401" spans="4:6" ht="15.6" x14ac:dyDescent="0.3">
      <c r="D2401" s="145">
        <v>42677</v>
      </c>
      <c r="E2401" s="187">
        <v>8484.9500000000007</v>
      </c>
      <c r="F2401" s="146">
        <f t="shared" si="41"/>
        <v>-3.4120272492365045E-3</v>
      </c>
    </row>
    <row r="2402" spans="4:6" ht="15.6" x14ac:dyDescent="0.3">
      <c r="D2402" s="145">
        <v>42676</v>
      </c>
      <c r="E2402" s="187">
        <v>8514</v>
      </c>
      <c r="F2402" s="146">
        <f t="shared" si="41"/>
        <v>-1.3012606868569754E-2</v>
      </c>
    </row>
    <row r="2403" spans="4:6" ht="15.6" x14ac:dyDescent="0.3">
      <c r="D2403" s="145">
        <v>42675</v>
      </c>
      <c r="E2403" s="187">
        <v>8626.25</v>
      </c>
      <c r="F2403" s="146">
        <f t="shared" si="41"/>
        <v>6.3762940978540072E-5</v>
      </c>
    </row>
    <row r="2404" spans="4:6" ht="15.6" x14ac:dyDescent="0.3">
      <c r="D2404" s="145">
        <v>42673</v>
      </c>
      <c r="E2404" s="187">
        <v>8625.7000000000007</v>
      </c>
      <c r="F2404" s="146">
        <f t="shared" si="41"/>
        <v>-1.4239407270200122E-3</v>
      </c>
    </row>
    <row r="2405" spans="4:6" ht="15.6" x14ac:dyDescent="0.3">
      <c r="D2405" s="145">
        <v>42671</v>
      </c>
      <c r="E2405" s="187">
        <v>8638</v>
      </c>
      <c r="F2405" s="146">
        <f t="shared" si="41"/>
        <v>2.6406662604103737E-3</v>
      </c>
    </row>
    <row r="2406" spans="4:6" ht="15.6" x14ac:dyDescent="0.3">
      <c r="D2406" s="145">
        <v>42670</v>
      </c>
      <c r="E2406" s="187">
        <v>8615.25</v>
      </c>
      <c r="F2406" s="146">
        <f t="shared" si="41"/>
        <v>0</v>
      </c>
    </row>
    <row r="2407" spans="4:6" ht="15.6" x14ac:dyDescent="0.3">
      <c r="D2407" s="145">
        <v>42669</v>
      </c>
      <c r="E2407" s="187">
        <v>8615.25</v>
      </c>
      <c r="F2407" s="146">
        <f t="shared" si="41"/>
        <v>-8.750129439784482E-3</v>
      </c>
    </row>
    <row r="2408" spans="4:6" ht="15.6" x14ac:dyDescent="0.3">
      <c r="D2408" s="145">
        <v>42668</v>
      </c>
      <c r="E2408" s="187">
        <v>8691.2999999999993</v>
      </c>
      <c r="F2408" s="146">
        <f t="shared" si="41"/>
        <v>-2.0266507443493786E-3</v>
      </c>
    </row>
    <row r="2409" spans="4:6" ht="15.6" x14ac:dyDescent="0.3">
      <c r="D2409" s="145">
        <v>42667</v>
      </c>
      <c r="E2409" s="187">
        <v>8708.9500000000007</v>
      </c>
      <c r="F2409" s="146">
        <f t="shared" si="41"/>
        <v>1.8290473424174003E-3</v>
      </c>
    </row>
    <row r="2410" spans="4:6" ht="15.6" x14ac:dyDescent="0.3">
      <c r="D2410" s="145">
        <v>42664</v>
      </c>
      <c r="E2410" s="187">
        <v>8693.0499999999993</v>
      </c>
      <c r="F2410" s="146">
        <f t="shared" si="41"/>
        <v>-7.2993539784360628E-4</v>
      </c>
    </row>
    <row r="2411" spans="4:6" ht="15.6" x14ac:dyDescent="0.3">
      <c r="D2411" s="145">
        <v>42663</v>
      </c>
      <c r="E2411" s="187">
        <v>8699.4</v>
      </c>
      <c r="F2411" s="146">
        <f t="shared" si="41"/>
        <v>4.654063355314042E-3</v>
      </c>
    </row>
    <row r="2412" spans="4:6" ht="15.6" x14ac:dyDescent="0.3">
      <c r="D2412" s="145">
        <v>42662</v>
      </c>
      <c r="E2412" s="187">
        <v>8659.1</v>
      </c>
      <c r="F2412" s="146">
        <f t="shared" si="41"/>
        <v>-2.1664227520482582E-3</v>
      </c>
    </row>
    <row r="2413" spans="4:6" ht="15.6" x14ac:dyDescent="0.3">
      <c r="D2413" s="145">
        <v>42661</v>
      </c>
      <c r="E2413" s="187">
        <v>8677.9</v>
      </c>
      <c r="F2413" s="146">
        <f t="shared" si="41"/>
        <v>1.8485047650345088E-2</v>
      </c>
    </row>
    <row r="2414" spans="4:6" ht="15.6" x14ac:dyDescent="0.3">
      <c r="D2414" s="145">
        <v>42660</v>
      </c>
      <c r="E2414" s="187">
        <v>8520.4</v>
      </c>
      <c r="F2414" s="146">
        <f t="shared" si="41"/>
        <v>-7.3397488174848924E-3</v>
      </c>
    </row>
    <row r="2415" spans="4:6" ht="15.6" x14ac:dyDescent="0.3">
      <c r="D2415" s="145">
        <v>42657</v>
      </c>
      <c r="E2415" s="187">
        <v>8583.4</v>
      </c>
      <c r="F2415" s="146">
        <f t="shared" si="41"/>
        <v>1.1722372234890255E-3</v>
      </c>
    </row>
    <row r="2416" spans="4:6" ht="15.6" x14ac:dyDescent="0.3">
      <c r="D2416" s="145">
        <v>42656</v>
      </c>
      <c r="E2416" s="187">
        <v>8573.35</v>
      </c>
      <c r="F2416" s="146">
        <f t="shared" si="41"/>
        <v>-1.5553233510931297E-2</v>
      </c>
    </row>
    <row r="2417" spans="4:6" ht="15.6" x14ac:dyDescent="0.3">
      <c r="D2417" s="145">
        <v>42653</v>
      </c>
      <c r="E2417" s="187">
        <v>8708.7999999999993</v>
      </c>
      <c r="F2417" s="146">
        <f t="shared" si="41"/>
        <v>1.2877115526119809E-3</v>
      </c>
    </row>
    <row r="2418" spans="4:6" ht="15.6" x14ac:dyDescent="0.3">
      <c r="D2418" s="145">
        <v>42650</v>
      </c>
      <c r="E2418" s="187">
        <v>8697.6</v>
      </c>
      <c r="F2418" s="146">
        <f t="shared" si="41"/>
        <v>-1.3720571097242118E-3</v>
      </c>
    </row>
    <row r="2419" spans="4:6" ht="15.6" x14ac:dyDescent="0.3">
      <c r="D2419" s="145">
        <v>42649</v>
      </c>
      <c r="E2419" s="187">
        <v>8709.5499999999993</v>
      </c>
      <c r="F2419" s="146">
        <f t="shared" si="41"/>
        <v>-3.9341487542816633E-3</v>
      </c>
    </row>
    <row r="2420" spans="4:6" ht="15.6" x14ac:dyDescent="0.3">
      <c r="D2420" s="145">
        <v>42648</v>
      </c>
      <c r="E2420" s="187">
        <v>8743.9500000000007</v>
      </c>
      <c r="F2420" s="146">
        <f t="shared" si="41"/>
        <v>-2.8737106789140654E-3</v>
      </c>
    </row>
    <row r="2421" spans="4:6" ht="15.6" x14ac:dyDescent="0.3">
      <c r="D2421" s="145">
        <v>42647</v>
      </c>
      <c r="E2421" s="187">
        <v>8769.15</v>
      </c>
      <c r="F2421" s="146">
        <f t="shared" si="41"/>
        <v>3.5534040580902371E-3</v>
      </c>
    </row>
    <row r="2422" spans="4:6" ht="15.6" x14ac:dyDescent="0.3">
      <c r="D2422" s="145">
        <v>42646</v>
      </c>
      <c r="E2422" s="187">
        <v>8738.1</v>
      </c>
      <c r="F2422" s="146">
        <f t="shared" si="41"/>
        <v>1.4742514066065526E-2</v>
      </c>
    </row>
    <row r="2423" spans="4:6" ht="15.6" x14ac:dyDescent="0.3">
      <c r="D2423" s="145">
        <v>42643</v>
      </c>
      <c r="E2423" s="187">
        <v>8611.15</v>
      </c>
      <c r="F2423" s="146">
        <f t="shared" si="41"/>
        <v>2.3163101993306512E-3</v>
      </c>
    </row>
    <row r="2424" spans="4:6" ht="15.6" x14ac:dyDescent="0.3">
      <c r="D2424" s="145">
        <v>42642</v>
      </c>
      <c r="E2424" s="187">
        <v>8591.25</v>
      </c>
      <c r="F2424" s="146">
        <f t="shared" si="41"/>
        <v>-1.7598325929229275E-2</v>
      </c>
    </row>
    <row r="2425" spans="4:6" ht="15.6" x14ac:dyDescent="0.3">
      <c r="D2425" s="145">
        <v>42641</v>
      </c>
      <c r="E2425" s="187">
        <v>8745.15</v>
      </c>
      <c r="F2425" s="146">
        <f t="shared" si="41"/>
        <v>4.4507488743912305E-3</v>
      </c>
    </row>
    <row r="2426" spans="4:6" ht="15.6" x14ac:dyDescent="0.3">
      <c r="D2426" s="145">
        <v>42640</v>
      </c>
      <c r="E2426" s="187">
        <v>8706.4</v>
      </c>
      <c r="F2426" s="146">
        <f t="shared" si="41"/>
        <v>-1.9087360498907247E-3</v>
      </c>
    </row>
    <row r="2427" spans="4:6" ht="15.6" x14ac:dyDescent="0.3">
      <c r="D2427" s="145">
        <v>42639</v>
      </c>
      <c r="E2427" s="187">
        <v>8723.0499999999993</v>
      </c>
      <c r="F2427" s="146">
        <f t="shared" si="41"/>
        <v>-1.2285499147941192E-2</v>
      </c>
    </row>
    <row r="2428" spans="4:6" ht="15.6" x14ac:dyDescent="0.3">
      <c r="D2428" s="145">
        <v>42636</v>
      </c>
      <c r="E2428" s="187">
        <v>8831.5499999999993</v>
      </c>
      <c r="F2428" s="146">
        <f t="shared" si="41"/>
        <v>-4.0485145109362408E-3</v>
      </c>
    </row>
    <row r="2429" spans="4:6" ht="15.6" x14ac:dyDescent="0.3">
      <c r="D2429" s="145">
        <v>42635</v>
      </c>
      <c r="E2429" s="187">
        <v>8867.4500000000007</v>
      </c>
      <c r="F2429" s="146">
        <f t="shared" si="41"/>
        <v>1.0288077565041132E-2</v>
      </c>
    </row>
    <row r="2430" spans="4:6" ht="15.6" x14ac:dyDescent="0.3">
      <c r="D2430" s="145">
        <v>42634</v>
      </c>
      <c r="E2430" s="187">
        <v>8777.15</v>
      </c>
      <c r="F2430" s="146">
        <f t="shared" si="41"/>
        <v>1.4243553367743189E-4</v>
      </c>
    </row>
    <row r="2431" spans="4:6" ht="15.6" x14ac:dyDescent="0.3">
      <c r="D2431" s="145">
        <v>42633</v>
      </c>
      <c r="E2431" s="187">
        <v>8775.9</v>
      </c>
      <c r="F2431" s="146">
        <f t="shared" si="41"/>
        <v>-3.6896598701239292E-3</v>
      </c>
    </row>
    <row r="2432" spans="4:6" ht="15.6" x14ac:dyDescent="0.3">
      <c r="D2432" s="145">
        <v>42632</v>
      </c>
      <c r="E2432" s="187">
        <v>8808.4</v>
      </c>
      <c r="F2432" s="146">
        <f t="shared" si="41"/>
        <v>3.2517639823002042E-3</v>
      </c>
    </row>
    <row r="2433" spans="4:6" ht="15.6" x14ac:dyDescent="0.3">
      <c r="D2433" s="145">
        <v>42629</v>
      </c>
      <c r="E2433" s="187">
        <v>8779.85</v>
      </c>
      <c r="F2433" s="146">
        <f t="shared" si="41"/>
        <v>4.2664897541335733E-3</v>
      </c>
    </row>
    <row r="2434" spans="4:6" ht="15.6" x14ac:dyDescent="0.3">
      <c r="D2434" s="145">
        <v>42628</v>
      </c>
      <c r="E2434" s="187">
        <v>8742.5499999999993</v>
      </c>
      <c r="F2434" s="146">
        <f t="shared" si="41"/>
        <v>1.8277450553478847E-3</v>
      </c>
    </row>
    <row r="2435" spans="4:6" ht="15.6" x14ac:dyDescent="0.3">
      <c r="D2435" s="145">
        <v>42627</v>
      </c>
      <c r="E2435" s="187">
        <v>8726.6</v>
      </c>
      <c r="F2435" s="146">
        <f t="shared" si="41"/>
        <v>1.2621047317453726E-3</v>
      </c>
    </row>
    <row r="2436" spans="4:6" ht="15.6" x14ac:dyDescent="0.3">
      <c r="D2436" s="145">
        <v>42625</v>
      </c>
      <c r="E2436" s="187">
        <v>8715.6</v>
      </c>
      <c r="F2436" s="146">
        <f t="shared" si="41"/>
        <v>-1.7041289318461272E-2</v>
      </c>
    </row>
    <row r="2437" spans="4:6" ht="15.6" x14ac:dyDescent="0.3">
      <c r="D2437" s="145">
        <v>42622</v>
      </c>
      <c r="E2437" s="187">
        <v>8866.7000000000007</v>
      </c>
      <c r="F2437" s="146">
        <f t="shared" si="41"/>
        <v>-9.5839151075117757E-3</v>
      </c>
    </row>
    <row r="2438" spans="4:6" ht="15.6" x14ac:dyDescent="0.3">
      <c r="D2438" s="145">
        <v>42621</v>
      </c>
      <c r="E2438" s="187">
        <v>8952.5</v>
      </c>
      <c r="F2438" s="146">
        <f t="shared" si="41"/>
        <v>3.8742087587393392E-3</v>
      </c>
    </row>
    <row r="2439" spans="4:6" ht="15.6" x14ac:dyDescent="0.3">
      <c r="D2439" s="145">
        <v>42620</v>
      </c>
      <c r="E2439" s="187">
        <v>8917.9500000000007</v>
      </c>
      <c r="F2439" s="146">
        <f t="shared" si="41"/>
        <v>-2.801073465280024E-3</v>
      </c>
    </row>
    <row r="2440" spans="4:6" ht="15.6" x14ac:dyDescent="0.3">
      <c r="D2440" s="145">
        <v>42619</v>
      </c>
      <c r="E2440" s="187">
        <v>8943</v>
      </c>
      <c r="F2440" s="146">
        <f t="shared" si="41"/>
        <v>1.5136810202448503E-2</v>
      </c>
    </row>
    <row r="2441" spans="4:6" ht="15.6" x14ac:dyDescent="0.3">
      <c r="D2441" s="145">
        <v>42615</v>
      </c>
      <c r="E2441" s="187">
        <v>8809.65</v>
      </c>
      <c r="F2441" s="146">
        <f t="shared" si="41"/>
        <v>3.9887630845674149E-3</v>
      </c>
    </row>
    <row r="2442" spans="4:6" ht="15.6" x14ac:dyDescent="0.3">
      <c r="D2442" s="145">
        <v>42614</v>
      </c>
      <c r="E2442" s="187">
        <v>8774.65</v>
      </c>
      <c r="F2442" s="146">
        <f t="shared" si="41"/>
        <v>-1.3145614713984122E-3</v>
      </c>
    </row>
    <row r="2443" spans="4:6" ht="15.6" x14ac:dyDescent="0.3">
      <c r="D2443" s="145">
        <v>42613</v>
      </c>
      <c r="E2443" s="187">
        <v>8786.2000000000007</v>
      </c>
      <c r="F2443" s="146">
        <f t="shared" si="41"/>
        <v>4.7859474975269212E-3</v>
      </c>
    </row>
    <row r="2444" spans="4:6" ht="15.6" x14ac:dyDescent="0.3">
      <c r="D2444" s="145">
        <v>42612</v>
      </c>
      <c r="E2444" s="187">
        <v>8744.35</v>
      </c>
      <c r="F2444" s="146">
        <f t="shared" si="41"/>
        <v>1.5904826632742619E-2</v>
      </c>
    </row>
    <row r="2445" spans="4:6" ht="15.6" x14ac:dyDescent="0.3">
      <c r="D2445" s="145">
        <v>42611</v>
      </c>
      <c r="E2445" s="187">
        <v>8607.4500000000007</v>
      </c>
      <c r="F2445" s="146">
        <f t="shared" si="41"/>
        <v>4.0711340266317286E-3</v>
      </c>
    </row>
    <row r="2446" spans="4:6" ht="15.6" x14ac:dyDescent="0.3">
      <c r="D2446" s="145">
        <v>42608</v>
      </c>
      <c r="E2446" s="187">
        <v>8572.5499999999993</v>
      </c>
      <c r="F2446" s="146">
        <f t="shared" si="41"/>
        <v>-2.2869579385956795E-3</v>
      </c>
    </row>
    <row r="2447" spans="4:6" ht="15.6" x14ac:dyDescent="0.3">
      <c r="D2447" s="145">
        <v>42607</v>
      </c>
      <c r="E2447" s="187">
        <v>8592.2000000000007</v>
      </c>
      <c r="F2447" s="146">
        <f t="shared" si="41"/>
        <v>-6.7165300625410262E-3</v>
      </c>
    </row>
    <row r="2448" spans="4:6" ht="15.6" x14ac:dyDescent="0.3">
      <c r="D2448" s="145">
        <v>42606</v>
      </c>
      <c r="E2448" s="187">
        <v>8650.2999999999993</v>
      </c>
      <c r="F2448" s="146">
        <f t="shared" si="41"/>
        <v>2.0503672126588324E-3</v>
      </c>
    </row>
    <row r="2449" spans="4:6" ht="15.6" x14ac:dyDescent="0.3">
      <c r="D2449" s="145">
        <v>42605</v>
      </c>
      <c r="E2449" s="187">
        <v>8632.6</v>
      </c>
      <c r="F2449" s="146">
        <f t="shared" si="41"/>
        <v>3.9980762879321396E-4</v>
      </c>
    </row>
    <row r="2450" spans="4:6" ht="15.6" x14ac:dyDescent="0.3">
      <c r="D2450" s="145">
        <v>42604</v>
      </c>
      <c r="E2450" s="187">
        <v>8629.15</v>
      </c>
      <c r="F2450" s="146">
        <f t="shared" si="41"/>
        <v>-4.3556519632164115E-3</v>
      </c>
    </row>
    <row r="2451" spans="4:6" ht="15.6" x14ac:dyDescent="0.3">
      <c r="D2451" s="145">
        <v>42601</v>
      </c>
      <c r="E2451" s="187">
        <v>8666.9</v>
      </c>
      <c r="F2451" s="146">
        <f t="shared" si="41"/>
        <v>-7.3213616579714813E-4</v>
      </c>
    </row>
    <row r="2452" spans="4:6" ht="15.6" x14ac:dyDescent="0.3">
      <c r="D2452" s="145">
        <v>42600</v>
      </c>
      <c r="E2452" s="187">
        <v>8673.25</v>
      </c>
      <c r="F2452" s="146">
        <f t="shared" si="41"/>
        <v>5.704976200277212E-3</v>
      </c>
    </row>
    <row r="2453" spans="4:6" ht="15.6" x14ac:dyDescent="0.3">
      <c r="D2453" s="145">
        <v>42599</v>
      </c>
      <c r="E2453" s="187">
        <v>8624.0499999999993</v>
      </c>
      <c r="F2453" s="146">
        <f t="shared" si="41"/>
        <v>-2.1405719376804688E-3</v>
      </c>
    </row>
    <row r="2454" spans="4:6" ht="15.6" x14ac:dyDescent="0.3">
      <c r="D2454" s="145">
        <v>42598</v>
      </c>
      <c r="E2454" s="187">
        <v>8642.5499999999993</v>
      </c>
      <c r="F2454" s="146">
        <f t="shared" si="41"/>
        <v>-3.4132250941232289E-3</v>
      </c>
    </row>
    <row r="2455" spans="4:6" ht="15.6" x14ac:dyDescent="0.3">
      <c r="D2455" s="145">
        <v>42594</v>
      </c>
      <c r="E2455" s="187">
        <v>8672.15</v>
      </c>
      <c r="F2455" s="146">
        <f t="shared" si="41"/>
        <v>9.3108244153092823E-3</v>
      </c>
    </row>
    <row r="2456" spans="4:6" ht="15.6" x14ac:dyDescent="0.3">
      <c r="D2456" s="145">
        <v>42593</v>
      </c>
      <c r="E2456" s="187">
        <v>8592.15</v>
      </c>
      <c r="F2456" s="146">
        <f t="shared" si="41"/>
        <v>1.9649458327988256E-3</v>
      </c>
    </row>
    <row r="2457" spans="4:6" ht="15.6" x14ac:dyDescent="0.3">
      <c r="D2457" s="145">
        <v>42592</v>
      </c>
      <c r="E2457" s="187">
        <v>8575.2999999999993</v>
      </c>
      <c r="F2457" s="146">
        <f t="shared" si="41"/>
        <v>-1.1862990810359353E-2</v>
      </c>
    </row>
    <row r="2458" spans="4:6" ht="15.6" x14ac:dyDescent="0.3">
      <c r="D2458" s="145">
        <v>42591</v>
      </c>
      <c r="E2458" s="187">
        <v>8678.25</v>
      </c>
      <c r="F2458" s="146">
        <f t="shared" si="41"/>
        <v>-3.7996406986288145E-3</v>
      </c>
    </row>
    <row r="2459" spans="4:6" ht="15.6" x14ac:dyDescent="0.3">
      <c r="D2459" s="145">
        <v>42590</v>
      </c>
      <c r="E2459" s="187">
        <v>8711.35</v>
      </c>
      <c r="F2459" s="146">
        <f t="shared" ref="F2459:F2483" si="42">E2459/E2460-1</f>
        <v>3.247669336588821E-3</v>
      </c>
    </row>
    <row r="2460" spans="4:6" ht="15.6" x14ac:dyDescent="0.3">
      <c r="D2460" s="145">
        <v>42587</v>
      </c>
      <c r="E2460" s="187">
        <v>8683.15</v>
      </c>
      <c r="F2460" s="146">
        <f t="shared" si="42"/>
        <v>1.5442457695501011E-2</v>
      </c>
    </row>
    <row r="2461" spans="4:6" ht="15.6" x14ac:dyDescent="0.3">
      <c r="D2461" s="145">
        <v>42586</v>
      </c>
      <c r="E2461" s="187">
        <v>8551.1</v>
      </c>
      <c r="F2461" s="146">
        <f t="shared" si="42"/>
        <v>7.3143472383940811E-4</v>
      </c>
    </row>
    <row r="2462" spans="4:6" ht="15.6" x14ac:dyDescent="0.3">
      <c r="D2462" s="145">
        <v>42585</v>
      </c>
      <c r="E2462" s="187">
        <v>8544.85</v>
      </c>
      <c r="F2462" s="146">
        <f t="shared" si="42"/>
        <v>-9.0514792007327927E-3</v>
      </c>
    </row>
    <row r="2463" spans="4:6" ht="15.6" x14ac:dyDescent="0.3">
      <c r="D2463" s="145">
        <v>42584</v>
      </c>
      <c r="E2463" s="187">
        <v>8622.9</v>
      </c>
      <c r="F2463" s="146">
        <f t="shared" si="42"/>
        <v>-1.5804922104312169E-3</v>
      </c>
    </row>
    <row r="2464" spans="4:6" ht="15.6" x14ac:dyDescent="0.3">
      <c r="D2464" s="145">
        <v>42583</v>
      </c>
      <c r="E2464" s="187">
        <v>8636.5499999999993</v>
      </c>
      <c r="F2464" s="146">
        <f t="shared" si="42"/>
        <v>-2.2573363431155347E-4</v>
      </c>
    </row>
    <row r="2465" spans="4:6" ht="15.6" x14ac:dyDescent="0.3">
      <c r="D2465" s="145">
        <v>42580</v>
      </c>
      <c r="E2465" s="187">
        <v>8638.5</v>
      </c>
      <c r="F2465" s="146">
        <f t="shared" si="42"/>
        <v>-3.2078280234931755E-3</v>
      </c>
    </row>
    <row r="2466" spans="4:6" ht="15.6" x14ac:dyDescent="0.3">
      <c r="D2466" s="145">
        <v>42579</v>
      </c>
      <c r="E2466" s="187">
        <v>8666.2999999999993</v>
      </c>
      <c r="F2466" s="146">
        <f t="shared" si="42"/>
        <v>5.8613245432810324E-3</v>
      </c>
    </row>
    <row r="2467" spans="4:6" ht="15.6" x14ac:dyDescent="0.3">
      <c r="D2467" s="145">
        <v>42578</v>
      </c>
      <c r="E2467" s="187">
        <v>8615.7999999999993</v>
      </c>
      <c r="F2467" s="146">
        <f t="shared" si="42"/>
        <v>2.9276015202575056E-3</v>
      </c>
    </row>
    <row r="2468" spans="4:6" ht="15.6" x14ac:dyDescent="0.3">
      <c r="D2468" s="145">
        <v>42577</v>
      </c>
      <c r="E2468" s="187">
        <v>8590.65</v>
      </c>
      <c r="F2468" s="146">
        <f t="shared" si="42"/>
        <v>-5.2109569053864213E-3</v>
      </c>
    </row>
    <row r="2469" spans="4:6" ht="15.6" x14ac:dyDescent="0.3">
      <c r="D2469" s="145">
        <v>42576</v>
      </c>
      <c r="E2469" s="187">
        <v>8635.65</v>
      </c>
      <c r="F2469" s="146">
        <f t="shared" si="42"/>
        <v>1.105816512902158E-2</v>
      </c>
    </row>
    <row r="2470" spans="4:6" ht="15.6" x14ac:dyDescent="0.3">
      <c r="D2470" s="145">
        <v>42573</v>
      </c>
      <c r="E2470" s="187">
        <v>8541.2000000000007</v>
      </c>
      <c r="F2470" s="146">
        <f t="shared" si="42"/>
        <v>3.6544811459324755E-3</v>
      </c>
    </row>
    <row r="2471" spans="4:6" ht="15.6" x14ac:dyDescent="0.3">
      <c r="D2471" s="145">
        <v>42572</v>
      </c>
      <c r="E2471" s="187">
        <v>8510.1</v>
      </c>
      <c r="F2471" s="146">
        <f t="shared" si="42"/>
        <v>-6.5084025519942523E-3</v>
      </c>
    </row>
    <row r="2472" spans="4:6" ht="15.6" x14ac:dyDescent="0.3">
      <c r="D2472" s="145">
        <v>42571</v>
      </c>
      <c r="E2472" s="187">
        <v>8565.85</v>
      </c>
      <c r="F2472" s="146">
        <f t="shared" si="42"/>
        <v>4.3735453271660507E-3</v>
      </c>
    </row>
    <row r="2473" spans="4:6" ht="15.6" x14ac:dyDescent="0.3">
      <c r="D2473" s="145">
        <v>42570</v>
      </c>
      <c r="E2473" s="187">
        <v>8528.5499999999993</v>
      </c>
      <c r="F2473" s="146">
        <f t="shared" si="42"/>
        <v>2.3329063194141852E-3</v>
      </c>
    </row>
    <row r="2474" spans="4:6" ht="15.6" x14ac:dyDescent="0.3">
      <c r="D2474" s="145">
        <v>42569</v>
      </c>
      <c r="E2474" s="187">
        <v>8508.7000000000007</v>
      </c>
      <c r="F2474" s="146">
        <f t="shared" si="42"/>
        <v>-3.8284122040882496E-3</v>
      </c>
    </row>
    <row r="2475" spans="4:6" ht="15.6" x14ac:dyDescent="0.3">
      <c r="D2475" s="145">
        <v>42566</v>
      </c>
      <c r="E2475" s="187">
        <v>8541.4</v>
      </c>
      <c r="F2475" s="146">
        <f t="shared" si="42"/>
        <v>-2.7553998832458015E-3</v>
      </c>
    </row>
    <row r="2476" spans="4:6" ht="15.6" x14ac:dyDescent="0.3">
      <c r="D2476" s="145">
        <v>42565</v>
      </c>
      <c r="E2476" s="187">
        <v>8565</v>
      </c>
      <c r="F2476" s="146">
        <f t="shared" si="42"/>
        <v>5.3406890075708979E-3</v>
      </c>
    </row>
    <row r="2477" spans="4:6" ht="15.6" x14ac:dyDescent="0.3">
      <c r="D2477" s="145">
        <v>42564</v>
      </c>
      <c r="E2477" s="187">
        <v>8519.5</v>
      </c>
      <c r="F2477" s="146">
        <f t="shared" si="42"/>
        <v>-1.8190246507165941E-4</v>
      </c>
    </row>
    <row r="2478" spans="4:6" ht="15.6" x14ac:dyDescent="0.3">
      <c r="D2478" s="145">
        <v>42563</v>
      </c>
      <c r="E2478" s="187">
        <v>8521.0499999999993</v>
      </c>
      <c r="F2478" s="146">
        <f t="shared" si="42"/>
        <v>6.2766447407267556E-3</v>
      </c>
    </row>
    <row r="2479" spans="4:6" ht="15.6" x14ac:dyDescent="0.3">
      <c r="D2479" s="145">
        <v>42562</v>
      </c>
      <c r="E2479" s="187">
        <v>8467.9</v>
      </c>
      <c r="F2479" s="146">
        <f t="shared" si="42"/>
        <v>1.7385140330641979E-2</v>
      </c>
    </row>
    <row r="2480" spans="4:6" ht="15.6" x14ac:dyDescent="0.3">
      <c r="D2480" s="145">
        <v>42559</v>
      </c>
      <c r="E2480" s="187">
        <v>8323.2000000000007</v>
      </c>
      <c r="F2480" s="146">
        <f t="shared" si="42"/>
        <v>-1.763033857446028E-3</v>
      </c>
    </row>
    <row r="2481" spans="4:6" ht="15.6" x14ac:dyDescent="0.3">
      <c r="D2481" s="145">
        <v>42558</v>
      </c>
      <c r="E2481" s="187">
        <v>8337.9</v>
      </c>
      <c r="F2481" s="146">
        <f t="shared" si="42"/>
        <v>2.3392654706411165E-4</v>
      </c>
    </row>
    <row r="2482" spans="4:6" ht="15.6" x14ac:dyDescent="0.3">
      <c r="D2482" s="145">
        <v>42556</v>
      </c>
      <c r="E2482" s="187">
        <v>8335.9500000000007</v>
      </c>
      <c r="F2482" s="146">
        <f t="shared" si="42"/>
        <v>-4.1513851888133058E-3</v>
      </c>
    </row>
    <row r="2483" spans="4:6" ht="15.6" x14ac:dyDescent="0.3">
      <c r="D2483" s="145">
        <v>42555</v>
      </c>
      <c r="E2483" s="187">
        <v>8370.7000000000007</v>
      </c>
      <c r="F2483" s="146">
        <f t="shared" si="42"/>
        <v>5.0850408544309555E-3</v>
      </c>
    </row>
    <row r="2484" spans="4:6" ht="15.6" x14ac:dyDescent="0.3">
      <c r="D2484" s="145"/>
      <c r="E2484" s="187">
        <v>8328.35</v>
      </c>
      <c r="F2484" s="146"/>
    </row>
    <row r="2485" spans="4:6" ht="15.6" x14ac:dyDescent="0.3">
      <c r="D2485" s="145"/>
      <c r="E2485" s="187"/>
      <c r="F2485" s="146"/>
    </row>
    <row r="2486" spans="4:6" ht="15.6" x14ac:dyDescent="0.3">
      <c r="D2486" s="274"/>
      <c r="E2486" s="275"/>
      <c r="F2486" s="276"/>
    </row>
    <row r="2487" spans="4:6" ht="15.6" x14ac:dyDescent="0.3">
      <c r="D2487" s="189"/>
      <c r="E2487" s="190"/>
      <c r="F2487" s="192"/>
    </row>
    <row r="2488" spans="4:6" ht="15.6" x14ac:dyDescent="0.3">
      <c r="D2488" s="189"/>
      <c r="E2488" s="190"/>
      <c r="F2488" s="192"/>
    </row>
    <row r="2489" spans="4:6" ht="15.6" x14ac:dyDescent="0.3">
      <c r="D2489" s="189"/>
      <c r="E2489" s="190"/>
      <c r="F2489" s="192"/>
    </row>
    <row r="2490" spans="4:6" ht="15.6" x14ac:dyDescent="0.3">
      <c r="D2490" s="189"/>
      <c r="E2490" s="190"/>
      <c r="F2490" s="192"/>
    </row>
    <row r="2491" spans="4:6" ht="15.6" x14ac:dyDescent="0.3">
      <c r="D2491" s="189"/>
      <c r="E2491" s="190"/>
      <c r="F2491" s="192"/>
    </row>
    <row r="2492" spans="4:6" ht="15.6" x14ac:dyDescent="0.3">
      <c r="D2492" s="189"/>
      <c r="E2492" s="190"/>
      <c r="F2492" s="192"/>
    </row>
    <row r="2493" spans="4:6" ht="15.6" x14ac:dyDescent="0.3">
      <c r="D2493" s="189"/>
      <c r="E2493" s="190"/>
      <c r="F2493" s="192"/>
    </row>
    <row r="2494" spans="4:6" ht="15.6" x14ac:dyDescent="0.3">
      <c r="D2494" s="189"/>
      <c r="E2494" s="190"/>
      <c r="F2494" s="192"/>
    </row>
    <row r="2495" spans="4:6" ht="15.6" x14ac:dyDescent="0.3">
      <c r="D2495" s="189"/>
      <c r="E2495" s="190"/>
      <c r="F2495" s="192"/>
    </row>
    <row r="2496" spans="4:6" ht="15.6" x14ac:dyDescent="0.3">
      <c r="D2496" s="189"/>
      <c r="E2496" s="190"/>
      <c r="F2496" s="192"/>
    </row>
    <row r="2497" spans="4:6" ht="15.6" x14ac:dyDescent="0.3">
      <c r="D2497" s="189"/>
      <c r="E2497" s="190"/>
      <c r="F2497" s="192"/>
    </row>
    <row r="2498" spans="4:6" ht="15.6" x14ac:dyDescent="0.3">
      <c r="D2498" s="189"/>
      <c r="E2498" s="190"/>
      <c r="F2498" s="192"/>
    </row>
    <row r="2499" spans="4:6" ht="15.6" x14ac:dyDescent="0.3">
      <c r="D2499" s="189"/>
      <c r="E2499" s="190"/>
      <c r="F2499" s="192"/>
    </row>
    <row r="2500" spans="4:6" ht="15.6" x14ac:dyDescent="0.3">
      <c r="D2500" s="189"/>
      <c r="E2500" s="190"/>
      <c r="F2500" s="192"/>
    </row>
    <row r="2501" spans="4:6" ht="15.6" x14ac:dyDescent="0.3">
      <c r="D2501" s="189"/>
      <c r="E2501" s="190"/>
      <c r="F2501" s="191"/>
    </row>
    <row r="2502" spans="4:6" ht="15.6" x14ac:dyDescent="0.3">
      <c r="D2502" s="189"/>
      <c r="E2502" s="190"/>
      <c r="F2502" s="191"/>
    </row>
    <row r="2503" spans="4:6" ht="15.6" x14ac:dyDescent="0.3">
      <c r="D2503" s="189"/>
      <c r="E2503" s="190"/>
      <c r="F2503" s="191"/>
    </row>
    <row r="2504" spans="4:6" ht="15.6" x14ac:dyDescent="0.3">
      <c r="D2504" s="123"/>
      <c r="E2504" s="114"/>
    </row>
    <row r="2505" spans="4:6" ht="15.6" x14ac:dyDescent="0.3">
      <c r="D2505" s="123"/>
      <c r="E2505" s="114"/>
    </row>
    <row r="2506" spans="4:6" ht="15.6" x14ac:dyDescent="0.3">
      <c r="D2506" s="123"/>
      <c r="E2506" s="114"/>
    </row>
    <row r="2507" spans="4:6" ht="15.6" x14ac:dyDescent="0.3">
      <c r="D2507" s="123"/>
      <c r="E2507" s="114"/>
    </row>
    <row r="2508" spans="4:6" ht="15.6" x14ac:dyDescent="0.3">
      <c r="D2508" s="123"/>
      <c r="E2508" s="114"/>
    </row>
    <row r="2509" spans="4:6" ht="15.6" x14ac:dyDescent="0.3">
      <c r="D2509" s="123"/>
      <c r="E2509" s="114"/>
    </row>
    <row r="2510" spans="4:6" ht="15.6" x14ac:dyDescent="0.3">
      <c r="D2510" s="123"/>
      <c r="E2510" s="114"/>
    </row>
    <row r="2511" spans="4:6" ht="15.6" x14ac:dyDescent="0.3">
      <c r="D2511" s="123"/>
      <c r="E2511" s="114"/>
    </row>
    <row r="2512" spans="4:6" ht="15.6" x14ac:dyDescent="0.3">
      <c r="D2512" s="123"/>
      <c r="E2512" s="114"/>
    </row>
    <row r="2513" spans="4:5" ht="15.6" x14ac:dyDescent="0.3">
      <c r="D2513" s="123"/>
      <c r="E2513" s="114"/>
    </row>
    <row r="2514" spans="4:5" ht="15.6" x14ac:dyDescent="0.3">
      <c r="D2514" s="123"/>
      <c r="E2514" s="114"/>
    </row>
    <row r="2515" spans="4:5" ht="15.6" x14ac:dyDescent="0.3">
      <c r="D2515" s="123"/>
      <c r="E2515" s="114"/>
    </row>
    <row r="2516" spans="4:5" ht="15.6" x14ac:dyDescent="0.3">
      <c r="D2516" s="123"/>
      <c r="E2516" s="114"/>
    </row>
    <row r="2517" spans="4:5" ht="15.6" x14ac:dyDescent="0.3">
      <c r="D2517" s="123"/>
      <c r="E2517" s="114"/>
    </row>
    <row r="2518" spans="4:5" ht="15.6" x14ac:dyDescent="0.3">
      <c r="D2518" s="123"/>
      <c r="E2518" s="114"/>
    </row>
    <row r="2519" spans="4:5" ht="15.6" x14ac:dyDescent="0.3">
      <c r="D2519" s="123"/>
      <c r="E2519" s="114"/>
    </row>
    <row r="2520" spans="4:5" ht="15.6" x14ac:dyDescent="0.3">
      <c r="D2520" s="123"/>
      <c r="E2520" s="114"/>
    </row>
    <row r="2521" spans="4:5" ht="15.6" x14ac:dyDescent="0.3">
      <c r="D2521" s="123"/>
      <c r="E2521" s="114"/>
    </row>
    <row r="2522" spans="4:5" ht="15.6" x14ac:dyDescent="0.3">
      <c r="D2522" s="123"/>
      <c r="E2522" s="114"/>
    </row>
    <row r="2523" spans="4:5" ht="15.6" x14ac:dyDescent="0.3">
      <c r="D2523" s="123"/>
      <c r="E2523" s="114"/>
    </row>
    <row r="2524" spans="4:5" ht="15.6" x14ac:dyDescent="0.3">
      <c r="D2524" s="123"/>
      <c r="E2524" s="114"/>
    </row>
    <row r="2525" spans="4:5" ht="15.6" x14ac:dyDescent="0.3">
      <c r="D2525" s="123"/>
      <c r="E2525" s="114"/>
    </row>
    <row r="2526" spans="4:5" ht="15.6" x14ac:dyDescent="0.3">
      <c r="D2526" s="123"/>
      <c r="E2526" s="114"/>
    </row>
    <row r="2527" spans="4:5" ht="15.6" x14ac:dyDescent="0.3">
      <c r="D2527" s="123"/>
      <c r="E2527" s="114"/>
    </row>
    <row r="2528" spans="4:5" ht="15.6" x14ac:dyDescent="0.3">
      <c r="D2528" s="123"/>
      <c r="E2528" s="114"/>
    </row>
  </sheetData>
  <mergeCells count="2">
    <mergeCell ref="E5:E6"/>
    <mergeCell ref="D5:D6"/>
  </mergeCells>
  <conditionalFormatting sqref="F7:F2503">
    <cfRule type="cellIs" dxfId="6" priority="3" operator="greaterThan">
      <formula>0</formula>
    </cfRule>
    <cfRule type="cellIs" dxfId="5" priority="4"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FAFF7-671B-4B76-9DAC-323C1E6179BE}">
  <dimension ref="A1:U140"/>
  <sheetViews>
    <sheetView showGridLines="0" zoomScale="89" zoomScaleNormal="106" workbookViewId="0">
      <pane ySplit="2" topLeftCell="A3" activePane="bottomLeft" state="frozen"/>
      <selection pane="bottomLeft" activeCell="K71" sqref="K71"/>
    </sheetView>
  </sheetViews>
  <sheetFormatPr defaultColWidth="11.77734375" defaultRowHeight="15.6" x14ac:dyDescent="0.3"/>
  <cols>
    <col min="1" max="3" width="1.33203125" style="21" customWidth="1"/>
    <col min="4" max="4" width="52.21875" style="21" customWidth="1"/>
    <col min="5" max="5" width="2.77734375" style="21" customWidth="1"/>
    <col min="6" max="6" width="14.6640625" style="32" bestFit="1" customWidth="1"/>
    <col min="7" max="7" width="12.88671875" style="32" bestFit="1" customWidth="1"/>
    <col min="8" max="8" width="11.77734375" style="21"/>
    <col min="9" max="10" width="13" style="21" bestFit="1" customWidth="1"/>
    <col min="11" max="11" width="14" style="21" bestFit="1" customWidth="1"/>
    <col min="12" max="12" width="12.88671875" style="21" customWidth="1"/>
    <col min="13" max="13" width="12.77734375" style="21" customWidth="1"/>
    <col min="14" max="19" width="11.77734375" style="21"/>
    <col min="20" max="20" width="13.5546875" style="21" bestFit="1" customWidth="1"/>
    <col min="21" max="21" width="13.21875" style="21" bestFit="1" customWidth="1"/>
    <col min="22" max="16384" width="11.77734375" style="21"/>
  </cols>
  <sheetData>
    <row r="1" spans="1:20" s="1" customFormat="1" ht="43.8" customHeight="1" x14ac:dyDescent="0.45">
      <c r="A1" s="2" t="s">
        <v>0</v>
      </c>
      <c r="B1" s="3"/>
      <c r="C1" s="3"/>
      <c r="D1" s="3"/>
      <c r="E1" s="3"/>
      <c r="F1" s="3"/>
      <c r="G1" s="3"/>
      <c r="H1" s="3"/>
      <c r="I1" s="3"/>
      <c r="J1" s="3"/>
      <c r="K1" s="3"/>
      <c r="L1" s="3"/>
      <c r="M1" s="3"/>
      <c r="N1" s="3"/>
      <c r="O1" s="3"/>
      <c r="P1" s="3"/>
      <c r="Q1" s="3"/>
      <c r="R1" s="3"/>
      <c r="S1" s="3"/>
      <c r="T1" s="3"/>
    </row>
    <row r="2" spans="1:20" s="1" customFormat="1" ht="17.399999999999999" customHeight="1" x14ac:dyDescent="0.35">
      <c r="A2" s="4" t="s">
        <v>409</v>
      </c>
      <c r="B2" s="3"/>
      <c r="C2" s="3"/>
      <c r="D2" s="3"/>
      <c r="E2" s="3"/>
      <c r="F2" s="93"/>
      <c r="G2" s="93"/>
      <c r="H2" s="9"/>
      <c r="I2" s="9"/>
      <c r="J2" s="9"/>
      <c r="K2" s="9"/>
      <c r="L2" s="9"/>
      <c r="M2" s="9"/>
      <c r="N2" s="9"/>
      <c r="O2" s="9"/>
      <c r="P2" s="9"/>
      <c r="Q2" s="9"/>
      <c r="R2" s="9"/>
      <c r="S2" s="9"/>
      <c r="T2" s="9"/>
    </row>
    <row r="3" spans="1:20" x14ac:dyDescent="0.3">
      <c r="A3" s="1"/>
      <c r="B3" s="1"/>
      <c r="C3" s="1"/>
      <c r="D3" s="22"/>
      <c r="F3" s="59"/>
      <c r="G3" s="59"/>
    </row>
    <row r="4" spans="1:20" x14ac:dyDescent="0.3">
      <c r="A4" s="20" t="s">
        <v>419</v>
      </c>
      <c r="B4" s="92"/>
      <c r="C4" s="92"/>
      <c r="D4" s="20"/>
      <c r="E4" s="29"/>
      <c r="F4" s="83"/>
      <c r="G4" s="83"/>
      <c r="H4" s="84"/>
      <c r="I4" s="84"/>
      <c r="J4" s="84"/>
      <c r="K4" s="84"/>
      <c r="L4" s="84"/>
      <c r="M4" s="84"/>
    </row>
    <row r="5" spans="1:20" x14ac:dyDescent="0.3">
      <c r="D5" s="22"/>
      <c r="F5" s="31"/>
      <c r="G5" s="31"/>
    </row>
    <row r="6" spans="1:20" x14ac:dyDescent="0.3">
      <c r="C6" s="20" t="s">
        <v>379</v>
      </c>
      <c r="D6" s="29"/>
      <c r="E6" s="29"/>
      <c r="F6" s="30"/>
      <c r="G6" s="31"/>
    </row>
    <row r="7" spans="1:20" x14ac:dyDescent="0.3">
      <c r="D7" s="129" t="s">
        <v>273</v>
      </c>
      <c r="F7" s="53">
        <f>Assumptions!D20</f>
        <v>1833518.25</v>
      </c>
      <c r="G7" s="59"/>
    </row>
    <row r="8" spans="1:20" x14ac:dyDescent="0.3">
      <c r="D8" s="129" t="s">
        <v>311</v>
      </c>
      <c r="F8" s="53">
        <f>Model!L68</f>
        <v>16192</v>
      </c>
      <c r="G8" s="59"/>
    </row>
    <row r="9" spans="1:20" x14ac:dyDescent="0.3">
      <c r="D9" s="132" t="s">
        <v>380</v>
      </c>
      <c r="E9" s="38"/>
      <c r="F9" s="133">
        <f>SUM(F7:F8)</f>
        <v>1849710.25</v>
      </c>
      <c r="G9" s="31"/>
    </row>
    <row r="10" spans="1:20" x14ac:dyDescent="0.3">
      <c r="F10" s="31"/>
      <c r="G10" s="31"/>
    </row>
    <row r="11" spans="1:20" x14ac:dyDescent="0.3">
      <c r="C11" s="20" t="s">
        <v>382</v>
      </c>
      <c r="D11" s="29"/>
      <c r="E11" s="29"/>
      <c r="F11" s="30"/>
      <c r="G11" s="31"/>
    </row>
    <row r="12" spans="1:20" x14ac:dyDescent="0.3">
      <c r="D12" s="21" t="s">
        <v>58</v>
      </c>
      <c r="F12" s="134">
        <f>F7/F9</f>
        <v>0.99124619653267321</v>
      </c>
      <c r="G12" s="31"/>
    </row>
    <row r="13" spans="1:20" x14ac:dyDescent="0.3">
      <c r="D13" s="21" t="s">
        <v>265</v>
      </c>
      <c r="F13" s="134">
        <f>F8/F9</f>
        <v>8.7538034673268414E-3</v>
      </c>
      <c r="G13" s="31"/>
    </row>
    <row r="14" spans="1:20" x14ac:dyDescent="0.3">
      <c r="F14" s="135">
        <f>SUM(F12:F13)</f>
        <v>1</v>
      </c>
      <c r="G14" s="31"/>
    </row>
    <row r="15" spans="1:20" x14ac:dyDescent="0.3">
      <c r="F15" s="31"/>
      <c r="G15" s="31"/>
    </row>
    <row r="16" spans="1:20" x14ac:dyDescent="0.3">
      <c r="C16" s="20" t="s">
        <v>313</v>
      </c>
      <c r="D16" s="29"/>
      <c r="E16" s="29"/>
      <c r="F16" s="30"/>
      <c r="G16" s="31"/>
    </row>
    <row r="17" spans="1:20" x14ac:dyDescent="0.3">
      <c r="D17" s="21" t="s">
        <v>314</v>
      </c>
      <c r="F17" s="57">
        <f>Assumptions!D28</f>
        <v>0.124</v>
      </c>
    </row>
    <row r="18" spans="1:20" x14ac:dyDescent="0.3">
      <c r="D18" s="21" t="s">
        <v>312</v>
      </c>
      <c r="F18" s="57">
        <f>Model!M15</f>
        <v>8.8692838654012091E-2</v>
      </c>
    </row>
    <row r="19" spans="1:20" x14ac:dyDescent="0.3">
      <c r="D19" s="37" t="s">
        <v>315</v>
      </c>
      <c r="E19" s="37"/>
      <c r="F19" s="136">
        <f>F17*(1-F18)</f>
        <v>0.11300208800690249</v>
      </c>
    </row>
    <row r="21" spans="1:20" x14ac:dyDescent="0.3">
      <c r="C21" s="20" t="s">
        <v>316</v>
      </c>
      <c r="D21" s="29"/>
      <c r="E21" s="29"/>
      <c r="F21" s="194"/>
    </row>
    <row r="22" spans="1:20" x14ac:dyDescent="0.3">
      <c r="D22" s="21" t="s">
        <v>317</v>
      </c>
      <c r="F22" s="57">
        <f>Assumptions!D27</f>
        <v>6.7070000000000005E-2</v>
      </c>
    </row>
    <row r="23" spans="1:20" x14ac:dyDescent="0.3">
      <c r="D23" s="21" t="s">
        <v>318</v>
      </c>
      <c r="F23" s="57">
        <f>'Market Returns'!I11</f>
        <v>0.11235949628409636</v>
      </c>
      <c r="G23" s="81"/>
    </row>
    <row r="24" spans="1:20" x14ac:dyDescent="0.3">
      <c r="D24" s="21" t="s">
        <v>319</v>
      </c>
      <c r="F24" s="57">
        <f>F23-F22</f>
        <v>4.5289496284096356E-2</v>
      </c>
    </row>
    <row r="25" spans="1:20" x14ac:dyDescent="0.3">
      <c r="D25" s="21" t="s">
        <v>337</v>
      </c>
      <c r="F25" s="57">
        <f>'Equity Beta'!K8</f>
        <v>0.67239913867351053</v>
      </c>
    </row>
    <row r="26" spans="1:20" x14ac:dyDescent="0.3">
      <c r="D26" s="37" t="s">
        <v>316</v>
      </c>
      <c r="E26" s="37"/>
      <c r="F26" s="136">
        <f>F22+(F24*F25)</f>
        <v>9.7522618292383553E-2</v>
      </c>
    </row>
    <row r="27" spans="1:20" x14ac:dyDescent="0.3">
      <c r="F27" s="65"/>
    </row>
    <row r="28" spans="1:20" ht="16.2" thickBot="1" x14ac:dyDescent="0.35">
      <c r="D28" s="43" t="s">
        <v>320</v>
      </c>
      <c r="E28" s="44"/>
      <c r="F28" s="137">
        <f>(F19*F13)+(F26*F12)</f>
        <v>9.7658122528042901E-2</v>
      </c>
    </row>
    <row r="29" spans="1:20" ht="16.2" thickTop="1" x14ac:dyDescent="0.3"/>
    <row r="30" spans="1:20" x14ac:dyDescent="0.3">
      <c r="T30" s="21" t="s">
        <v>165</v>
      </c>
    </row>
    <row r="31" spans="1:20" x14ac:dyDescent="0.3">
      <c r="A31" s="20" t="s">
        <v>383</v>
      </c>
      <c r="B31" s="92"/>
      <c r="C31" s="92"/>
      <c r="D31" s="92"/>
      <c r="E31" s="92"/>
      <c r="F31" s="128"/>
      <c r="G31" s="128"/>
      <c r="H31" s="128"/>
      <c r="I31" s="128"/>
      <c r="J31" s="128"/>
      <c r="K31" s="128"/>
      <c r="L31" s="128"/>
      <c r="M31" s="128"/>
      <c r="N31" s="128"/>
      <c r="O31" s="128"/>
      <c r="P31" s="128"/>
      <c r="Q31" s="128"/>
      <c r="R31" s="128"/>
      <c r="S31" s="128"/>
      <c r="T31" s="128"/>
    </row>
    <row r="32" spans="1:20" ht="21.6" customHeight="1" x14ac:dyDescent="0.3">
      <c r="D32" s="308" t="s">
        <v>345</v>
      </c>
      <c r="E32" s="129"/>
      <c r="F32" s="310">
        <f>Model!H2</f>
        <v>2022</v>
      </c>
      <c r="G32" s="310">
        <f>Model!I2</f>
        <v>2023</v>
      </c>
      <c r="H32" s="310">
        <f>Model!J2</f>
        <v>2024</v>
      </c>
      <c r="I32" s="310">
        <f>Model!K2</f>
        <v>2025</v>
      </c>
      <c r="J32" s="310">
        <f>Model!L2</f>
        <v>2026</v>
      </c>
      <c r="K32" s="312">
        <f>Model!M2</f>
        <v>2027</v>
      </c>
      <c r="L32" s="312">
        <f>Model!N2</f>
        <v>2028</v>
      </c>
      <c r="M32" s="312">
        <f>Model!O2</f>
        <v>2029</v>
      </c>
      <c r="N32" s="312">
        <f>Model!P2</f>
        <v>2030</v>
      </c>
      <c r="O32" s="312">
        <f>Model!Q2</f>
        <v>2031</v>
      </c>
      <c r="P32" s="312">
        <f>Model!R2</f>
        <v>2032</v>
      </c>
      <c r="Q32" s="312">
        <f>Model!S2</f>
        <v>2033</v>
      </c>
      <c r="R32" s="312">
        <f>Model!T2</f>
        <v>2034</v>
      </c>
      <c r="S32" s="312">
        <f>Model!U2</f>
        <v>2035</v>
      </c>
      <c r="T32" s="312">
        <f>Model!V2</f>
        <v>2036</v>
      </c>
    </row>
    <row r="33" spans="2:21" x14ac:dyDescent="0.3">
      <c r="D33" s="309"/>
      <c r="E33" s="138"/>
      <c r="F33" s="311"/>
      <c r="G33" s="311"/>
      <c r="H33" s="311"/>
      <c r="I33" s="311"/>
      <c r="J33" s="311"/>
      <c r="K33" s="313"/>
      <c r="L33" s="313"/>
      <c r="M33" s="313"/>
      <c r="N33" s="313"/>
      <c r="O33" s="313"/>
      <c r="P33" s="313"/>
      <c r="Q33" s="313"/>
      <c r="R33" s="313"/>
      <c r="S33" s="313"/>
      <c r="T33" s="313"/>
    </row>
    <row r="34" spans="2:21" x14ac:dyDescent="0.3">
      <c r="D34" s="21" t="s">
        <v>324</v>
      </c>
      <c r="F34" s="53">
        <f>Model!H34</f>
        <v>61759.700000000012</v>
      </c>
      <c r="G34" s="53">
        <f>Model!I34</f>
        <v>61550.62</v>
      </c>
      <c r="H34" s="53">
        <f>Model!J34</f>
        <v>76363.12000000001</v>
      </c>
      <c r="I34" s="53">
        <f>Model!K34</f>
        <v>84689.599999999977</v>
      </c>
      <c r="J34" s="53">
        <f>Model!L34</f>
        <v>78631</v>
      </c>
      <c r="K34" s="53">
        <f>Model!M34</f>
        <v>93013.260366880277</v>
      </c>
      <c r="L34" s="53">
        <f>Model!N34</f>
        <v>102478.71734476091</v>
      </c>
      <c r="M34" s="53">
        <f>Model!O34</f>
        <v>111720.24011048827</v>
      </c>
      <c r="N34" s="53">
        <f>Model!P34</f>
        <v>120722.49574957471</v>
      </c>
      <c r="O34" s="53">
        <f>Model!Q34</f>
        <v>129464.65401335129</v>
      </c>
      <c r="P34" s="53">
        <f>Model!R34</f>
        <v>137924.45151742874</v>
      </c>
      <c r="Q34" s="53">
        <f>Model!S34</f>
        <v>146080.80965261086</v>
      </c>
      <c r="R34" s="53">
        <f>Model!T34</f>
        <v>153915.42506226862</v>
      </c>
      <c r="S34" s="53">
        <f>Model!U34</f>
        <v>161413.63699743114</v>
      </c>
      <c r="T34" s="53">
        <f>Model!V34</f>
        <v>168564.79336564301</v>
      </c>
    </row>
    <row r="35" spans="2:21" x14ac:dyDescent="0.3">
      <c r="D35" s="21" t="s">
        <v>384</v>
      </c>
      <c r="F35" s="53">
        <f>Model!H38</f>
        <v>14866</v>
      </c>
      <c r="G35" s="53">
        <f>Model!I38</f>
        <v>-4213.79</v>
      </c>
      <c r="H35" s="53">
        <f>Model!J38</f>
        <v>-6669.68</v>
      </c>
      <c r="I35" s="53">
        <f>Model!K38</f>
        <v>-9111.82</v>
      </c>
      <c r="J35" s="53">
        <f>Model!L38</f>
        <v>-7081</v>
      </c>
      <c r="K35" s="53">
        <f>Model!M38</f>
        <v>-8697.4942242637699</v>
      </c>
      <c r="L35" s="53">
        <f>Model!N38</f>
        <v>-9588.5551071877871</v>
      </c>
      <c r="M35" s="53">
        <f>Model!O38</f>
        <v>-11048.890951783971</v>
      </c>
      <c r="N35" s="53">
        <f>Model!P38</f>
        <v>-11945.395034111241</v>
      </c>
      <c r="O35" s="53">
        <f>Model!Q38</f>
        <v>-13500.323714596017</v>
      </c>
      <c r="P35" s="53">
        <f>Model!R38</f>
        <v>-14388.417919840729</v>
      </c>
      <c r="Q35" s="53">
        <f>Model!S38</f>
        <v>-16017.191928866074</v>
      </c>
      <c r="R35" s="53">
        <f>Model!T38</f>
        <v>-16881.671222820638</v>
      </c>
      <c r="S35" s="53">
        <f>Model!U38</f>
        <v>-18563.066971690205</v>
      </c>
      <c r="T35" s="53">
        <f>Model!V38</f>
        <v>-19390.384696857112</v>
      </c>
    </row>
    <row r="36" spans="2:21" x14ac:dyDescent="0.3">
      <c r="D36" s="21" t="s">
        <v>385</v>
      </c>
      <c r="F36" s="53">
        <f>-Model!H33</f>
        <v>33477.789999999994</v>
      </c>
      <c r="G36" s="53">
        <f>-Model!I33</f>
        <v>24724.9</v>
      </c>
      <c r="H36" s="53">
        <f>-Model!J33</f>
        <v>18590.59</v>
      </c>
      <c r="I36" s="53">
        <f>-Model!K33</f>
        <v>17821.400000000001</v>
      </c>
      <c r="J36" s="53">
        <f>-Model!L33</f>
        <v>17734</v>
      </c>
      <c r="K36" s="53">
        <f>-Model!M33</f>
        <v>17524.947777904679</v>
      </c>
      <c r="L36" s="53">
        <f>-Model!N33</f>
        <v>17162.312240747007</v>
      </c>
      <c r="M36" s="53">
        <f>-Model!O33</f>
        <v>16935.7709645451</v>
      </c>
      <c r="N36" s="53">
        <f>-Model!P33</f>
        <v>16803.765603092143</v>
      </c>
      <c r="O36" s="53">
        <f>-Model!Q33</f>
        <v>16737.467084951943</v>
      </c>
      <c r="P36" s="53">
        <f>-Model!R33</f>
        <v>16716.876845647712</v>
      </c>
      <c r="Q36" s="53">
        <f>-Model!S33</f>
        <v>16728.122189376259</v>
      </c>
      <c r="R36" s="53">
        <f>-Model!T33</f>
        <v>16761.58003769162</v>
      </c>
      <c r="S36" s="53">
        <f>-Model!U33</f>
        <v>16810.575343630328</v>
      </c>
      <c r="T36" s="53">
        <f>-Model!V33</f>
        <v>16870.47816055013</v>
      </c>
    </row>
    <row r="37" spans="2:21" x14ac:dyDescent="0.3">
      <c r="D37" s="21" t="s">
        <v>325</v>
      </c>
      <c r="F37" s="53">
        <f>-Model!H129</f>
        <v>0</v>
      </c>
      <c r="G37" s="53">
        <f>-Model!I129</f>
        <v>-19427.73000000001</v>
      </c>
      <c r="H37" s="53">
        <f>-Model!J129</f>
        <v>-14858.009999999998</v>
      </c>
      <c r="I37" s="53">
        <f>-Model!K129</f>
        <v>-14742.550000000003</v>
      </c>
      <c r="J37" s="53">
        <f>-Model!L129</f>
        <v>-16335.559999999998</v>
      </c>
      <c r="K37" s="53">
        <f>-Model!M129</f>
        <v>-16340.962500000001</v>
      </c>
      <c r="L37" s="53">
        <f>-Model!N129</f>
        <v>-16422.667312499998</v>
      </c>
      <c r="M37" s="53">
        <f>-Model!O129</f>
        <v>-16504.780649062497</v>
      </c>
      <c r="N37" s="53">
        <f>-Model!P129</f>
        <v>-16587.304552307807</v>
      </c>
      <c r="O37" s="53">
        <f>-Model!Q129</f>
        <v>-16670.241075069345</v>
      </c>
      <c r="P37" s="53">
        <f>-Model!R129</f>
        <v>-16753.592280444689</v>
      </c>
      <c r="Q37" s="53">
        <f>-Model!S129</f>
        <v>-16837.360241846909</v>
      </c>
      <c r="R37" s="53">
        <f>-Model!T129</f>
        <v>-16921.547043056144</v>
      </c>
      <c r="S37" s="53">
        <f>-Model!U129</f>
        <v>-17006.154778271422</v>
      </c>
      <c r="T37" s="53">
        <f>-Model!V129</f>
        <v>-17091.185552162777</v>
      </c>
    </row>
    <row r="38" spans="2:21" x14ac:dyDescent="0.3">
      <c r="D38" s="21" t="s">
        <v>386</v>
      </c>
      <c r="F38" s="53">
        <f>Model!H124</f>
        <v>-16909.919999999998</v>
      </c>
      <c r="G38" s="53">
        <f>Model!I124</f>
        <v>-1124.2199999999993</v>
      </c>
      <c r="H38" s="53">
        <f>Model!J124</f>
        <v>-3374.6600000000008</v>
      </c>
      <c r="I38" s="53">
        <f>Model!K124</f>
        <v>4611.7199999999993</v>
      </c>
      <c r="J38" s="53">
        <f>Model!L124</f>
        <v>858</v>
      </c>
      <c r="K38" s="53">
        <f>Model!M124</f>
        <v>-9394.9315441099825</v>
      </c>
      <c r="L38" s="53">
        <f>Model!N124</f>
        <v>-2962.7826626574606</v>
      </c>
      <c r="M38" s="53">
        <f>Model!O124</f>
        <v>-2934.1925506584739</v>
      </c>
      <c r="N38" s="53">
        <f>Model!P124</f>
        <v>-2887.0854940023273</v>
      </c>
      <c r="O38" s="53">
        <f>Model!Q124</f>
        <v>-2823.8153418043585</v>
      </c>
      <c r="P38" s="53">
        <f>Model!R124</f>
        <v>-2746.7897874812115</v>
      </c>
      <c r="Q38" s="53">
        <f>Model!S124</f>
        <v>-2658.388296459314</v>
      </c>
      <c r="R38" s="53">
        <f>Model!T124</f>
        <v>-2560.8973205773291</v>
      </c>
      <c r="S38" s="53">
        <f>Model!U124</f>
        <v>-2456.4619784128809</v>
      </c>
      <c r="T38" s="53">
        <f>Model!V124</f>
        <v>-2347.0526443071431</v>
      </c>
    </row>
    <row r="39" spans="2:21" x14ac:dyDescent="0.3">
      <c r="B39" s="33"/>
      <c r="F39" s="53"/>
      <c r="G39" s="53"/>
      <c r="H39" s="53"/>
      <c r="I39" s="53"/>
      <c r="J39" s="53"/>
      <c r="K39" s="53"/>
      <c r="L39" s="53"/>
      <c r="M39" s="53"/>
      <c r="N39" s="53"/>
      <c r="O39" s="53"/>
      <c r="P39" s="53"/>
      <c r="Q39" s="53"/>
      <c r="R39" s="53"/>
      <c r="S39" s="53"/>
      <c r="T39" s="53"/>
    </row>
    <row r="40" spans="2:21" ht="16.2" thickBot="1" x14ac:dyDescent="0.35">
      <c r="C40" s="22"/>
      <c r="D40" s="43" t="s">
        <v>383</v>
      </c>
      <c r="E40" s="44"/>
      <c r="F40" s="139">
        <f>SUM(F34:F39)</f>
        <v>93193.57</v>
      </c>
      <c r="G40" s="139">
        <f t="shared" ref="G40:T40" si="0">SUM(G34:G39)</f>
        <v>61509.78</v>
      </c>
      <c r="H40" s="139">
        <f t="shared" si="0"/>
        <v>70051.360000000001</v>
      </c>
      <c r="I40" s="139">
        <f t="shared" si="0"/>
        <v>83268.349999999962</v>
      </c>
      <c r="J40" s="139">
        <f t="shared" si="0"/>
        <v>73806.44</v>
      </c>
      <c r="K40" s="139">
        <f t="shared" si="0"/>
        <v>76104.819876411231</v>
      </c>
      <c r="L40" s="139">
        <f t="shared" si="0"/>
        <v>90667.024503162684</v>
      </c>
      <c r="M40" s="139">
        <f t="shared" si="0"/>
        <v>98168.146923528431</v>
      </c>
      <c r="N40" s="139">
        <f t="shared" si="0"/>
        <v>106106.47627224548</v>
      </c>
      <c r="O40" s="139">
        <f t="shared" si="0"/>
        <v>113207.74096683352</v>
      </c>
      <c r="P40" s="139">
        <f t="shared" si="0"/>
        <v>120752.5283753098</v>
      </c>
      <c r="Q40" s="139">
        <f t="shared" si="0"/>
        <v>127295.99137481482</v>
      </c>
      <c r="R40" s="139">
        <f t="shared" si="0"/>
        <v>134312.88951350615</v>
      </c>
      <c r="S40" s="139">
        <f t="shared" si="0"/>
        <v>140198.52861268699</v>
      </c>
      <c r="T40" s="139">
        <f t="shared" si="0"/>
        <v>146606.6486328661</v>
      </c>
      <c r="U40" s="52"/>
    </row>
    <row r="41" spans="2:21" ht="16.2" thickTop="1" x14ac:dyDescent="0.3">
      <c r="D41" s="22"/>
    </row>
    <row r="43" spans="2:21" x14ac:dyDescent="0.3">
      <c r="K43" s="199"/>
      <c r="L43" s="199"/>
      <c r="M43" s="199"/>
      <c r="N43" s="199"/>
      <c r="O43" s="199"/>
      <c r="P43" s="199"/>
      <c r="Q43" s="199"/>
      <c r="R43" s="199"/>
      <c r="S43" s="199"/>
      <c r="T43" s="199"/>
      <c r="U43" s="199"/>
    </row>
    <row r="45" spans="2:21" x14ac:dyDescent="0.3">
      <c r="C45" s="20" t="s">
        <v>388</v>
      </c>
      <c r="D45" s="29"/>
      <c r="E45" s="29"/>
      <c r="F45" s="194"/>
      <c r="J45" s="200"/>
      <c r="K45" s="199"/>
      <c r="L45" s="199"/>
      <c r="M45" s="199"/>
      <c r="N45" s="199"/>
      <c r="O45" s="199"/>
      <c r="P45" s="199"/>
      <c r="Q45" s="199"/>
      <c r="R45" s="199"/>
      <c r="S45" s="199"/>
      <c r="T45" s="199"/>
      <c r="U45" s="199"/>
    </row>
    <row r="46" spans="2:21" x14ac:dyDescent="0.3">
      <c r="D46" s="21" t="s">
        <v>321</v>
      </c>
      <c r="F46" s="94">
        <f>Assumptions!D26</f>
        <v>0.04</v>
      </c>
    </row>
    <row r="47" spans="2:21" x14ac:dyDescent="0.3">
      <c r="D47" s="21" t="s">
        <v>434</v>
      </c>
      <c r="F47" s="77">
        <f>'Comps Valuation'!T21</f>
        <v>32.563340389258684</v>
      </c>
    </row>
    <row r="48" spans="2:21" x14ac:dyDescent="0.3">
      <c r="F48" s="94"/>
    </row>
    <row r="49" spans="3:17" x14ac:dyDescent="0.3">
      <c r="D49" s="21" t="s">
        <v>432</v>
      </c>
      <c r="F49" s="53">
        <f>T40*(1+F46)/(F28-F46)</f>
        <v>2644396.1040185485</v>
      </c>
    </row>
    <row r="50" spans="3:17" x14ac:dyDescent="0.3">
      <c r="D50" s="21" t="s">
        <v>433</v>
      </c>
      <c r="F50" s="53">
        <f>(T34+T36)*F47</f>
        <v>6038391.8668820355</v>
      </c>
    </row>
    <row r="51" spans="3:17" x14ac:dyDescent="0.3">
      <c r="D51" s="22" t="s">
        <v>292</v>
      </c>
      <c r="E51" s="22"/>
      <c r="F51" s="52">
        <f>AVERAGE(F49:F50)</f>
        <v>4341393.985450292</v>
      </c>
    </row>
    <row r="53" spans="3:17" x14ac:dyDescent="0.3">
      <c r="C53" s="20" t="s">
        <v>326</v>
      </c>
      <c r="D53" s="29"/>
      <c r="E53" s="29"/>
      <c r="F53" s="194"/>
    </row>
    <row r="54" spans="3:17" x14ac:dyDescent="0.3">
      <c r="D54" s="21" t="s">
        <v>389</v>
      </c>
      <c r="F54" s="53">
        <f>NPV(F28,K40:T40)</f>
        <v>680381.60665091116</v>
      </c>
    </row>
    <row r="55" spans="3:17" x14ac:dyDescent="0.3">
      <c r="D55" s="21" t="s">
        <v>390</v>
      </c>
      <c r="F55" s="53">
        <f>PV(F28,COUNT(K32:T32),0,-F51)</f>
        <v>1709850.9166820624</v>
      </c>
    </row>
    <row r="57" spans="3:17" ht="16.2" thickBot="1" x14ac:dyDescent="0.35">
      <c r="D57" s="43" t="s">
        <v>327</v>
      </c>
      <c r="E57" s="44"/>
      <c r="F57" s="193">
        <f>SUM(F54:F56)</f>
        <v>2390232.5233329735</v>
      </c>
    </row>
    <row r="58" spans="3:17" ht="16.2" thickTop="1" x14ac:dyDescent="0.3"/>
    <row r="59" spans="3:17" x14ac:dyDescent="0.3">
      <c r="D59" s="21" t="s">
        <v>391</v>
      </c>
      <c r="F59" s="53">
        <f>Model!L47+Model!L48+Model!L51</f>
        <v>97778.999999999985</v>
      </c>
      <c r="G59" s="81"/>
    </row>
    <row r="60" spans="3:17" x14ac:dyDescent="0.3">
      <c r="D60" s="21" t="s">
        <v>392</v>
      </c>
      <c r="F60" s="53">
        <f>F8</f>
        <v>16192</v>
      </c>
    </row>
    <row r="61" spans="3:17" x14ac:dyDescent="0.3">
      <c r="D61" s="21" t="s">
        <v>393</v>
      </c>
      <c r="F61" s="53">
        <f>Model!L76</f>
        <v>-154</v>
      </c>
    </row>
    <row r="63" spans="3:17" ht="16.2" thickBot="1" x14ac:dyDescent="0.35">
      <c r="D63" s="43" t="s">
        <v>301</v>
      </c>
      <c r="E63" s="44"/>
      <c r="F63" s="139">
        <f>F57+F59-F60-F61</f>
        <v>2471973.5233329735</v>
      </c>
    </row>
    <row r="64" spans="3:17" ht="16.2" thickTop="1" x14ac:dyDescent="0.3">
      <c r="F64" s="53"/>
      <c r="K64" s="314"/>
      <c r="L64" s="314"/>
      <c r="M64" s="314"/>
      <c r="N64" s="314"/>
      <c r="O64" s="314"/>
      <c r="P64" s="314"/>
      <c r="Q64" s="314"/>
    </row>
    <row r="65" spans="1:17" x14ac:dyDescent="0.3">
      <c r="D65" s="21" t="s">
        <v>394</v>
      </c>
      <c r="F65" s="53">
        <f>Assumptions!D17</f>
        <v>4365</v>
      </c>
      <c r="K65" s="314"/>
      <c r="L65" s="314"/>
      <c r="M65" s="314"/>
      <c r="N65" s="314"/>
      <c r="O65" s="314"/>
      <c r="P65" s="314"/>
      <c r="Q65" s="314"/>
    </row>
    <row r="66" spans="1:17" x14ac:dyDescent="0.3">
      <c r="F66" s="53"/>
    </row>
    <row r="67" spans="1:17" ht="15.6" customHeight="1" thickBot="1" x14ac:dyDescent="0.35">
      <c r="D67" s="140" t="s">
        <v>395</v>
      </c>
      <c r="E67" s="140"/>
      <c r="F67" s="141">
        <f>F63/F65</f>
        <v>566.31695838097903</v>
      </c>
    </row>
    <row r="68" spans="1:17" ht="20.399999999999999" customHeight="1" thickTop="1" x14ac:dyDescent="0.3">
      <c r="F68" s="53"/>
    </row>
    <row r="69" spans="1:17" x14ac:dyDescent="0.3">
      <c r="D69" s="21" t="s">
        <v>323</v>
      </c>
      <c r="F69" s="53">
        <f>Assumptions!D19</f>
        <v>420.05</v>
      </c>
      <c r="H69" s="46"/>
    </row>
    <row r="71" spans="1:17" x14ac:dyDescent="0.3">
      <c r="D71" s="22" t="s">
        <v>396</v>
      </c>
      <c r="F71" s="57">
        <f>(F67-F69)/F69</f>
        <v>0.34821320885841928</v>
      </c>
      <c r="G71" s="81" t="str">
        <f>IF(F71&gt;0,"Buy","Sell")</f>
        <v>Buy</v>
      </c>
      <c r="I71" s="81"/>
    </row>
    <row r="72" spans="1:17" x14ac:dyDescent="0.3">
      <c r="D72" s="22"/>
      <c r="F72" s="53"/>
      <c r="G72" s="81"/>
    </row>
    <row r="73" spans="1:17" x14ac:dyDescent="0.3">
      <c r="C73" s="22"/>
    </row>
    <row r="74" spans="1:17" x14ac:dyDescent="0.3">
      <c r="C74" s="22"/>
    </row>
    <row r="75" spans="1:17" x14ac:dyDescent="0.3">
      <c r="A75" s="20" t="s">
        <v>397</v>
      </c>
      <c r="B75" s="92"/>
      <c r="C75" s="92"/>
      <c r="D75" s="20"/>
      <c r="E75" s="29"/>
      <c r="F75" s="83"/>
      <c r="G75" s="83"/>
      <c r="H75" s="84"/>
      <c r="I75" s="84"/>
      <c r="J75" s="84"/>
      <c r="K75" s="84"/>
      <c r="L75" s="84"/>
      <c r="M75" s="84"/>
    </row>
    <row r="76" spans="1:17" s="205" customFormat="1" x14ac:dyDescent="0.3">
      <c r="A76" s="204"/>
      <c r="D76" s="204"/>
      <c r="E76" s="206"/>
      <c r="F76" s="207"/>
      <c r="G76" s="207"/>
      <c r="H76" s="208"/>
      <c r="I76" s="208"/>
      <c r="J76" s="208"/>
      <c r="K76" s="208"/>
      <c r="L76" s="208"/>
      <c r="M76" s="208"/>
    </row>
    <row r="77" spans="1:17" x14ac:dyDescent="0.3">
      <c r="D77" s="22"/>
      <c r="F77" s="81"/>
      <c r="G77" s="81"/>
      <c r="H77" s="307" t="s">
        <v>436</v>
      </c>
      <c r="I77" s="307"/>
      <c r="J77" s="307"/>
      <c r="K77" s="307"/>
      <c r="L77" s="307"/>
    </row>
    <row r="79" spans="1:17" x14ac:dyDescent="0.3">
      <c r="B79" s="33"/>
      <c r="G79" s="142"/>
      <c r="H79" s="142"/>
      <c r="I79" s="306" t="s">
        <v>322</v>
      </c>
      <c r="J79" s="306"/>
      <c r="K79" s="306"/>
      <c r="L79" s="306"/>
      <c r="M79" s="306"/>
    </row>
    <row r="80" spans="1:17" x14ac:dyDescent="0.3">
      <c r="C80" s="22"/>
      <c r="G80" s="142"/>
      <c r="H80" s="130">
        <f>F67</f>
        <v>566.31695838097903</v>
      </c>
      <c r="I80" s="188">
        <v>0.08</v>
      </c>
      <c r="J80" s="188">
        <v>0.09</v>
      </c>
      <c r="K80" s="188">
        <v>9.7699999999999995E-2</v>
      </c>
      <c r="L80" s="188">
        <v>0.1</v>
      </c>
      <c r="M80" s="188">
        <v>0.11</v>
      </c>
    </row>
    <row r="81" spans="3:13" x14ac:dyDescent="0.3">
      <c r="D81" s="22"/>
      <c r="G81" s="305" t="s">
        <v>321</v>
      </c>
      <c r="H81" s="131">
        <v>0.02</v>
      </c>
      <c r="I81" s="143">
        <f t="dataTable" ref="I81:M85" dt2D="1" dtr="1" r1="F28" r2="F46" ca="1"/>
        <v>641.3674846568714</v>
      </c>
      <c r="J81" s="143">
        <v>576.05480843508622</v>
      </c>
      <c r="K81" s="143">
        <v>533.67378551230604</v>
      </c>
      <c r="L81" s="143">
        <v>522.07764083930215</v>
      </c>
      <c r="M81" s="143">
        <v>476.34421660176974</v>
      </c>
    </row>
    <row r="82" spans="3:13" x14ac:dyDescent="0.3">
      <c r="G82" s="305"/>
      <c r="H82" s="131">
        <v>0.03</v>
      </c>
      <c r="I82" s="202">
        <v>669.37047226786638</v>
      </c>
      <c r="J82" s="203">
        <v>594.46471780408115</v>
      </c>
      <c r="K82" s="203">
        <v>547.47053431031361</v>
      </c>
      <c r="L82" s="203">
        <v>534.79559422720308</v>
      </c>
      <c r="M82" s="143">
        <v>485.46222770784351</v>
      </c>
    </row>
    <row r="83" spans="3:13" x14ac:dyDescent="0.3">
      <c r="G83" s="305"/>
      <c r="H83" s="131">
        <v>0.04</v>
      </c>
      <c r="I83" s="202">
        <v>711.37495368435884</v>
      </c>
      <c r="J83" s="203">
        <v>620.23859092067414</v>
      </c>
      <c r="K83" s="201">
        <v>566.04951839359239</v>
      </c>
      <c r="L83" s="203">
        <v>551.75286541107096</v>
      </c>
      <c r="M83" s="143">
        <v>497.18538484422413</v>
      </c>
    </row>
    <row r="84" spans="3:13" x14ac:dyDescent="0.3">
      <c r="G84" s="305"/>
      <c r="H84" s="131">
        <v>0.05</v>
      </c>
      <c r="I84" s="202">
        <v>781.38242271184652</v>
      </c>
      <c r="J84" s="203">
        <v>658.89940059556363</v>
      </c>
      <c r="K84" s="203">
        <v>592.41843291011173</v>
      </c>
      <c r="L84" s="203">
        <v>575.49304506848603</v>
      </c>
      <c r="M84" s="143">
        <v>512.81626102606481</v>
      </c>
    </row>
    <row r="85" spans="3:13" x14ac:dyDescent="0.3">
      <c r="G85" s="305"/>
      <c r="H85" s="131">
        <v>0.06</v>
      </c>
      <c r="I85" s="143">
        <v>921.39736076682152</v>
      </c>
      <c r="J85" s="143">
        <v>723.33408338704601</v>
      </c>
      <c r="K85" s="143">
        <v>632.77616149375001</v>
      </c>
      <c r="L85" s="143">
        <v>611.10331455460869</v>
      </c>
      <c r="M85" s="143">
        <v>534.69948768064205</v>
      </c>
    </row>
    <row r="86" spans="3:13" x14ac:dyDescent="0.3">
      <c r="G86" s="269"/>
      <c r="H86" s="267"/>
      <c r="I86" s="268"/>
      <c r="J86" s="268"/>
      <c r="K86" s="268"/>
      <c r="L86" s="268"/>
      <c r="M86" s="268"/>
    </row>
    <row r="88" spans="3:13" x14ac:dyDescent="0.3">
      <c r="G88" s="142"/>
      <c r="H88" s="142"/>
      <c r="I88" s="306" t="s">
        <v>322</v>
      </c>
      <c r="J88" s="306"/>
      <c r="K88" s="306"/>
      <c r="L88" s="306"/>
      <c r="M88" s="306"/>
    </row>
    <row r="89" spans="3:13" x14ac:dyDescent="0.3">
      <c r="G89" s="142"/>
      <c r="H89" s="130">
        <f>F67</f>
        <v>566.31695838097903</v>
      </c>
      <c r="I89" s="188">
        <v>0.08</v>
      </c>
      <c r="J89" s="188">
        <v>0.09</v>
      </c>
      <c r="K89" s="188">
        <v>9.7699999999999995E-2</v>
      </c>
      <c r="L89" s="188">
        <v>0.1</v>
      </c>
      <c r="M89" s="188">
        <v>0.11</v>
      </c>
    </row>
    <row r="90" spans="3:13" x14ac:dyDescent="0.3">
      <c r="G90" s="305" t="s">
        <v>435</v>
      </c>
      <c r="H90" s="270">
        <v>25</v>
      </c>
      <c r="I90" s="271">
        <f t="dataTable" ref="I90:M94" dt2D="1" dtr="1" r1="F28" r2="F47"/>
        <v>636.96103209906914</v>
      </c>
      <c r="J90" s="271">
        <v>552.37657327640204</v>
      </c>
      <c r="K90" s="271">
        <v>502.8003084406883</v>
      </c>
      <c r="L90" s="271">
        <v>489.81376469966682</v>
      </c>
      <c r="M90" s="271">
        <v>440.60551301690708</v>
      </c>
    </row>
    <row r="91" spans="3:13" x14ac:dyDescent="0.3">
      <c r="F91" s="81"/>
      <c r="G91" s="305"/>
      <c r="H91" s="270">
        <v>30</v>
      </c>
      <c r="I91" s="271">
        <v>686.15485239239547</v>
      </c>
      <c r="J91" s="272">
        <v>597.23903757897961</v>
      </c>
      <c r="K91" s="272">
        <v>544.61332140697596</v>
      </c>
      <c r="L91" s="272">
        <v>530.76068598286656</v>
      </c>
      <c r="M91" s="271">
        <v>478.00953618349007</v>
      </c>
    </row>
    <row r="92" spans="3:13" x14ac:dyDescent="0.3">
      <c r="D92" s="22"/>
      <c r="F92" s="81"/>
      <c r="G92" s="305"/>
      <c r="H92" s="270">
        <v>32.56</v>
      </c>
      <c r="I92" s="271">
        <v>711.34208838257859</v>
      </c>
      <c r="J92" s="272">
        <v>620.20861930189926</v>
      </c>
      <c r="K92" s="273">
        <v>566.02158404571526</v>
      </c>
      <c r="L92" s="272">
        <v>551.7255096798649</v>
      </c>
      <c r="M92" s="271">
        <v>497.16039604478073</v>
      </c>
    </row>
    <row r="93" spans="3:13" x14ac:dyDescent="0.3">
      <c r="G93" s="305"/>
      <c r="H93" s="270">
        <v>35</v>
      </c>
      <c r="I93" s="271">
        <v>735.34867268572191</v>
      </c>
      <c r="J93" s="272">
        <v>642.10150188155717</v>
      </c>
      <c r="K93" s="272">
        <v>586.42633437326356</v>
      </c>
      <c r="L93" s="272">
        <v>571.70760726606647</v>
      </c>
      <c r="M93" s="271">
        <v>515.41355935007334</v>
      </c>
    </row>
    <row r="94" spans="3:13" x14ac:dyDescent="0.3">
      <c r="D94" s="22"/>
      <c r="F94" s="81"/>
      <c r="G94" s="305"/>
      <c r="H94" s="270">
        <v>40</v>
      </c>
      <c r="I94" s="271">
        <v>784.54249297904835</v>
      </c>
      <c r="J94" s="271">
        <v>686.96396618413462</v>
      </c>
      <c r="K94" s="271">
        <v>628.23934733955116</v>
      </c>
      <c r="L94" s="271">
        <v>612.65452854926616</v>
      </c>
      <c r="M94" s="271">
        <v>552.81758251665644</v>
      </c>
    </row>
    <row r="96" spans="3:13" x14ac:dyDescent="0.3">
      <c r="C96" s="22"/>
    </row>
    <row r="99" spans="6:10" x14ac:dyDescent="0.3">
      <c r="H99" s="46"/>
    </row>
    <row r="100" spans="6:10" x14ac:dyDescent="0.3">
      <c r="H100" s="32"/>
      <c r="I100" s="32"/>
      <c r="J100" s="32"/>
    </row>
    <row r="102" spans="6:10" x14ac:dyDescent="0.3">
      <c r="F102" s="21"/>
    </row>
    <row r="113" spans="3:7" x14ac:dyDescent="0.3">
      <c r="D113" s="22"/>
      <c r="F113" s="81"/>
      <c r="G113" s="81"/>
    </row>
    <row r="115" spans="3:7" x14ac:dyDescent="0.3">
      <c r="C115" s="22"/>
    </row>
    <row r="118" spans="3:7" x14ac:dyDescent="0.3">
      <c r="F118" s="21"/>
    </row>
    <row r="125" spans="3:7" x14ac:dyDescent="0.3">
      <c r="F125" s="21"/>
    </row>
    <row r="127" spans="3:7" x14ac:dyDescent="0.3">
      <c r="D127" s="22"/>
      <c r="F127" s="81"/>
      <c r="G127" s="81"/>
    </row>
    <row r="129" spans="3:7" x14ac:dyDescent="0.3">
      <c r="C129" s="22"/>
    </row>
    <row r="130" spans="3:7" x14ac:dyDescent="0.3">
      <c r="D130" s="22"/>
      <c r="F130" s="81"/>
      <c r="G130" s="81"/>
    </row>
    <row r="133" spans="3:7" x14ac:dyDescent="0.3">
      <c r="D133" s="22"/>
    </row>
    <row r="134" spans="3:7" x14ac:dyDescent="0.3">
      <c r="D134" s="22"/>
      <c r="G134" s="21"/>
    </row>
    <row r="140" spans="3:7" x14ac:dyDescent="0.3">
      <c r="D140" s="22"/>
      <c r="F140" s="81"/>
      <c r="G140" s="81"/>
    </row>
  </sheetData>
  <mergeCells count="22">
    <mergeCell ref="K64:Q65"/>
    <mergeCell ref="M32:M33"/>
    <mergeCell ref="L32:L33"/>
    <mergeCell ref="N32:N33"/>
    <mergeCell ref="O32:O33"/>
    <mergeCell ref="P32:P33"/>
    <mergeCell ref="Q32:Q33"/>
    <mergeCell ref="J32:J33"/>
    <mergeCell ref="K32:K33"/>
    <mergeCell ref="R32:R33"/>
    <mergeCell ref="S32:S33"/>
    <mergeCell ref="T32:T33"/>
    <mergeCell ref="D32:D33"/>
    <mergeCell ref="F32:F33"/>
    <mergeCell ref="G32:G33"/>
    <mergeCell ref="H32:H33"/>
    <mergeCell ref="I32:I33"/>
    <mergeCell ref="G90:G94"/>
    <mergeCell ref="I88:M88"/>
    <mergeCell ref="H77:L77"/>
    <mergeCell ref="G81:G85"/>
    <mergeCell ref="I79:M79"/>
  </mergeCells>
  <phoneticPr fontId="22" type="noConversion"/>
  <conditionalFormatting sqref="G71">
    <cfRule type="containsText" dxfId="4" priority="1" operator="containsText" text="Sell">
      <formula>NOT(ISERROR(SEARCH("Sell",G71)))</formula>
    </cfRule>
    <cfRule type="containsText" dxfId="3" priority="5" operator="containsText" text="Buy">
      <formula>NOT(ISERROR(SEARCH("Buy",G71)))</formula>
    </cfRule>
  </conditionalFormatting>
  <conditionalFormatting sqref="I71">
    <cfRule type="containsText" dxfId="2" priority="2" operator="containsText" text="sell">
      <formula>NOT(ISERROR(SEARCH("sell",I71)))</formula>
    </cfRule>
    <cfRule type="containsText" dxfId="1" priority="3" operator="containsText" text="Buy">
      <formula>NOT(ISERROR(SEARCH("Buy",I71)))</formula>
    </cfRule>
    <cfRule type="containsText" dxfId="0" priority="4" operator="containsText" text="Buy">
      <formula>NOT(ISERROR(SEARCH("Buy",I71)))</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CFB23-2FFA-4F61-A292-2E8CC5375963}">
  <dimension ref="A1:N202"/>
  <sheetViews>
    <sheetView showGridLines="0" zoomScale="89" zoomScaleNormal="106" workbookViewId="0">
      <pane ySplit="4" topLeftCell="A5" activePane="bottomLeft" state="frozen"/>
      <selection pane="bottomLeft"/>
    </sheetView>
  </sheetViews>
  <sheetFormatPr defaultColWidth="11.77734375" defaultRowHeight="15.6" x14ac:dyDescent="0.3"/>
  <cols>
    <col min="1" max="3" width="1.33203125" style="1" customWidth="1"/>
    <col min="4" max="4" width="52.21875" style="21" customWidth="1"/>
    <col min="5" max="5" width="13.88671875" style="21" bestFit="1" customWidth="1"/>
    <col min="6" max="6" width="12.77734375" style="21" customWidth="1"/>
    <col min="7" max="7" width="2.77734375" style="21" customWidth="1"/>
    <col min="8" max="8" width="14.77734375" style="32" bestFit="1" customWidth="1"/>
    <col min="9" max="9" width="13" style="32" bestFit="1" customWidth="1"/>
    <col min="10" max="10" width="14.77734375" style="32" bestFit="1" customWidth="1"/>
    <col min="11" max="11" width="27.33203125" style="32" bestFit="1" customWidth="1"/>
    <col min="12" max="12" width="14.6640625" style="21" bestFit="1" customWidth="1"/>
    <col min="13" max="14" width="12.88671875" style="21" bestFit="1" customWidth="1"/>
    <col min="15" max="16384" width="11.77734375" style="21"/>
  </cols>
  <sheetData>
    <row r="1" spans="1:14" s="1" customFormat="1" ht="43.8" customHeight="1" x14ac:dyDescent="0.45">
      <c r="A1" s="2" t="s">
        <v>0</v>
      </c>
      <c r="B1" s="3"/>
      <c r="C1" s="3"/>
      <c r="D1" s="3"/>
      <c r="E1" s="3"/>
      <c r="F1" s="3"/>
      <c r="G1" s="3"/>
      <c r="H1" s="3"/>
      <c r="I1" s="3"/>
      <c r="J1" s="3"/>
      <c r="K1" s="3"/>
      <c r="L1" s="3"/>
      <c r="M1" s="3"/>
      <c r="N1" s="3"/>
    </row>
    <row r="2" spans="1:14" s="1" customFormat="1" ht="17.399999999999999" customHeight="1" x14ac:dyDescent="0.35">
      <c r="A2" s="4" t="s">
        <v>511</v>
      </c>
      <c r="B2" s="3"/>
      <c r="C2" s="3"/>
      <c r="D2" s="3"/>
      <c r="E2" s="3"/>
      <c r="F2" s="3"/>
      <c r="G2" s="3"/>
      <c r="H2" s="93"/>
      <c r="I2" s="93"/>
      <c r="J2" s="93"/>
      <c r="K2" s="93"/>
      <c r="L2" s="9"/>
      <c r="M2" s="9"/>
      <c r="N2" s="9"/>
    </row>
    <row r="3" spans="1:14" s="11" customFormat="1" ht="17.399999999999999" customHeight="1" x14ac:dyDescent="0.35">
      <c r="A3" s="10"/>
      <c r="H3" s="12"/>
      <c r="I3" s="12"/>
      <c r="J3" s="12"/>
      <c r="K3" s="12"/>
      <c r="L3" s="13"/>
      <c r="M3" s="13"/>
      <c r="N3" s="13"/>
    </row>
    <row r="4" spans="1:14" s="11" customFormat="1" ht="17.399999999999999" customHeight="1" x14ac:dyDescent="0.35">
      <c r="A4" s="10"/>
      <c r="B4" s="10"/>
      <c r="D4" s="54"/>
      <c r="E4" s="54"/>
      <c r="F4" s="54"/>
      <c r="G4" s="54"/>
      <c r="H4" s="54"/>
      <c r="I4" s="54"/>
      <c r="J4" s="54"/>
      <c r="K4" s="54"/>
      <c r="L4" s="13"/>
      <c r="M4" s="13"/>
      <c r="N4" s="13"/>
    </row>
    <row r="5" spans="1:14" s="1" customFormat="1" x14ac:dyDescent="0.3">
      <c r="C5" s="14"/>
      <c r="D5" s="21"/>
      <c r="E5" s="21"/>
      <c r="F5" s="21"/>
      <c r="G5" s="21"/>
      <c r="H5" s="31"/>
      <c r="I5" s="32"/>
      <c r="J5" s="31"/>
      <c r="K5" s="31"/>
      <c r="L5" s="54" t="s">
        <v>510</v>
      </c>
    </row>
    <row r="6" spans="1:14" s="71" customFormat="1" x14ac:dyDescent="0.3">
      <c r="A6" s="1"/>
      <c r="B6" s="1"/>
      <c r="C6" s="22"/>
      <c r="D6" s="315" t="s">
        <v>267</v>
      </c>
      <c r="E6" s="316" t="s">
        <v>283</v>
      </c>
      <c r="F6" s="29"/>
      <c r="G6" s="29"/>
      <c r="H6" s="317"/>
      <c r="I6" s="317"/>
      <c r="J6" s="317"/>
      <c r="K6" s="317"/>
      <c r="L6" s="306"/>
      <c r="M6" s="306"/>
      <c r="N6" s="306"/>
    </row>
    <row r="7" spans="1:14" s="71" customFormat="1" x14ac:dyDescent="0.3">
      <c r="A7" s="1"/>
      <c r="B7" s="1"/>
      <c r="C7" s="1"/>
      <c r="D7" s="315"/>
      <c r="E7" s="316"/>
      <c r="F7" s="29"/>
      <c r="G7" s="29"/>
      <c r="H7" s="73" t="s">
        <v>268</v>
      </c>
      <c r="I7" s="74" t="s">
        <v>270</v>
      </c>
      <c r="J7" s="74" t="s">
        <v>265</v>
      </c>
      <c r="K7" s="88" t="s">
        <v>179</v>
      </c>
      <c r="L7" s="72" t="s">
        <v>275</v>
      </c>
      <c r="M7" s="72" t="s">
        <v>170</v>
      </c>
      <c r="N7" s="72" t="s">
        <v>276</v>
      </c>
    </row>
    <row r="8" spans="1:14" s="71" customFormat="1" x14ac:dyDescent="0.3">
      <c r="A8" s="1"/>
      <c r="B8" s="1"/>
      <c r="C8" s="1"/>
      <c r="D8" s="315"/>
      <c r="E8" s="316"/>
      <c r="F8" s="29"/>
      <c r="G8" s="29"/>
      <c r="H8" s="75" t="s">
        <v>269</v>
      </c>
      <c r="I8" s="76" t="s">
        <v>271</v>
      </c>
      <c r="J8" s="76" t="s">
        <v>272</v>
      </c>
      <c r="K8" s="76" t="s">
        <v>272</v>
      </c>
      <c r="L8" s="76" t="s">
        <v>272</v>
      </c>
      <c r="M8" s="76" t="s">
        <v>272</v>
      </c>
      <c r="N8" s="76" t="s">
        <v>272</v>
      </c>
    </row>
    <row r="9" spans="1:14" s="1" customFormat="1" x14ac:dyDescent="0.3">
      <c r="D9" s="167" t="s">
        <v>0</v>
      </c>
      <c r="E9" s="87" t="s">
        <v>285</v>
      </c>
      <c r="F9" s="255"/>
      <c r="G9" s="255"/>
      <c r="H9" s="31">
        <f>Assumptions!D11</f>
        <v>420.05</v>
      </c>
      <c r="I9" s="31">
        <f>Assumptions!D17</f>
        <v>4365</v>
      </c>
      <c r="J9" s="31">
        <f>Model!L68</f>
        <v>16192</v>
      </c>
      <c r="K9" s="31">
        <f>Model!L47+Model!L48+Model!L51</f>
        <v>97778.999999999985</v>
      </c>
      <c r="L9" s="31">
        <f>Model!L26</f>
        <v>377951</v>
      </c>
      <c r="M9" s="31">
        <f>Model!L32</f>
        <v>96365</v>
      </c>
      <c r="N9" s="31">
        <f>Model!L39</f>
        <v>77526</v>
      </c>
    </row>
    <row r="10" spans="1:14" s="1" customFormat="1" x14ac:dyDescent="0.3">
      <c r="D10" s="21" t="s">
        <v>279</v>
      </c>
      <c r="E10" s="86" t="s">
        <v>288</v>
      </c>
      <c r="F10" s="21"/>
      <c r="G10" s="21"/>
      <c r="H10" s="31">
        <v>8902</v>
      </c>
      <c r="I10" s="31">
        <v>324.60000000000002</v>
      </c>
      <c r="J10" s="31">
        <v>87</v>
      </c>
      <c r="K10" s="31">
        <v>55702</v>
      </c>
      <c r="L10" s="23">
        <v>429042</v>
      </c>
      <c r="M10" s="23">
        <v>117104</v>
      </c>
      <c r="N10" s="23">
        <v>85650</v>
      </c>
    </row>
    <row r="11" spans="1:14" s="1" customFormat="1" x14ac:dyDescent="0.3">
      <c r="D11" s="21" t="s">
        <v>411</v>
      </c>
      <c r="E11" s="87" t="s">
        <v>284</v>
      </c>
      <c r="F11" s="21"/>
      <c r="G11" s="21"/>
      <c r="H11" s="31">
        <v>2047</v>
      </c>
      <c r="I11" s="31">
        <v>2720</v>
      </c>
      <c r="J11" s="31">
        <v>4741</v>
      </c>
      <c r="K11" s="31">
        <v>142604</v>
      </c>
      <c r="L11" s="23">
        <v>603504</v>
      </c>
      <c r="M11" s="23">
        <v>186966</v>
      </c>
      <c r="N11" s="23">
        <v>132531</v>
      </c>
    </row>
    <row r="12" spans="1:14" s="1" customFormat="1" x14ac:dyDescent="0.3">
      <c r="D12" s="21" t="s">
        <v>280</v>
      </c>
      <c r="E12" s="87" t="s">
        <v>289</v>
      </c>
      <c r="F12" s="21"/>
      <c r="G12" s="21"/>
      <c r="H12" s="31">
        <v>444.35</v>
      </c>
      <c r="I12" s="31">
        <v>17723</v>
      </c>
      <c r="J12" s="31">
        <v>128732</v>
      </c>
      <c r="K12" s="31">
        <v>19937</v>
      </c>
      <c r="L12" s="23">
        <v>1319257</v>
      </c>
      <c r="M12" s="23">
        <v>245184</v>
      </c>
      <c r="N12" s="23">
        <v>186869</v>
      </c>
    </row>
    <row r="13" spans="1:14" s="1" customFormat="1" x14ac:dyDescent="0.3">
      <c r="D13" s="21" t="s">
        <v>420</v>
      </c>
      <c r="E13" s="87" t="s">
        <v>421</v>
      </c>
      <c r="F13" s="21"/>
      <c r="G13" s="21"/>
      <c r="H13" s="31">
        <v>1076.9000000000001</v>
      </c>
      <c r="I13" s="31">
        <v>10232</v>
      </c>
      <c r="J13" s="31">
        <v>441581</v>
      </c>
      <c r="K13" s="31">
        <v>100541</v>
      </c>
      <c r="L13" s="23">
        <v>1517790</v>
      </c>
      <c r="M13" s="23">
        <v>315624</v>
      </c>
      <c r="N13" s="23">
        <v>186147</v>
      </c>
    </row>
    <row r="14" spans="1:14" s="1" customFormat="1" x14ac:dyDescent="0.3">
      <c r="D14" s="21" t="s">
        <v>281</v>
      </c>
      <c r="E14" s="87" t="s">
        <v>286</v>
      </c>
      <c r="F14" s="21"/>
      <c r="G14" s="21"/>
      <c r="H14" s="31">
        <v>461.75</v>
      </c>
      <c r="I14" s="31">
        <v>3254</v>
      </c>
      <c r="J14" s="31">
        <v>13534.6</v>
      </c>
      <c r="K14" s="31">
        <v>11922.4</v>
      </c>
      <c r="L14" s="31">
        <v>239194.2</v>
      </c>
      <c r="M14" s="23">
        <v>23615.599999999999</v>
      </c>
      <c r="N14" s="23">
        <v>20019</v>
      </c>
    </row>
    <row r="15" spans="1:14" s="1" customFormat="1" x14ac:dyDescent="0.3">
      <c r="D15" s="21" t="s">
        <v>282</v>
      </c>
      <c r="E15" s="87" t="s">
        <v>287</v>
      </c>
      <c r="F15" s="21"/>
      <c r="G15" s="21"/>
      <c r="H15" s="31">
        <v>7610.5</v>
      </c>
      <c r="I15" s="31">
        <v>326</v>
      </c>
      <c r="J15" s="31">
        <v>2</v>
      </c>
      <c r="K15" s="31">
        <v>26926</v>
      </c>
      <c r="L15" s="23">
        <v>309953</v>
      </c>
      <c r="M15" s="23">
        <v>94305</v>
      </c>
      <c r="N15" s="23">
        <v>65431</v>
      </c>
    </row>
    <row r="16" spans="1:14" s="1" customFormat="1" x14ac:dyDescent="0.3">
      <c r="D16" s="21" t="s">
        <v>290</v>
      </c>
      <c r="E16" s="87" t="s">
        <v>291</v>
      </c>
      <c r="H16" s="31">
        <v>616.20000000000005</v>
      </c>
      <c r="I16" s="31">
        <v>1306</v>
      </c>
      <c r="J16" s="31">
        <v>1579.73</v>
      </c>
      <c r="K16" s="24">
        <v>2170.73</v>
      </c>
      <c r="L16" s="23">
        <v>116471.34</v>
      </c>
      <c r="M16" s="23">
        <v>22092.080000000002</v>
      </c>
      <c r="N16" s="23">
        <v>19018.099999999999</v>
      </c>
    </row>
    <row r="17" spans="3:14" s="1" customFormat="1" ht="14.4" x14ac:dyDescent="0.3">
      <c r="H17" s="78"/>
      <c r="I17" s="78"/>
      <c r="J17" s="78"/>
      <c r="K17" s="78"/>
      <c r="L17" s="49"/>
      <c r="M17" s="49"/>
      <c r="N17" s="49"/>
    </row>
    <row r="18" spans="3:14" s="1" customFormat="1" ht="14.4" x14ac:dyDescent="0.3">
      <c r="H18" s="78"/>
      <c r="I18" s="78"/>
      <c r="J18" s="78"/>
      <c r="K18" s="79"/>
      <c r="L18" s="49"/>
      <c r="M18" s="49"/>
      <c r="N18" s="49"/>
    </row>
    <row r="19" spans="3:14" s="1" customFormat="1" ht="14.4" x14ac:dyDescent="0.3">
      <c r="H19" s="78"/>
      <c r="I19" s="78"/>
      <c r="J19" s="78"/>
      <c r="K19" s="78"/>
      <c r="L19" s="49"/>
      <c r="M19" s="49"/>
      <c r="N19" s="49"/>
    </row>
    <row r="20" spans="3:14" x14ac:dyDescent="0.3">
      <c r="D20" s="254"/>
      <c r="E20" s="255"/>
      <c r="F20" s="255"/>
      <c r="G20" s="255"/>
      <c r="H20" s="256"/>
      <c r="I20" s="256"/>
      <c r="J20" s="256"/>
      <c r="K20" s="256"/>
      <c r="L20" s="257"/>
      <c r="M20" s="257"/>
      <c r="N20" s="257"/>
    </row>
    <row r="21" spans="3:14" x14ac:dyDescent="0.3">
      <c r="D21" s="254"/>
      <c r="E21" s="255"/>
      <c r="F21" s="255"/>
      <c r="G21" s="255"/>
      <c r="H21" s="256"/>
      <c r="I21" s="256"/>
      <c r="J21" s="256"/>
      <c r="K21" s="256"/>
      <c r="L21" s="257"/>
      <c r="M21" s="257"/>
      <c r="N21" s="257"/>
    </row>
    <row r="22" spans="3:14" x14ac:dyDescent="0.3">
      <c r="D22" s="22"/>
      <c r="H22" s="258"/>
      <c r="I22" s="258"/>
      <c r="J22" s="258"/>
      <c r="K22" s="258"/>
    </row>
    <row r="23" spans="3:14" s="1" customFormat="1" x14ac:dyDescent="0.3">
      <c r="C23" s="14"/>
      <c r="D23" s="21"/>
      <c r="E23" s="21"/>
      <c r="F23" s="21"/>
      <c r="G23" s="21"/>
      <c r="H23" s="259"/>
      <c r="I23" s="259"/>
      <c r="J23" s="259"/>
      <c r="K23" s="259"/>
      <c r="L23" s="261"/>
      <c r="M23" s="261"/>
      <c r="N23" s="261"/>
    </row>
    <row r="24" spans="3:14" x14ac:dyDescent="0.3">
      <c r="D24" s="22"/>
      <c r="H24" s="258"/>
      <c r="I24" s="258"/>
      <c r="J24" s="258"/>
      <c r="K24" s="258"/>
    </row>
    <row r="25" spans="3:14" x14ac:dyDescent="0.3">
      <c r="D25" s="262"/>
      <c r="E25" s="263"/>
      <c r="F25" s="263"/>
      <c r="G25" s="263"/>
      <c r="H25" s="264"/>
      <c r="I25" s="265"/>
      <c r="J25" s="264"/>
      <c r="K25" s="264"/>
      <c r="L25" s="257"/>
      <c r="M25" s="257"/>
      <c r="N25" s="257"/>
    </row>
    <row r="26" spans="3:14" x14ac:dyDescent="0.3">
      <c r="D26" s="22"/>
      <c r="E26" s="89"/>
      <c r="H26" s="260"/>
      <c r="J26" s="260"/>
      <c r="K26" s="260"/>
    </row>
    <row r="27" spans="3:14" x14ac:dyDescent="0.3">
      <c r="D27" s="22"/>
      <c r="E27" s="89"/>
      <c r="H27" s="260"/>
      <c r="J27" s="260"/>
      <c r="K27" s="260"/>
    </row>
    <row r="28" spans="3:14" x14ac:dyDescent="0.3">
      <c r="D28" s="22"/>
      <c r="E28" s="89"/>
      <c r="H28" s="260"/>
      <c r="J28" s="260"/>
      <c r="K28" s="260"/>
    </row>
    <row r="29" spans="3:14" x14ac:dyDescent="0.3">
      <c r="H29" s="258"/>
      <c r="I29" s="260"/>
      <c r="J29" s="260"/>
      <c r="K29" s="260"/>
    </row>
    <row r="30" spans="3:14" x14ac:dyDescent="0.3">
      <c r="H30" s="260"/>
      <c r="I30" s="260"/>
      <c r="J30" s="260"/>
      <c r="K30" s="260"/>
    </row>
    <row r="31" spans="3:14" x14ac:dyDescent="0.3">
      <c r="H31" s="260"/>
      <c r="I31" s="260"/>
      <c r="J31" s="260"/>
      <c r="K31" s="260"/>
    </row>
    <row r="32" spans="3:14" x14ac:dyDescent="0.3">
      <c r="D32" s="22"/>
      <c r="H32" s="260"/>
      <c r="I32" s="258"/>
      <c r="J32" s="258"/>
      <c r="K32" s="258"/>
    </row>
    <row r="33" spans="4:11" x14ac:dyDescent="0.3">
      <c r="D33" s="22"/>
      <c r="H33" s="258"/>
      <c r="I33" s="258"/>
      <c r="J33" s="258"/>
      <c r="K33" s="258"/>
    </row>
    <row r="34" spans="4:11" x14ac:dyDescent="0.3">
      <c r="D34" s="22"/>
      <c r="H34" s="260"/>
      <c r="I34" s="260"/>
      <c r="J34" s="260"/>
      <c r="K34" s="260"/>
    </row>
    <row r="35" spans="4:11" x14ac:dyDescent="0.3">
      <c r="H35" s="260"/>
      <c r="I35" s="260"/>
      <c r="J35" s="260"/>
      <c r="K35" s="260"/>
    </row>
    <row r="36" spans="4:11" x14ac:dyDescent="0.3">
      <c r="H36" s="260"/>
      <c r="I36" s="260"/>
      <c r="J36" s="260"/>
      <c r="K36" s="260"/>
    </row>
    <row r="40" spans="4:11" x14ac:dyDescent="0.3">
      <c r="K40" s="21"/>
    </row>
    <row r="42" spans="4:11" x14ac:dyDescent="0.3">
      <c r="D42" s="22"/>
      <c r="H42" s="81"/>
      <c r="J42" s="81"/>
      <c r="K42" s="81"/>
    </row>
    <row r="43" spans="4:11" x14ac:dyDescent="0.3">
      <c r="D43" s="22"/>
      <c r="H43" s="81"/>
      <c r="I43" s="81"/>
      <c r="J43" s="81"/>
      <c r="K43" s="81"/>
    </row>
    <row r="44" spans="4:11" x14ac:dyDescent="0.3">
      <c r="K44" s="21"/>
    </row>
    <row r="47" spans="4:11" x14ac:dyDescent="0.3">
      <c r="K47" s="21"/>
    </row>
    <row r="50" spans="2:11" x14ac:dyDescent="0.3">
      <c r="K50" s="21"/>
    </row>
    <row r="53" spans="2:11" x14ac:dyDescent="0.3">
      <c r="K53" s="21"/>
    </row>
    <row r="59" spans="2:11" ht="18" x14ac:dyDescent="0.35">
      <c r="B59" s="10"/>
    </row>
    <row r="60" spans="2:11" x14ac:dyDescent="0.3">
      <c r="C60" s="14"/>
    </row>
    <row r="61" spans="2:11" x14ac:dyDescent="0.3">
      <c r="D61" s="22"/>
    </row>
    <row r="76" spans="4:11" x14ac:dyDescent="0.3">
      <c r="D76" s="22"/>
      <c r="H76" s="81"/>
      <c r="I76" s="81"/>
      <c r="J76" s="81"/>
      <c r="K76" s="81"/>
    </row>
    <row r="77" spans="4:11" x14ac:dyDescent="0.3">
      <c r="D77" s="22"/>
    </row>
    <row r="79" spans="4:11" x14ac:dyDescent="0.3">
      <c r="K79" s="21"/>
    </row>
    <row r="88" spans="3:14" x14ac:dyDescent="0.3">
      <c r="D88" s="22"/>
      <c r="H88" s="81"/>
      <c r="I88" s="81"/>
      <c r="J88" s="81"/>
      <c r="K88" s="81"/>
    </row>
    <row r="89" spans="3:14" x14ac:dyDescent="0.3">
      <c r="D89" s="22"/>
      <c r="H89" s="81"/>
      <c r="I89" s="81"/>
      <c r="J89" s="81"/>
      <c r="K89" s="81"/>
    </row>
    <row r="90" spans="3:14" x14ac:dyDescent="0.3">
      <c r="C90" s="14"/>
    </row>
    <row r="91" spans="3:14" x14ac:dyDescent="0.3">
      <c r="D91" s="22"/>
    </row>
    <row r="93" spans="3:14" x14ac:dyDescent="0.3">
      <c r="L93" s="32"/>
      <c r="M93" s="32"/>
      <c r="N93" s="32"/>
    </row>
    <row r="96" spans="3:14" x14ac:dyDescent="0.3">
      <c r="D96" s="22"/>
      <c r="H96" s="81"/>
      <c r="I96" s="81"/>
      <c r="J96" s="81"/>
      <c r="K96" s="81"/>
    </row>
    <row r="97" spans="4:11" x14ac:dyDescent="0.3">
      <c r="D97" s="22"/>
    </row>
    <row r="98" spans="4:11" x14ac:dyDescent="0.3">
      <c r="D98" s="22"/>
    </row>
    <row r="105" spans="4:11" x14ac:dyDescent="0.3">
      <c r="D105" s="22"/>
      <c r="H105" s="81"/>
      <c r="I105" s="81"/>
      <c r="J105" s="81"/>
      <c r="K105" s="81"/>
    </row>
    <row r="106" spans="4:11" x14ac:dyDescent="0.3">
      <c r="D106" s="22"/>
    </row>
    <row r="110" spans="4:11" x14ac:dyDescent="0.3">
      <c r="K110" s="21"/>
    </row>
    <row r="117" spans="2:11" x14ac:dyDescent="0.3">
      <c r="D117" s="22"/>
      <c r="H117" s="81"/>
      <c r="I117" s="81"/>
      <c r="J117" s="81"/>
      <c r="K117" s="81"/>
    </row>
    <row r="118" spans="2:11" x14ac:dyDescent="0.3">
      <c r="D118" s="22"/>
      <c r="H118" s="81"/>
      <c r="I118" s="81"/>
      <c r="J118" s="81"/>
      <c r="K118" s="81"/>
    </row>
    <row r="122" spans="2:11" ht="18" x14ac:dyDescent="0.35">
      <c r="B122" s="10"/>
    </row>
    <row r="123" spans="2:11" x14ac:dyDescent="0.3">
      <c r="C123" s="14"/>
    </row>
    <row r="124" spans="2:11" x14ac:dyDescent="0.3">
      <c r="D124" s="22"/>
    </row>
    <row r="134" spans="4:11" x14ac:dyDescent="0.3">
      <c r="J134" s="34"/>
      <c r="K134" s="34"/>
    </row>
    <row r="137" spans="4:11" x14ac:dyDescent="0.3">
      <c r="J137" s="34"/>
      <c r="K137" s="35"/>
    </row>
    <row r="138" spans="4:11" x14ac:dyDescent="0.3">
      <c r="J138" s="34"/>
      <c r="K138" s="35"/>
    </row>
    <row r="139" spans="4:11" x14ac:dyDescent="0.3">
      <c r="J139" s="34"/>
      <c r="K139" s="35"/>
    </row>
    <row r="141" spans="4:11" x14ac:dyDescent="0.3">
      <c r="J141" s="35"/>
      <c r="K141" s="34"/>
    </row>
    <row r="142" spans="4:11" x14ac:dyDescent="0.3">
      <c r="J142" s="35"/>
      <c r="K142" s="35"/>
    </row>
    <row r="143" spans="4:11" x14ac:dyDescent="0.3">
      <c r="K143" s="34"/>
    </row>
    <row r="144" spans="4:11" x14ac:dyDescent="0.3">
      <c r="D144" s="22"/>
      <c r="H144" s="81"/>
      <c r="I144" s="81"/>
      <c r="J144" s="81"/>
      <c r="K144" s="81"/>
    </row>
    <row r="146" spans="3:11" x14ac:dyDescent="0.3">
      <c r="D146" s="22"/>
    </row>
    <row r="153" spans="3:11" x14ac:dyDescent="0.3">
      <c r="H153" s="81"/>
      <c r="I153" s="81"/>
      <c r="J153" s="81"/>
      <c r="K153" s="81"/>
    </row>
    <row r="154" spans="3:11" x14ac:dyDescent="0.3">
      <c r="D154" s="22"/>
      <c r="H154" s="81"/>
      <c r="I154" s="81"/>
      <c r="J154" s="81"/>
      <c r="K154" s="81"/>
    </row>
    <row r="156" spans="3:11" x14ac:dyDescent="0.3">
      <c r="D156" s="22"/>
      <c r="H156" s="81"/>
      <c r="I156" s="81"/>
      <c r="J156" s="81"/>
      <c r="K156" s="81"/>
    </row>
    <row r="158" spans="3:11" x14ac:dyDescent="0.3">
      <c r="C158" s="14"/>
    </row>
    <row r="162" spans="4:14" x14ac:dyDescent="0.3">
      <c r="L162" s="32"/>
      <c r="M162" s="32"/>
      <c r="N162" s="32"/>
    </row>
    <row r="163" spans="4:14" x14ac:dyDescent="0.3">
      <c r="K163" s="34"/>
    </row>
    <row r="164" spans="4:14" x14ac:dyDescent="0.3">
      <c r="H164" s="21"/>
      <c r="J164" s="34"/>
    </row>
    <row r="165" spans="4:14" x14ac:dyDescent="0.3">
      <c r="J165" s="34"/>
    </row>
    <row r="166" spans="4:14" x14ac:dyDescent="0.3">
      <c r="J166" s="34"/>
    </row>
    <row r="172" spans="4:14" x14ac:dyDescent="0.3">
      <c r="K172" s="34"/>
    </row>
    <row r="175" spans="4:14" x14ac:dyDescent="0.3">
      <c r="D175" s="22"/>
      <c r="H175" s="81"/>
      <c r="I175" s="81"/>
      <c r="J175" s="81"/>
      <c r="K175" s="81"/>
    </row>
    <row r="177" spans="3:11" x14ac:dyDescent="0.3">
      <c r="C177" s="14"/>
    </row>
    <row r="180" spans="3:11" x14ac:dyDescent="0.3">
      <c r="H180" s="21"/>
      <c r="J180" s="34"/>
    </row>
    <row r="181" spans="3:11" x14ac:dyDescent="0.3">
      <c r="K181" s="34"/>
    </row>
    <row r="187" spans="3:11" x14ac:dyDescent="0.3">
      <c r="H187" s="21"/>
      <c r="J187" s="34"/>
    </row>
    <row r="188" spans="3:11" x14ac:dyDescent="0.3">
      <c r="K188" s="21"/>
    </row>
    <row r="189" spans="3:11" x14ac:dyDescent="0.3">
      <c r="D189" s="22"/>
      <c r="H189" s="81"/>
      <c r="I189" s="81"/>
      <c r="J189" s="81"/>
      <c r="K189" s="82"/>
    </row>
    <row r="191" spans="3:11" x14ac:dyDescent="0.3">
      <c r="C191" s="14"/>
    </row>
    <row r="192" spans="3:11" x14ac:dyDescent="0.3">
      <c r="D192" s="22"/>
      <c r="H192" s="81"/>
      <c r="I192" s="81"/>
      <c r="J192" s="81"/>
      <c r="K192" s="81"/>
    </row>
    <row r="195" spans="4:11" x14ac:dyDescent="0.3">
      <c r="D195" s="22"/>
    </row>
    <row r="196" spans="4:11" x14ac:dyDescent="0.3">
      <c r="D196" s="22"/>
      <c r="I196" s="21"/>
    </row>
    <row r="202" spans="4:11" x14ac:dyDescent="0.3">
      <c r="D202" s="22"/>
      <c r="H202" s="81"/>
      <c r="I202" s="81"/>
      <c r="J202" s="81"/>
      <c r="K202" s="81"/>
    </row>
  </sheetData>
  <mergeCells count="4">
    <mergeCell ref="D6:D8"/>
    <mergeCell ref="E6:E8"/>
    <mergeCell ref="H6:K6"/>
    <mergeCell ref="L6:N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F757F-6EA2-4049-9E1B-033B9A20F300}">
  <dimension ref="A1:U202"/>
  <sheetViews>
    <sheetView showGridLines="0" tabSelected="1" topLeftCell="J1" zoomScale="89" zoomScaleNormal="106" workbookViewId="0">
      <pane ySplit="4" topLeftCell="A5" activePane="bottomLeft" state="frozen"/>
      <selection pane="bottomLeft" activeCell="T15" sqref="T15"/>
    </sheetView>
  </sheetViews>
  <sheetFormatPr defaultColWidth="11.77734375" defaultRowHeight="15.6" x14ac:dyDescent="0.3"/>
  <cols>
    <col min="1" max="3" width="1.33203125" style="1" customWidth="1"/>
    <col min="4" max="4" width="52.21875" style="21" customWidth="1"/>
    <col min="5" max="5" width="13.88671875" style="21" bestFit="1" customWidth="1"/>
    <col min="6" max="6" width="12.77734375" style="21" customWidth="1"/>
    <col min="7" max="7" width="2.77734375" style="21" customWidth="1"/>
    <col min="8" max="8" width="14.77734375" style="32" bestFit="1" customWidth="1"/>
    <col min="9" max="9" width="13" style="32" bestFit="1" customWidth="1"/>
    <col min="10" max="10" width="15.88671875" style="32" bestFit="1" customWidth="1"/>
    <col min="11" max="11" width="14.77734375" style="32" bestFit="1" customWidth="1"/>
    <col min="12" max="12" width="27.33203125" style="32" bestFit="1" customWidth="1"/>
    <col min="13" max="13" width="15.88671875" style="21" bestFit="1" customWidth="1"/>
    <col min="14" max="14" width="11.77734375" style="21"/>
    <col min="15" max="15" width="14.6640625" style="21" bestFit="1" customWidth="1"/>
    <col min="16" max="17" width="12.88671875" style="21" bestFit="1" customWidth="1"/>
    <col min="18" max="18" width="11.77734375" style="21"/>
    <col min="19" max="19" width="13.88671875" style="21" bestFit="1" customWidth="1"/>
    <col min="20" max="21" width="15" style="21" bestFit="1" customWidth="1"/>
    <col min="22" max="16384" width="11.77734375" style="21"/>
  </cols>
  <sheetData>
    <row r="1" spans="1:21" s="1" customFormat="1" ht="43.8" customHeight="1" x14ac:dyDescent="0.45">
      <c r="A1" s="2" t="s">
        <v>0</v>
      </c>
      <c r="B1" s="3"/>
      <c r="C1" s="3"/>
      <c r="D1" s="3"/>
      <c r="E1" s="3"/>
      <c r="F1" s="3"/>
      <c r="G1" s="3"/>
      <c r="H1" s="3"/>
      <c r="I1" s="3"/>
      <c r="J1" s="3"/>
      <c r="K1" s="3"/>
      <c r="L1" s="3"/>
      <c r="M1" s="7"/>
      <c r="N1" s="3"/>
      <c r="O1" s="3"/>
      <c r="P1" s="3"/>
      <c r="Q1" s="3"/>
      <c r="R1" s="3"/>
      <c r="S1" s="3"/>
      <c r="T1" s="3"/>
      <c r="U1" s="3"/>
    </row>
    <row r="2" spans="1:21" s="1" customFormat="1" ht="17.399999999999999" customHeight="1" x14ac:dyDescent="0.35">
      <c r="A2" s="4" t="s">
        <v>303</v>
      </c>
      <c r="B2" s="3"/>
      <c r="C2" s="3"/>
      <c r="D2" s="3"/>
      <c r="E2" s="3"/>
      <c r="F2" s="3"/>
      <c r="G2" s="3"/>
      <c r="H2" s="93"/>
      <c r="I2" s="93"/>
      <c r="J2" s="93"/>
      <c r="K2" s="93"/>
      <c r="L2" s="93"/>
      <c r="M2" s="8"/>
      <c r="N2" s="9"/>
      <c r="O2" s="9"/>
      <c r="P2" s="9"/>
      <c r="Q2" s="9"/>
      <c r="R2" s="9"/>
      <c r="S2" s="9"/>
      <c r="T2" s="9"/>
      <c r="U2" s="9"/>
    </row>
    <row r="3" spans="1:21" s="11" customFormat="1" ht="17.399999999999999" customHeight="1" x14ac:dyDescent="0.35">
      <c r="A3" s="10"/>
      <c r="H3" s="12"/>
      <c r="I3" s="12"/>
      <c r="J3" s="12"/>
      <c r="K3" s="12"/>
      <c r="L3" s="12"/>
      <c r="M3" s="13"/>
      <c r="N3" s="13"/>
      <c r="O3" s="13"/>
      <c r="P3" s="13"/>
      <c r="Q3" s="13"/>
    </row>
    <row r="4" spans="1:21" s="11" customFormat="1" ht="17.399999999999999" customHeight="1" x14ac:dyDescent="0.35">
      <c r="A4" s="10"/>
      <c r="B4" s="10"/>
      <c r="D4" s="54"/>
      <c r="E4" s="54"/>
      <c r="F4" s="54"/>
      <c r="G4" s="54"/>
      <c r="H4" s="54"/>
      <c r="I4" s="54"/>
      <c r="J4" s="54"/>
      <c r="K4" s="54"/>
      <c r="L4" s="54"/>
      <c r="M4" s="13"/>
      <c r="N4" s="13"/>
      <c r="O4" s="13"/>
      <c r="P4" s="13"/>
      <c r="Q4" s="13"/>
    </row>
    <row r="5" spans="1:21" s="11" customFormat="1" ht="17.399999999999999" customHeight="1" x14ac:dyDescent="0.35">
      <c r="A5" s="10"/>
      <c r="B5" s="10"/>
      <c r="D5" s="54"/>
      <c r="E5" s="54"/>
      <c r="F5" s="54"/>
      <c r="G5" s="54"/>
      <c r="H5" s="54"/>
      <c r="I5" s="54"/>
      <c r="J5" s="54"/>
      <c r="K5" s="54"/>
      <c r="L5" s="54"/>
      <c r="M5" s="13"/>
      <c r="N5" s="13"/>
      <c r="O5" s="13"/>
      <c r="P5" s="13"/>
      <c r="Q5" s="13"/>
    </row>
    <row r="6" spans="1:21" s="1" customFormat="1" x14ac:dyDescent="0.3">
      <c r="C6" s="14"/>
      <c r="D6" s="21"/>
      <c r="E6" s="21"/>
      <c r="F6" s="21"/>
      <c r="G6" s="21"/>
      <c r="H6" s="31"/>
      <c r="I6" s="32"/>
      <c r="J6" s="32"/>
      <c r="K6" s="31"/>
      <c r="L6" s="31"/>
    </row>
    <row r="7" spans="1:21" s="71" customFormat="1" x14ac:dyDescent="0.3">
      <c r="A7" s="1"/>
      <c r="B7" s="1"/>
      <c r="C7" s="22"/>
      <c r="D7" s="315" t="s">
        <v>267</v>
      </c>
      <c r="E7" s="316" t="s">
        <v>283</v>
      </c>
      <c r="F7" s="29"/>
      <c r="G7" s="29"/>
      <c r="H7" s="317" t="s">
        <v>277</v>
      </c>
      <c r="I7" s="317"/>
      <c r="J7" s="317"/>
      <c r="K7" s="317"/>
      <c r="L7" s="317"/>
      <c r="M7" s="317"/>
      <c r="N7" s="29"/>
      <c r="O7" s="306" t="s">
        <v>278</v>
      </c>
      <c r="P7" s="306"/>
      <c r="Q7" s="306"/>
      <c r="R7" s="29"/>
      <c r="S7" s="306" t="s">
        <v>294</v>
      </c>
      <c r="T7" s="306"/>
      <c r="U7" s="306"/>
    </row>
    <row r="8" spans="1:21" s="71" customFormat="1" x14ac:dyDescent="0.3">
      <c r="A8" s="1"/>
      <c r="B8" s="1"/>
      <c r="C8" s="1"/>
      <c r="D8" s="315"/>
      <c r="E8" s="316"/>
      <c r="F8" s="29"/>
      <c r="G8" s="29"/>
      <c r="H8" s="73" t="s">
        <v>268</v>
      </c>
      <c r="I8" s="74" t="s">
        <v>270</v>
      </c>
      <c r="J8" s="74" t="s">
        <v>273</v>
      </c>
      <c r="K8" s="74" t="s">
        <v>265</v>
      </c>
      <c r="L8" s="88" t="s">
        <v>179</v>
      </c>
      <c r="M8" s="72" t="s">
        <v>274</v>
      </c>
      <c r="N8" s="75"/>
      <c r="O8" s="72" t="s">
        <v>275</v>
      </c>
      <c r="P8" s="72" t="s">
        <v>170</v>
      </c>
      <c r="Q8" s="72" t="s">
        <v>276</v>
      </c>
      <c r="R8" s="29"/>
      <c r="S8" s="85" t="s">
        <v>295</v>
      </c>
      <c r="T8" s="85" t="s">
        <v>296</v>
      </c>
      <c r="U8" s="85" t="s">
        <v>297</v>
      </c>
    </row>
    <row r="9" spans="1:21" s="71" customFormat="1" x14ac:dyDescent="0.3">
      <c r="A9" s="1"/>
      <c r="B9" s="1"/>
      <c r="C9" s="1"/>
      <c r="D9" s="315"/>
      <c r="E9" s="316"/>
      <c r="F9" s="29"/>
      <c r="G9" s="29"/>
      <c r="H9" s="75" t="s">
        <v>269</v>
      </c>
      <c r="I9" s="76" t="s">
        <v>271</v>
      </c>
      <c r="J9" s="76" t="s">
        <v>272</v>
      </c>
      <c r="K9" s="76" t="s">
        <v>272</v>
      </c>
      <c r="L9" s="76" t="s">
        <v>272</v>
      </c>
      <c r="M9" s="76" t="s">
        <v>272</v>
      </c>
      <c r="N9" s="75"/>
      <c r="O9" s="76" t="s">
        <v>272</v>
      </c>
      <c r="P9" s="76" t="s">
        <v>272</v>
      </c>
      <c r="Q9" s="76" t="s">
        <v>272</v>
      </c>
      <c r="R9" s="29"/>
      <c r="S9" s="85" t="s">
        <v>298</v>
      </c>
      <c r="T9" s="85" t="s">
        <v>298</v>
      </c>
      <c r="U9" s="85" t="s">
        <v>298</v>
      </c>
    </row>
    <row r="10" spans="1:21" s="1" customFormat="1" x14ac:dyDescent="0.3">
      <c r="D10" s="21" t="s">
        <v>279</v>
      </c>
      <c r="E10" s="86" t="s">
        <v>288</v>
      </c>
      <c r="F10" s="21"/>
      <c r="G10" s="21"/>
      <c r="H10" s="219">
        <f>'Comps Inputs'!H10</f>
        <v>8902</v>
      </c>
      <c r="I10" s="219">
        <f>'Comps Inputs'!I10</f>
        <v>324.60000000000002</v>
      </c>
      <c r="J10" s="31">
        <f t="shared" ref="J10:J16" si="0">H10*I10</f>
        <v>2889589.2</v>
      </c>
      <c r="K10" s="219">
        <f>'Comps Inputs'!J10</f>
        <v>87</v>
      </c>
      <c r="L10" s="219">
        <f>'Comps Inputs'!K10</f>
        <v>55702</v>
      </c>
      <c r="M10" s="23">
        <f t="shared" ref="M10:M16" si="1">J10+K10-L10</f>
        <v>2833974.2</v>
      </c>
      <c r="N10" s="23"/>
      <c r="O10" s="220">
        <f>'Comps Inputs'!L10</f>
        <v>429042</v>
      </c>
      <c r="P10" s="220">
        <f>'Comps Inputs'!M10</f>
        <v>117104</v>
      </c>
      <c r="Q10" s="220">
        <f>'Comps Inputs'!N10</f>
        <v>85650</v>
      </c>
      <c r="S10" s="89">
        <f>M10/O10</f>
        <v>6.605353788207216</v>
      </c>
      <c r="T10" s="89">
        <f>M10/P10</f>
        <v>24.200490162590519</v>
      </c>
      <c r="U10" s="89">
        <f>J10/Q10</f>
        <v>33.737176882661998</v>
      </c>
    </row>
    <row r="11" spans="1:21" s="1" customFormat="1" x14ac:dyDescent="0.3">
      <c r="D11" s="21" t="s">
        <v>411</v>
      </c>
      <c r="E11" s="87" t="s">
        <v>284</v>
      </c>
      <c r="F11" s="21"/>
      <c r="G11" s="21"/>
      <c r="H11" s="219">
        <f>'Comps Inputs'!H11</f>
        <v>2047</v>
      </c>
      <c r="I11" s="219">
        <f>'Comps Inputs'!I11</f>
        <v>2720</v>
      </c>
      <c r="J11" s="31">
        <f t="shared" si="0"/>
        <v>5567840</v>
      </c>
      <c r="K11" s="219">
        <f>'Comps Inputs'!J11</f>
        <v>4741</v>
      </c>
      <c r="L11" s="219">
        <f>'Comps Inputs'!K11</f>
        <v>142604</v>
      </c>
      <c r="M11" s="23">
        <f t="shared" si="1"/>
        <v>5429977</v>
      </c>
      <c r="N11" s="23"/>
      <c r="O11" s="220">
        <f>'Comps Inputs'!L11</f>
        <v>603504</v>
      </c>
      <c r="P11" s="220">
        <f>'Comps Inputs'!M11</f>
        <v>186966</v>
      </c>
      <c r="Q11" s="220">
        <f>'Comps Inputs'!N11</f>
        <v>132531</v>
      </c>
      <c r="S11" s="89">
        <f t="shared" ref="S11:S16" si="2">M11/O11</f>
        <v>8.997416752830139</v>
      </c>
      <c r="T11" s="89">
        <f t="shared" ref="T11:T16" si="3">M11/P11</f>
        <v>29.042590631451709</v>
      </c>
      <c r="U11" s="89">
        <f t="shared" ref="U11:U16" si="4">J11/Q11</f>
        <v>42.011604832077026</v>
      </c>
    </row>
    <row r="12" spans="1:21" s="1" customFormat="1" x14ac:dyDescent="0.3">
      <c r="D12" s="21" t="s">
        <v>280</v>
      </c>
      <c r="E12" s="87" t="s">
        <v>289</v>
      </c>
      <c r="F12" s="21"/>
      <c r="G12" s="21"/>
      <c r="H12" s="219">
        <f>'Comps Inputs'!H12</f>
        <v>444.35</v>
      </c>
      <c r="I12" s="219">
        <f>'Comps Inputs'!I12</f>
        <v>17723</v>
      </c>
      <c r="J12" s="31">
        <f t="shared" si="0"/>
        <v>7875215.0500000007</v>
      </c>
      <c r="K12" s="219">
        <f>'Comps Inputs'!J12</f>
        <v>128732</v>
      </c>
      <c r="L12" s="219">
        <f>'Comps Inputs'!K12</f>
        <v>19937</v>
      </c>
      <c r="M12" s="23">
        <f t="shared" si="1"/>
        <v>7984010.0500000007</v>
      </c>
      <c r="N12" s="23"/>
      <c r="O12" s="220">
        <f>'Comps Inputs'!L12</f>
        <v>1319257</v>
      </c>
      <c r="P12" s="220">
        <f>'Comps Inputs'!M12</f>
        <v>245184</v>
      </c>
      <c r="Q12" s="220">
        <f>'Comps Inputs'!N12</f>
        <v>186869</v>
      </c>
      <c r="S12" s="89">
        <f t="shared" si="2"/>
        <v>6.0518989476652392</v>
      </c>
      <c r="T12" s="89">
        <f t="shared" si="3"/>
        <v>32.563340389258684</v>
      </c>
      <c r="U12" s="89">
        <f t="shared" si="4"/>
        <v>42.142972082046782</v>
      </c>
    </row>
    <row r="13" spans="1:21" s="1" customFormat="1" x14ac:dyDescent="0.3">
      <c r="D13" s="21" t="s">
        <v>420</v>
      </c>
      <c r="E13" s="87" t="s">
        <v>421</v>
      </c>
      <c r="F13" s="21"/>
      <c r="G13" s="21"/>
      <c r="H13" s="219">
        <f>'Comps Inputs'!H13</f>
        <v>1076.9000000000001</v>
      </c>
      <c r="I13" s="219">
        <f>'Comps Inputs'!I13</f>
        <v>10232</v>
      </c>
      <c r="J13" s="31">
        <f t="shared" si="0"/>
        <v>11018840.800000001</v>
      </c>
      <c r="K13" s="219">
        <f>'Comps Inputs'!J13</f>
        <v>441581</v>
      </c>
      <c r="L13" s="219">
        <f>'Comps Inputs'!K13</f>
        <v>100541</v>
      </c>
      <c r="M13" s="23">
        <f t="shared" si="1"/>
        <v>11359880.800000001</v>
      </c>
      <c r="N13" s="23"/>
      <c r="O13" s="220">
        <f>'Comps Inputs'!L13</f>
        <v>1517790</v>
      </c>
      <c r="P13" s="220">
        <f>'Comps Inputs'!M13</f>
        <v>315624</v>
      </c>
      <c r="Q13" s="220">
        <f>'Comps Inputs'!N13</f>
        <v>186147</v>
      </c>
      <c r="S13" s="89">
        <f t="shared" si="2"/>
        <v>7.4844878408739026</v>
      </c>
      <c r="T13" s="89">
        <f t="shared" si="3"/>
        <v>35.991815578029559</v>
      </c>
      <c r="U13" s="89">
        <f t="shared" si="4"/>
        <v>59.194296980343495</v>
      </c>
    </row>
    <row r="14" spans="1:21" s="1" customFormat="1" x14ac:dyDescent="0.3">
      <c r="D14" s="21" t="s">
        <v>281</v>
      </c>
      <c r="E14" s="87" t="s">
        <v>286</v>
      </c>
      <c r="F14" s="21"/>
      <c r="G14" s="21"/>
      <c r="H14" s="219">
        <f>'Comps Inputs'!H14</f>
        <v>461.75</v>
      </c>
      <c r="I14" s="219">
        <f>'Comps Inputs'!I14</f>
        <v>3254</v>
      </c>
      <c r="J14" s="31">
        <f t="shared" si="0"/>
        <v>1502534.5</v>
      </c>
      <c r="K14" s="219">
        <f>'Comps Inputs'!J14</f>
        <v>13534.6</v>
      </c>
      <c r="L14" s="219">
        <f>'Comps Inputs'!K14</f>
        <v>11922.4</v>
      </c>
      <c r="M14" s="23">
        <f t="shared" si="1"/>
        <v>1504146.7000000002</v>
      </c>
      <c r="N14" s="31"/>
      <c r="O14" s="219">
        <f>'Comps Inputs'!L14</f>
        <v>239194.2</v>
      </c>
      <c r="P14" s="220">
        <f>'Comps Inputs'!M14</f>
        <v>23615.599999999999</v>
      </c>
      <c r="Q14" s="220">
        <f>'Comps Inputs'!N14</f>
        <v>20019</v>
      </c>
      <c r="S14" s="95">
        <f t="shared" si="2"/>
        <v>6.2883911900873857</v>
      </c>
      <c r="T14" s="89">
        <f t="shared" si="3"/>
        <v>63.692927556361063</v>
      </c>
      <c r="U14" s="89">
        <f t="shared" si="4"/>
        <v>75.055422348768673</v>
      </c>
    </row>
    <row r="15" spans="1:21" s="1" customFormat="1" x14ac:dyDescent="0.3">
      <c r="D15" s="21" t="s">
        <v>282</v>
      </c>
      <c r="E15" s="87" t="s">
        <v>287</v>
      </c>
      <c r="F15" s="21"/>
      <c r="G15" s="21"/>
      <c r="H15" s="219">
        <f>'Comps Inputs'!H15</f>
        <v>7610.5</v>
      </c>
      <c r="I15" s="219">
        <f>'Comps Inputs'!I15</f>
        <v>326</v>
      </c>
      <c r="J15" s="31">
        <f t="shared" si="0"/>
        <v>2481023</v>
      </c>
      <c r="K15" s="219">
        <f>'Comps Inputs'!J15</f>
        <v>2</v>
      </c>
      <c r="L15" s="219">
        <f>'Comps Inputs'!K15</f>
        <v>26926</v>
      </c>
      <c r="M15" s="23">
        <f t="shared" si="1"/>
        <v>2454099</v>
      </c>
      <c r="N15" s="23"/>
      <c r="O15" s="220">
        <f>'Comps Inputs'!L15</f>
        <v>309953</v>
      </c>
      <c r="P15" s="220">
        <f>'Comps Inputs'!M15</f>
        <v>94305</v>
      </c>
      <c r="Q15" s="220">
        <f>'Comps Inputs'!N15</f>
        <v>65431</v>
      </c>
      <c r="S15" s="89">
        <f t="shared" si="2"/>
        <v>7.9176488048187954</v>
      </c>
      <c r="T15" s="89">
        <f t="shared" si="3"/>
        <v>26.022999840941626</v>
      </c>
      <c r="U15" s="89">
        <f t="shared" si="4"/>
        <v>37.918158059635338</v>
      </c>
    </row>
    <row r="16" spans="1:21" s="1" customFormat="1" x14ac:dyDescent="0.3">
      <c r="D16" s="21" t="s">
        <v>290</v>
      </c>
      <c r="E16" s="87" t="s">
        <v>291</v>
      </c>
      <c r="H16" s="219">
        <f>'Comps Inputs'!H16</f>
        <v>616.20000000000005</v>
      </c>
      <c r="I16" s="219">
        <f>'Comps Inputs'!I16</f>
        <v>1306</v>
      </c>
      <c r="J16" s="31">
        <f t="shared" si="0"/>
        <v>804757.20000000007</v>
      </c>
      <c r="K16" s="219">
        <f>'Comps Inputs'!J16</f>
        <v>1579.73</v>
      </c>
      <c r="L16" s="266">
        <f>'Comps Inputs'!K16</f>
        <v>2170.73</v>
      </c>
      <c r="M16" s="23">
        <f t="shared" si="1"/>
        <v>804166.20000000007</v>
      </c>
      <c r="N16" s="23"/>
      <c r="O16" s="220">
        <f>'Comps Inputs'!L16</f>
        <v>116471.34</v>
      </c>
      <c r="P16" s="220">
        <f>'Comps Inputs'!M16</f>
        <v>22092.080000000002</v>
      </c>
      <c r="Q16" s="220">
        <f>'Comps Inputs'!N16</f>
        <v>19018.099999999999</v>
      </c>
      <c r="S16" s="89">
        <f t="shared" si="2"/>
        <v>6.9044127078816135</v>
      </c>
      <c r="T16" s="89">
        <f t="shared" si="3"/>
        <v>36.400655800630815</v>
      </c>
      <c r="U16" s="89">
        <f t="shared" si="4"/>
        <v>42.315331184503194</v>
      </c>
    </row>
    <row r="17" spans="3:21" s="1" customFormat="1" ht="14.4" x14ac:dyDescent="0.3">
      <c r="H17" s="78"/>
      <c r="I17" s="78"/>
      <c r="J17" s="78"/>
      <c r="K17" s="78"/>
      <c r="L17" s="78"/>
      <c r="M17" s="49"/>
      <c r="N17" s="49"/>
      <c r="O17" s="49"/>
      <c r="P17" s="49"/>
      <c r="Q17" s="49"/>
      <c r="S17" s="90"/>
      <c r="T17" s="90"/>
      <c r="U17" s="90"/>
    </row>
    <row r="18" spans="3:21" s="1" customFormat="1" ht="14.4" x14ac:dyDescent="0.3">
      <c r="H18" s="78"/>
      <c r="I18" s="78"/>
      <c r="J18" s="78"/>
      <c r="K18" s="78"/>
      <c r="L18" s="79"/>
      <c r="M18" s="49"/>
      <c r="N18" s="49"/>
      <c r="O18" s="49"/>
      <c r="P18" s="49"/>
      <c r="Q18" s="49"/>
      <c r="S18" s="90"/>
      <c r="T18" s="90"/>
      <c r="U18" s="90"/>
    </row>
    <row r="19" spans="3:21" s="1" customFormat="1" ht="14.4" x14ac:dyDescent="0.3">
      <c r="H19" s="78"/>
      <c r="I19" s="78"/>
      <c r="J19" s="78"/>
      <c r="K19" s="78"/>
      <c r="L19" s="78"/>
      <c r="M19" s="49"/>
      <c r="N19" s="49"/>
      <c r="O19" s="49"/>
      <c r="P19" s="49"/>
      <c r="Q19" s="49"/>
      <c r="S19" s="90"/>
      <c r="T19" s="90"/>
      <c r="U19" s="90"/>
    </row>
    <row r="20" spans="3:21" x14ac:dyDescent="0.3">
      <c r="D20" s="20" t="s">
        <v>292</v>
      </c>
      <c r="E20" s="29"/>
      <c r="F20" s="29"/>
      <c r="G20" s="29"/>
      <c r="H20" s="83"/>
      <c r="I20" s="83"/>
      <c r="J20" s="83"/>
      <c r="K20" s="83"/>
      <c r="L20" s="83"/>
      <c r="M20" s="84"/>
      <c r="N20" s="84"/>
      <c r="O20" s="84"/>
      <c r="P20" s="84"/>
      <c r="Q20" s="84"/>
      <c r="R20" s="84"/>
      <c r="S20" s="91">
        <f>AVERAGE(S10:S16)</f>
        <v>7.1785157189091846</v>
      </c>
      <c r="T20" s="91">
        <f t="shared" ref="T20:U20" si="5">AVERAGE(T10:T16)</f>
        <v>35.416402851323426</v>
      </c>
      <c r="U20" s="91">
        <f t="shared" si="5"/>
        <v>47.482137481433782</v>
      </c>
    </row>
    <row r="21" spans="3:21" x14ac:dyDescent="0.3">
      <c r="D21" s="20" t="s">
        <v>410</v>
      </c>
      <c r="E21" s="29"/>
      <c r="F21" s="29"/>
      <c r="G21" s="29"/>
      <c r="H21" s="83"/>
      <c r="I21" s="83"/>
      <c r="J21" s="83"/>
      <c r="K21" s="83"/>
      <c r="L21" s="83"/>
      <c r="M21" s="84"/>
      <c r="N21" s="84"/>
      <c r="O21" s="84"/>
      <c r="P21" s="84"/>
      <c r="Q21" s="84"/>
      <c r="R21" s="84"/>
      <c r="S21" s="91">
        <f>MEDIAN(S10:S16)</f>
        <v>6.9044127078816135</v>
      </c>
      <c r="T21" s="91">
        <f t="shared" ref="T21:U21" si="6">MEDIAN(T10:T16)</f>
        <v>32.563340389258684</v>
      </c>
      <c r="U21" s="91">
        <f t="shared" si="6"/>
        <v>42.142972082046782</v>
      </c>
    </row>
    <row r="22" spans="3:21" x14ac:dyDescent="0.3">
      <c r="D22" s="22"/>
      <c r="H22" s="59"/>
      <c r="I22" s="59"/>
      <c r="J22" s="59"/>
      <c r="K22" s="59"/>
      <c r="L22" s="59"/>
      <c r="S22" s="89"/>
      <c r="T22" s="89"/>
      <c r="U22" s="89"/>
    </row>
    <row r="23" spans="3:21" s="1" customFormat="1" x14ac:dyDescent="0.3">
      <c r="C23" s="14"/>
      <c r="D23" s="21" t="s">
        <v>0</v>
      </c>
      <c r="E23" s="87" t="s">
        <v>285</v>
      </c>
      <c r="F23" s="21"/>
      <c r="G23" s="21"/>
      <c r="H23" s="219">
        <f>'Comps Inputs'!H9</f>
        <v>420.05</v>
      </c>
      <c r="I23" s="219">
        <f>'Comps Inputs'!I9</f>
        <v>4365</v>
      </c>
      <c r="J23" s="31">
        <f>H23*I23</f>
        <v>1833518.25</v>
      </c>
      <c r="K23" s="219">
        <f>'Comps Inputs'!J9</f>
        <v>16192</v>
      </c>
      <c r="L23" s="219">
        <f>'Comps Inputs'!K9</f>
        <v>97778.999999999985</v>
      </c>
      <c r="M23" s="23">
        <f>J23+K23-L23</f>
        <v>1751931.25</v>
      </c>
      <c r="N23" s="23"/>
      <c r="O23" s="220">
        <f>'Comps Inputs'!L9</f>
        <v>377951</v>
      </c>
      <c r="P23" s="220">
        <f>'Comps Inputs'!M9</f>
        <v>96365</v>
      </c>
      <c r="Q23" s="220">
        <f>'Comps Inputs'!N9</f>
        <v>77526</v>
      </c>
      <c r="S23" s="89">
        <f>M23/O23</f>
        <v>4.6353396339737163</v>
      </c>
      <c r="T23" s="89">
        <f>M23/P23</f>
        <v>18.180161365641052</v>
      </c>
      <c r="U23" s="89">
        <f>J23/Q23</f>
        <v>23.650365683770605</v>
      </c>
    </row>
    <row r="24" spans="3:21" x14ac:dyDescent="0.3">
      <c r="D24" s="22"/>
      <c r="H24" s="59"/>
      <c r="I24" s="59"/>
      <c r="J24" s="59"/>
      <c r="K24" s="59"/>
      <c r="L24" s="59"/>
    </row>
    <row r="25" spans="3:21" ht="46.8" x14ac:dyDescent="0.3">
      <c r="D25" s="186" t="s">
        <v>293</v>
      </c>
      <c r="E25" s="85" t="s">
        <v>300</v>
      </c>
      <c r="F25" s="85"/>
      <c r="G25" s="85"/>
      <c r="H25" s="184" t="s">
        <v>274</v>
      </c>
      <c r="I25" s="185" t="s">
        <v>179</v>
      </c>
      <c r="J25" s="184" t="s">
        <v>265</v>
      </c>
      <c r="K25" s="184" t="s">
        <v>301</v>
      </c>
      <c r="L25" s="184" t="s">
        <v>270</v>
      </c>
      <c r="M25" s="184" t="s">
        <v>302</v>
      </c>
      <c r="N25" s="84"/>
      <c r="O25" s="84"/>
      <c r="P25" s="84"/>
      <c r="Q25" s="84"/>
      <c r="R25" s="84"/>
      <c r="S25" s="84"/>
      <c r="T25" s="84"/>
      <c r="U25" s="84"/>
    </row>
    <row r="26" spans="3:21" x14ac:dyDescent="0.3">
      <c r="D26" s="22" t="s">
        <v>299</v>
      </c>
      <c r="E26" s="89">
        <f>S20</f>
        <v>7.1785157189091846</v>
      </c>
      <c r="H26" s="31">
        <f>O23*E26</f>
        <v>2713127.1944774454</v>
      </c>
      <c r="I26" s="32">
        <f>L23</f>
        <v>97778.999999999985</v>
      </c>
      <c r="J26" s="31">
        <f>K23</f>
        <v>16192</v>
      </c>
      <c r="K26" s="31">
        <f>H26+I26-J26</f>
        <v>2794714.1944774454</v>
      </c>
      <c r="L26" s="31">
        <v>4365</v>
      </c>
      <c r="M26" s="59">
        <f>K26/L26</f>
        <v>640.25525646676874</v>
      </c>
    </row>
    <row r="27" spans="3:21" x14ac:dyDescent="0.3">
      <c r="D27" s="22" t="s">
        <v>296</v>
      </c>
      <c r="E27" s="89">
        <f>T20</f>
        <v>35.416402851323426</v>
      </c>
      <c r="H27" s="31">
        <f>P23*E27</f>
        <v>3412901.660767782</v>
      </c>
      <c r="I27" s="32">
        <f>I26</f>
        <v>97778.999999999985</v>
      </c>
      <c r="J27" s="31">
        <f>J26</f>
        <v>16192</v>
      </c>
      <c r="K27" s="31">
        <f t="shared" ref="K27:K28" si="7">H27+I27-J27</f>
        <v>3494488.660767782</v>
      </c>
      <c r="L27" s="31">
        <v>4365</v>
      </c>
      <c r="M27" s="59">
        <f t="shared" ref="M27:M28" si="8">K27/L27</f>
        <v>800.57013992389045</v>
      </c>
    </row>
    <row r="28" spans="3:21" x14ac:dyDescent="0.3">
      <c r="D28" s="22" t="s">
        <v>297</v>
      </c>
      <c r="E28" s="89">
        <f>U20</f>
        <v>47.482137481433782</v>
      </c>
      <c r="H28" s="31">
        <f>Q23*E28</f>
        <v>3681100.1903856355</v>
      </c>
      <c r="I28" s="32">
        <f>I27</f>
        <v>97778.999999999985</v>
      </c>
      <c r="J28" s="31">
        <f>J27</f>
        <v>16192</v>
      </c>
      <c r="K28" s="31">
        <f t="shared" si="7"/>
        <v>3762687.1903856355</v>
      </c>
      <c r="L28" s="31">
        <v>4365</v>
      </c>
      <c r="M28" s="59">
        <f t="shared" si="8"/>
        <v>862.01310203565527</v>
      </c>
    </row>
    <row r="29" spans="3:21" x14ac:dyDescent="0.3">
      <c r="H29" s="59"/>
      <c r="I29" s="31"/>
      <c r="J29" s="31"/>
      <c r="K29" s="31"/>
      <c r="L29" s="31"/>
    </row>
    <row r="30" spans="3:21" x14ac:dyDescent="0.3">
      <c r="H30" s="31"/>
      <c r="I30" s="31"/>
      <c r="J30" s="31"/>
      <c r="K30" s="31"/>
      <c r="L30" s="31"/>
    </row>
    <row r="31" spans="3:21" x14ac:dyDescent="0.3">
      <c r="H31" s="31"/>
      <c r="I31" s="31"/>
      <c r="J31" s="31"/>
      <c r="K31" s="31"/>
      <c r="L31" s="31"/>
    </row>
    <row r="32" spans="3:21" x14ac:dyDescent="0.3">
      <c r="D32" s="22"/>
      <c r="H32" s="31"/>
      <c r="I32" s="59"/>
      <c r="J32" s="80"/>
      <c r="K32" s="59"/>
      <c r="L32" s="59"/>
    </row>
    <row r="33" spans="4:12" x14ac:dyDescent="0.3">
      <c r="D33" s="22"/>
      <c r="H33" s="59"/>
      <c r="I33" s="59"/>
      <c r="J33" s="59"/>
      <c r="K33" s="59"/>
      <c r="L33" s="59"/>
    </row>
    <row r="34" spans="4:12" x14ac:dyDescent="0.3">
      <c r="D34" s="22"/>
      <c r="H34" s="31"/>
      <c r="I34" s="31"/>
      <c r="J34" s="31"/>
      <c r="K34" s="31"/>
      <c r="L34" s="31"/>
    </row>
    <row r="35" spans="4:12" x14ac:dyDescent="0.3">
      <c r="H35" s="31"/>
      <c r="I35" s="31"/>
      <c r="J35" s="31"/>
      <c r="K35" s="31"/>
      <c r="L35" s="31"/>
    </row>
    <row r="36" spans="4:12" x14ac:dyDescent="0.3">
      <c r="H36" s="31"/>
      <c r="I36" s="31"/>
      <c r="J36" s="31"/>
      <c r="K36" s="31"/>
      <c r="L36" s="31"/>
    </row>
    <row r="39" spans="4:12" x14ac:dyDescent="0.3">
      <c r="J39" s="21"/>
    </row>
    <row r="40" spans="4:12" x14ac:dyDescent="0.3">
      <c r="J40" s="21"/>
      <c r="L40" s="21"/>
    </row>
    <row r="42" spans="4:12" x14ac:dyDescent="0.3">
      <c r="D42" s="22"/>
      <c r="H42" s="81"/>
      <c r="J42" s="81"/>
      <c r="K42" s="81"/>
      <c r="L42" s="81"/>
    </row>
    <row r="43" spans="4:12" x14ac:dyDescent="0.3">
      <c r="D43" s="22"/>
      <c r="H43" s="81"/>
      <c r="I43" s="81"/>
      <c r="J43" s="81"/>
      <c r="K43" s="81"/>
      <c r="L43" s="81"/>
    </row>
    <row r="44" spans="4:12" x14ac:dyDescent="0.3">
      <c r="J44" s="21"/>
      <c r="L44" s="21"/>
    </row>
    <row r="47" spans="4:12" x14ac:dyDescent="0.3">
      <c r="J47" s="21"/>
      <c r="L47" s="21"/>
    </row>
    <row r="50" spans="2:12" x14ac:dyDescent="0.3">
      <c r="J50" s="21"/>
      <c r="L50" s="21"/>
    </row>
    <row r="53" spans="2:12" x14ac:dyDescent="0.3">
      <c r="J53" s="21"/>
      <c r="L53" s="21"/>
    </row>
    <row r="59" spans="2:12" ht="18" x14ac:dyDescent="0.35">
      <c r="B59" s="10"/>
    </row>
    <row r="60" spans="2:12" x14ac:dyDescent="0.3">
      <c r="C60" s="14"/>
    </row>
    <row r="61" spans="2:12" x14ac:dyDescent="0.3">
      <c r="D61" s="22"/>
    </row>
    <row r="76" spans="4:12" x14ac:dyDescent="0.3">
      <c r="D76" s="22"/>
      <c r="H76" s="81"/>
      <c r="I76" s="81"/>
      <c r="J76" s="81"/>
      <c r="K76" s="81"/>
      <c r="L76" s="81"/>
    </row>
    <row r="77" spans="4:12" x14ac:dyDescent="0.3">
      <c r="D77" s="22"/>
    </row>
    <row r="79" spans="4:12" x14ac:dyDescent="0.3">
      <c r="L79" s="21"/>
    </row>
    <row r="88" spans="3:18" x14ac:dyDescent="0.3">
      <c r="D88" s="22"/>
      <c r="H88" s="81"/>
      <c r="I88" s="81"/>
      <c r="J88" s="81"/>
      <c r="K88" s="81"/>
      <c r="L88" s="81"/>
    </row>
    <row r="89" spans="3:18" x14ac:dyDescent="0.3">
      <c r="D89" s="22"/>
      <c r="H89" s="81"/>
      <c r="I89" s="81"/>
      <c r="J89" s="81"/>
      <c r="K89" s="81"/>
      <c r="L89" s="81"/>
    </row>
    <row r="90" spans="3:18" x14ac:dyDescent="0.3">
      <c r="C90" s="14"/>
    </row>
    <row r="91" spans="3:18" x14ac:dyDescent="0.3">
      <c r="D91" s="22"/>
    </row>
    <row r="93" spans="3:18" x14ac:dyDescent="0.3">
      <c r="N93" s="32"/>
      <c r="O93" s="32"/>
      <c r="P93" s="32"/>
      <c r="Q93" s="32"/>
      <c r="R93" s="32"/>
    </row>
    <row r="96" spans="3:18" x14ac:dyDescent="0.3">
      <c r="D96" s="22"/>
      <c r="H96" s="81"/>
      <c r="I96" s="81"/>
      <c r="J96" s="81"/>
      <c r="K96" s="81"/>
      <c r="L96" s="81"/>
    </row>
    <row r="97" spans="4:12" x14ac:dyDescent="0.3">
      <c r="D97" s="22"/>
    </row>
    <row r="98" spans="4:12" x14ac:dyDescent="0.3">
      <c r="D98" s="22"/>
    </row>
    <row r="105" spans="4:12" x14ac:dyDescent="0.3">
      <c r="D105" s="22"/>
      <c r="H105" s="81"/>
      <c r="I105" s="81"/>
      <c r="J105" s="81"/>
      <c r="K105" s="81"/>
      <c r="L105" s="81"/>
    </row>
    <row r="106" spans="4:12" x14ac:dyDescent="0.3">
      <c r="D106" s="22"/>
    </row>
    <row r="110" spans="4:12" x14ac:dyDescent="0.3">
      <c r="L110" s="21"/>
    </row>
    <row r="117" spans="2:12" x14ac:dyDescent="0.3">
      <c r="D117" s="22"/>
      <c r="H117" s="81"/>
      <c r="I117" s="81"/>
      <c r="J117" s="81"/>
      <c r="K117" s="81"/>
      <c r="L117" s="81"/>
    </row>
    <row r="118" spans="2:12" x14ac:dyDescent="0.3">
      <c r="D118" s="22"/>
      <c r="H118" s="81"/>
      <c r="I118" s="81"/>
      <c r="J118" s="81"/>
      <c r="K118" s="81"/>
      <c r="L118" s="81"/>
    </row>
    <row r="122" spans="2:12" ht="18" x14ac:dyDescent="0.35">
      <c r="B122" s="10"/>
    </row>
    <row r="123" spans="2:12" x14ac:dyDescent="0.3">
      <c r="C123" s="14"/>
    </row>
    <row r="124" spans="2:12" x14ac:dyDescent="0.3">
      <c r="D124" s="22"/>
    </row>
    <row r="134" spans="4:13" x14ac:dyDescent="0.3">
      <c r="J134" s="34"/>
      <c r="K134" s="34"/>
      <c r="L134" s="34"/>
    </row>
    <row r="136" spans="4:13" x14ac:dyDescent="0.3">
      <c r="J136" s="34"/>
    </row>
    <row r="137" spans="4:13" x14ac:dyDescent="0.3">
      <c r="J137" s="34"/>
      <c r="K137" s="34"/>
      <c r="L137" s="35"/>
    </row>
    <row r="138" spans="4:13" x14ac:dyDescent="0.3">
      <c r="K138" s="34"/>
      <c r="L138" s="35"/>
    </row>
    <row r="139" spans="4:13" x14ac:dyDescent="0.3">
      <c r="K139" s="34"/>
      <c r="L139" s="35"/>
    </row>
    <row r="140" spans="4:13" x14ac:dyDescent="0.3">
      <c r="J140" s="34"/>
    </row>
    <row r="141" spans="4:13" x14ac:dyDescent="0.3">
      <c r="J141" s="34"/>
      <c r="K141" s="35"/>
      <c r="L141" s="34"/>
    </row>
    <row r="142" spans="4:13" x14ac:dyDescent="0.3">
      <c r="K142" s="35"/>
      <c r="L142" s="35"/>
    </row>
    <row r="143" spans="4:13" x14ac:dyDescent="0.3">
      <c r="J143" s="34"/>
      <c r="L143" s="34"/>
    </row>
    <row r="144" spans="4:13" x14ac:dyDescent="0.3">
      <c r="D144" s="22"/>
      <c r="H144" s="81"/>
      <c r="I144" s="81"/>
      <c r="J144" s="81"/>
      <c r="K144" s="81"/>
      <c r="L144" s="81"/>
      <c r="M144" s="81"/>
    </row>
    <row r="146" spans="3:12" x14ac:dyDescent="0.3">
      <c r="D146" s="22"/>
    </row>
    <row r="153" spans="3:12" x14ac:dyDescent="0.3">
      <c r="H153" s="81"/>
      <c r="I153" s="81"/>
      <c r="J153" s="81"/>
      <c r="K153" s="81"/>
      <c r="L153" s="81"/>
    </row>
    <row r="154" spans="3:12" x14ac:dyDescent="0.3">
      <c r="D154" s="22"/>
      <c r="H154" s="81"/>
      <c r="I154" s="81"/>
      <c r="J154" s="81"/>
      <c r="K154" s="81"/>
      <c r="L154" s="81"/>
    </row>
    <row r="156" spans="3:12" x14ac:dyDescent="0.3">
      <c r="D156" s="22"/>
      <c r="H156" s="81"/>
      <c r="I156" s="81"/>
      <c r="J156" s="81"/>
      <c r="K156" s="81"/>
      <c r="L156" s="81"/>
    </row>
    <row r="158" spans="3:12" x14ac:dyDescent="0.3">
      <c r="C158" s="14"/>
    </row>
    <row r="161" spans="4:17" x14ac:dyDescent="0.3">
      <c r="N161" s="46"/>
    </row>
    <row r="162" spans="4:17" x14ac:dyDescent="0.3">
      <c r="M162" s="32"/>
      <c r="N162" s="32"/>
      <c r="O162" s="32"/>
      <c r="P162" s="32"/>
      <c r="Q162" s="32"/>
    </row>
    <row r="163" spans="4:17" x14ac:dyDescent="0.3">
      <c r="L163" s="34"/>
    </row>
    <row r="164" spans="4:17" x14ac:dyDescent="0.3">
      <c r="H164" s="21"/>
      <c r="K164" s="34"/>
    </row>
    <row r="165" spans="4:17" x14ac:dyDescent="0.3">
      <c r="K165" s="34"/>
    </row>
    <row r="166" spans="4:17" x14ac:dyDescent="0.3">
      <c r="K166" s="34"/>
    </row>
    <row r="172" spans="4:17" x14ac:dyDescent="0.3">
      <c r="L172" s="34"/>
    </row>
    <row r="175" spans="4:17" x14ac:dyDescent="0.3">
      <c r="D175" s="22"/>
      <c r="H175" s="81"/>
      <c r="I175" s="81"/>
      <c r="J175" s="81"/>
      <c r="K175" s="81"/>
      <c r="L175" s="81"/>
    </row>
    <row r="177" spans="3:12" x14ac:dyDescent="0.3">
      <c r="C177" s="14"/>
    </row>
    <row r="180" spans="3:12" x14ac:dyDescent="0.3">
      <c r="H180" s="21"/>
      <c r="K180" s="34"/>
    </row>
    <row r="181" spans="3:12" x14ac:dyDescent="0.3">
      <c r="L181" s="34"/>
    </row>
    <row r="187" spans="3:12" x14ac:dyDescent="0.3">
      <c r="H187" s="21"/>
      <c r="K187" s="34"/>
    </row>
    <row r="188" spans="3:12" x14ac:dyDescent="0.3">
      <c r="L188" s="21"/>
    </row>
    <row r="189" spans="3:12" x14ac:dyDescent="0.3">
      <c r="D189" s="22"/>
      <c r="H189" s="81"/>
      <c r="I189" s="81"/>
      <c r="J189" s="81"/>
      <c r="K189" s="81"/>
      <c r="L189" s="82"/>
    </row>
    <row r="191" spans="3:12" x14ac:dyDescent="0.3">
      <c r="C191" s="14"/>
    </row>
    <row r="192" spans="3:12" x14ac:dyDescent="0.3">
      <c r="D192" s="22"/>
      <c r="H192" s="81"/>
      <c r="I192" s="81"/>
      <c r="J192" s="81"/>
      <c r="K192" s="81"/>
      <c r="L192" s="81"/>
    </row>
    <row r="195" spans="4:12" x14ac:dyDescent="0.3">
      <c r="D195" s="22"/>
    </row>
    <row r="196" spans="4:12" x14ac:dyDescent="0.3">
      <c r="D196" s="22"/>
      <c r="I196" s="21"/>
      <c r="J196" s="21"/>
    </row>
    <row r="202" spans="4:12" x14ac:dyDescent="0.3">
      <c r="D202" s="22"/>
      <c r="H202" s="81"/>
      <c r="I202" s="81"/>
      <c r="J202" s="81"/>
      <c r="K202" s="81"/>
      <c r="L202" s="81"/>
    </row>
  </sheetData>
  <mergeCells count="5">
    <mergeCell ref="H7:M7"/>
    <mergeCell ref="O7:Q7"/>
    <mergeCell ref="S7:U7"/>
    <mergeCell ref="D7:D9"/>
    <mergeCell ref="E7:E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5C19E-1269-4A6E-856F-102BF97FF105}">
  <dimension ref="A1:R203"/>
  <sheetViews>
    <sheetView showGridLines="0" zoomScaleNormal="100" workbookViewId="0">
      <pane ySplit="2" topLeftCell="A3" activePane="bottomLeft" state="frozen"/>
      <selection pane="bottomLeft" activeCell="J11" sqref="J11"/>
    </sheetView>
  </sheetViews>
  <sheetFormatPr defaultColWidth="11.77734375" defaultRowHeight="14.4" x14ac:dyDescent="0.3"/>
  <cols>
    <col min="1" max="1" width="11.44140625" style="1" customWidth="1"/>
    <col min="2" max="2" width="26.5546875" style="1" bestFit="1" customWidth="1"/>
    <col min="3" max="3" width="19.21875" style="1" customWidth="1"/>
    <col min="4" max="4" width="13.109375" style="1" customWidth="1"/>
    <col min="5" max="5" width="33.109375" style="1" bestFit="1" customWidth="1"/>
    <col min="6" max="6" width="18.21875" style="1" bestFit="1" customWidth="1"/>
    <col min="7" max="7" width="12.21875" style="1" customWidth="1"/>
    <col min="8" max="8" width="30.109375" style="15" bestFit="1" customWidth="1"/>
    <col min="9" max="10" width="12.88671875" style="15" bestFit="1" customWidth="1"/>
    <col min="11" max="12" width="11.88671875" style="15" bestFit="1" customWidth="1"/>
    <col min="13" max="16384" width="11.77734375" style="1"/>
  </cols>
  <sheetData>
    <row r="1" spans="1:17" ht="43.8" customHeight="1" x14ac:dyDescent="0.45">
      <c r="A1" s="2" t="s">
        <v>0</v>
      </c>
      <c r="B1" s="3"/>
      <c r="C1" s="3"/>
      <c r="D1" s="3"/>
      <c r="E1" s="3"/>
      <c r="F1" s="3"/>
      <c r="G1" s="3"/>
      <c r="H1" s="3"/>
      <c r="I1" s="3"/>
      <c r="J1" s="3"/>
      <c r="K1" s="3"/>
      <c r="L1" s="3"/>
      <c r="M1" s="238"/>
      <c r="N1" s="71"/>
      <c r="O1" s="71"/>
      <c r="P1" s="71"/>
      <c r="Q1" s="71"/>
    </row>
    <row r="2" spans="1:17" ht="17.399999999999999" customHeight="1" x14ac:dyDescent="0.35">
      <c r="A2" s="4" t="s">
        <v>459</v>
      </c>
      <c r="B2" s="3"/>
      <c r="C2" s="3"/>
      <c r="D2" s="3"/>
      <c r="E2" s="3"/>
      <c r="F2" s="3"/>
      <c r="G2" s="3"/>
      <c r="H2" s="93"/>
      <c r="I2" s="93"/>
      <c r="J2" s="93"/>
      <c r="K2" s="93"/>
      <c r="L2" s="93"/>
      <c r="M2" s="239"/>
      <c r="N2" s="240"/>
      <c r="O2" s="240"/>
      <c r="P2" s="240"/>
      <c r="Q2" s="240"/>
    </row>
    <row r="3" spans="1:17" ht="17.399999999999999" customHeight="1" x14ac:dyDescent="0.3">
      <c r="A3" s="14"/>
      <c r="H3" s="216"/>
      <c r="I3" s="216"/>
      <c r="J3" s="216"/>
      <c r="K3" s="216"/>
      <c r="L3" s="216"/>
      <c r="M3" s="217"/>
      <c r="N3" s="217"/>
      <c r="O3" s="217"/>
      <c r="P3" s="217"/>
      <c r="Q3" s="217"/>
    </row>
    <row r="4" spans="1:17" ht="17.399999999999999" customHeight="1" x14ac:dyDescent="0.3">
      <c r="A4" s="14"/>
      <c r="B4" s="318" t="s">
        <v>460</v>
      </c>
      <c r="C4" s="318"/>
      <c r="E4" s="319" t="s">
        <v>465</v>
      </c>
      <c r="F4" s="319"/>
      <c r="H4" s="319" t="s">
        <v>475</v>
      </c>
      <c r="I4" s="319"/>
      <c r="J4" s="1"/>
      <c r="K4" s="1"/>
      <c r="L4" s="1"/>
      <c r="M4" s="217"/>
      <c r="N4" s="217"/>
      <c r="O4" s="217"/>
      <c r="P4" s="217"/>
      <c r="Q4" s="217"/>
    </row>
    <row r="5" spans="1:17" ht="17.399999999999999" customHeight="1" x14ac:dyDescent="0.3">
      <c r="A5" s="14"/>
      <c r="B5" s="210" t="s">
        <v>461</v>
      </c>
      <c r="C5" s="221" t="s">
        <v>376</v>
      </c>
      <c r="E5" s="210" t="s">
        <v>323</v>
      </c>
      <c r="F5" s="226">
        <f>Assumptions!D11</f>
        <v>420.05</v>
      </c>
      <c r="H5" s="228" t="s">
        <v>472</v>
      </c>
      <c r="I5" s="229">
        <f>Model!L26</f>
        <v>377951</v>
      </c>
      <c r="J5" s="1"/>
      <c r="K5" s="1"/>
      <c r="L5" s="1"/>
      <c r="M5" s="217"/>
      <c r="N5" s="217"/>
      <c r="O5" s="217"/>
      <c r="P5" s="217"/>
      <c r="Q5" s="217"/>
    </row>
    <row r="6" spans="1:17" x14ac:dyDescent="0.3">
      <c r="B6" s="210" t="s">
        <v>373</v>
      </c>
      <c r="C6" s="221" t="s">
        <v>422</v>
      </c>
      <c r="E6" s="210" t="s">
        <v>466</v>
      </c>
      <c r="F6" s="226">
        <f>'DCF Valuation'!F67</f>
        <v>566.31695838097903</v>
      </c>
      <c r="H6" s="230" t="s">
        <v>473</v>
      </c>
      <c r="I6" s="231">
        <f>Model!L32</f>
        <v>96365</v>
      </c>
      <c r="K6" s="24"/>
      <c r="L6" s="24"/>
    </row>
    <row r="7" spans="1:17" ht="15.6" x14ac:dyDescent="0.3">
      <c r="B7" s="210" t="s">
        <v>463</v>
      </c>
      <c r="C7" s="222">
        <f>'Comps Valuation'!J23</f>
        <v>1833518.25</v>
      </c>
      <c r="D7" s="14"/>
      <c r="E7" s="210" t="s">
        <v>467</v>
      </c>
      <c r="F7" s="226">
        <f>'Comps Valuation'!M27</f>
        <v>800.57013992389045</v>
      </c>
      <c r="G7" s="14"/>
      <c r="H7" s="232" t="s">
        <v>476</v>
      </c>
      <c r="I7" s="233">
        <f>Model!L32/Model!L26</f>
        <v>0.25496691370045321</v>
      </c>
      <c r="J7" s="218"/>
      <c r="K7" s="218"/>
      <c r="L7" s="218"/>
      <c r="M7" s="218"/>
      <c r="N7" s="218"/>
      <c r="O7" s="218"/>
      <c r="P7" s="218"/>
      <c r="Q7" s="218"/>
    </row>
    <row r="8" spans="1:17" ht="15.6" x14ac:dyDescent="0.3">
      <c r="B8" s="210" t="s">
        <v>462</v>
      </c>
      <c r="C8" s="222">
        <f>'Comps Valuation'!I23</f>
        <v>4365</v>
      </c>
      <c r="E8" s="224" t="s">
        <v>468</v>
      </c>
      <c r="F8" s="226">
        <f>'Comps Valuation'!M26</f>
        <v>640.25525646676874</v>
      </c>
      <c r="H8" s="232" t="s">
        <v>474</v>
      </c>
      <c r="I8" s="234">
        <f>Model!L39</f>
        <v>77526</v>
      </c>
      <c r="J8" s="213"/>
      <c r="K8" s="213"/>
      <c r="L8" s="213"/>
      <c r="M8" s="213"/>
      <c r="N8" s="213"/>
      <c r="O8" s="213"/>
      <c r="P8" s="213"/>
      <c r="Q8" s="213"/>
    </row>
    <row r="9" spans="1:17" x14ac:dyDescent="0.3">
      <c r="B9" s="210" t="s">
        <v>464</v>
      </c>
      <c r="C9" s="221">
        <v>1</v>
      </c>
      <c r="E9" s="224" t="s">
        <v>469</v>
      </c>
      <c r="F9" s="226">
        <f>'Comps Valuation'!M28</f>
        <v>862.01310203565527</v>
      </c>
      <c r="H9" s="232" t="s">
        <v>477</v>
      </c>
      <c r="I9" s="233">
        <f>Model!L39/Model!L26</f>
        <v>0.20512182796182574</v>
      </c>
      <c r="J9" s="214"/>
      <c r="K9" s="214"/>
      <c r="L9" s="214"/>
      <c r="M9" s="214"/>
      <c r="N9" s="214"/>
      <c r="O9" s="214"/>
      <c r="P9" s="214"/>
      <c r="Q9" s="214"/>
    </row>
    <row r="10" spans="1:17" x14ac:dyDescent="0.3">
      <c r="C10" s="14"/>
      <c r="E10" s="224" t="s">
        <v>470</v>
      </c>
      <c r="F10" s="227">
        <f>'DCF Valuation'!F71</f>
        <v>0.34821320885841928</v>
      </c>
      <c r="H10" s="232" t="s">
        <v>478</v>
      </c>
      <c r="I10" s="233">
        <f>'Ratio Analysis'!G14</f>
        <v>0.27595349155328913</v>
      </c>
      <c r="J10" s="213"/>
      <c r="K10" s="213"/>
      <c r="L10" s="213"/>
      <c r="M10" s="213"/>
      <c r="N10" s="213"/>
      <c r="O10" s="213"/>
      <c r="P10" s="213"/>
      <c r="Q10" s="213"/>
    </row>
    <row r="11" spans="1:17" x14ac:dyDescent="0.3">
      <c r="E11" s="225" t="s">
        <v>320</v>
      </c>
      <c r="F11" s="227">
        <f>'DCF Valuation'!F28</f>
        <v>9.7658122528042901E-2</v>
      </c>
      <c r="H11" s="232" t="s">
        <v>479</v>
      </c>
      <c r="I11" s="235">
        <f>'Ratio Analysis'!G13</f>
        <v>0.21038076826809118</v>
      </c>
      <c r="J11" s="215"/>
      <c r="K11" s="215"/>
      <c r="L11" s="215"/>
    </row>
    <row r="12" spans="1:17" x14ac:dyDescent="0.3">
      <c r="E12" s="210" t="s">
        <v>337</v>
      </c>
      <c r="F12" s="226">
        <f>'Equity Beta'!K8</f>
        <v>0.67239913867351053</v>
      </c>
      <c r="H12" s="230" t="s">
        <v>480</v>
      </c>
      <c r="I12" s="236">
        <f>'Ratio Analysis'!G21</f>
        <v>5.540575683333105E-2</v>
      </c>
      <c r="J12" s="24"/>
      <c r="K12" s="24"/>
      <c r="L12" s="24"/>
    </row>
    <row r="13" spans="1:17" x14ac:dyDescent="0.3">
      <c r="B13" s="250" t="s">
        <v>323</v>
      </c>
      <c r="C13" s="251">
        <f>Assumptions!D19</f>
        <v>420.05</v>
      </c>
      <c r="H13" s="230" t="s">
        <v>481</v>
      </c>
      <c r="I13" s="236">
        <f>'Ratio Analysis'!G17</f>
        <v>2.7623493803894696</v>
      </c>
      <c r="J13" s="24"/>
      <c r="K13" s="24"/>
      <c r="L13" s="24"/>
    </row>
    <row r="14" spans="1:17" x14ac:dyDescent="0.3">
      <c r="B14" s="209" t="s">
        <v>482</v>
      </c>
      <c r="C14" s="237">
        <f>'DCF Valuation'!F67</f>
        <v>566.31695838097903</v>
      </c>
      <c r="H14" s="230" t="s">
        <v>359</v>
      </c>
      <c r="I14" s="236">
        <f>'Ratio Analysis'!G23</f>
        <v>70.647798742138363</v>
      </c>
      <c r="J14" s="24"/>
      <c r="K14" s="24"/>
      <c r="L14" s="24"/>
    </row>
    <row r="15" spans="1:17" x14ac:dyDescent="0.3">
      <c r="B15" s="209" t="s">
        <v>483</v>
      </c>
      <c r="C15" s="252">
        <f>'DCF Valuation'!F71</f>
        <v>0.34821320885841928</v>
      </c>
      <c r="H15" s="230" t="s">
        <v>387</v>
      </c>
      <c r="I15" s="231">
        <f>'Ratio Analysis'!G31</f>
        <v>8.3017879414796596</v>
      </c>
      <c r="J15" s="24"/>
      <c r="K15" s="24"/>
      <c r="L15" s="24"/>
      <c r="N15" s="24"/>
      <c r="O15" s="24"/>
    </row>
    <row r="16" spans="1:17" x14ac:dyDescent="0.3">
      <c r="B16" s="209" t="s">
        <v>507</v>
      </c>
      <c r="C16" s="237" t="str">
        <f>'DCF Valuation'!G71</f>
        <v>Buy</v>
      </c>
      <c r="D16" s="14"/>
      <c r="H16" s="230" t="s">
        <v>471</v>
      </c>
      <c r="I16" s="236">
        <f>'Ratio Analysis'!G27</f>
        <v>6.525710315515834</v>
      </c>
      <c r="J16" s="27"/>
      <c r="K16" s="27"/>
      <c r="L16" s="27"/>
    </row>
    <row r="17" spans="1:12" x14ac:dyDescent="0.3">
      <c r="D17" s="14"/>
      <c r="H17" s="27"/>
      <c r="I17" s="27"/>
      <c r="J17" s="27"/>
      <c r="K17" s="27"/>
      <c r="L17" s="27"/>
    </row>
    <row r="18" spans="1:12" x14ac:dyDescent="0.3">
      <c r="H18" s="24"/>
      <c r="I18" s="24"/>
      <c r="J18" s="24"/>
      <c r="K18" s="24"/>
      <c r="L18" s="24"/>
    </row>
    <row r="19" spans="1:12" x14ac:dyDescent="0.3">
      <c r="H19" s="24"/>
      <c r="I19" s="24"/>
      <c r="J19" s="24"/>
      <c r="K19" s="24"/>
      <c r="L19" s="26"/>
    </row>
    <row r="20" spans="1:12" x14ac:dyDescent="0.3">
      <c r="A20" s="151" t="s">
        <v>484</v>
      </c>
      <c r="B20" s="3"/>
      <c r="C20" s="3"/>
      <c r="D20" s="3"/>
      <c r="E20" s="3"/>
      <c r="F20" s="3"/>
      <c r="G20" s="3"/>
      <c r="H20" s="241"/>
      <c r="I20" s="241"/>
      <c r="J20" s="241"/>
      <c r="K20" s="241"/>
      <c r="L20" s="241"/>
    </row>
    <row r="21" spans="1:12" x14ac:dyDescent="0.3">
      <c r="H21" s="24"/>
      <c r="I21" s="24"/>
      <c r="J21" s="24"/>
      <c r="K21" s="24"/>
      <c r="L21" s="24"/>
    </row>
    <row r="22" spans="1:12" x14ac:dyDescent="0.3">
      <c r="H22" s="24"/>
      <c r="I22" s="24"/>
      <c r="J22" s="24"/>
      <c r="K22" s="24"/>
      <c r="L22" s="24"/>
    </row>
    <row r="23" spans="1:12" x14ac:dyDescent="0.3">
      <c r="C23" s="244" t="s">
        <v>300</v>
      </c>
      <c r="D23" s="242" t="s">
        <v>489</v>
      </c>
      <c r="E23" s="242" t="s">
        <v>490</v>
      </c>
      <c r="F23" s="242" t="s">
        <v>492</v>
      </c>
      <c r="H23" s="27"/>
      <c r="I23" s="27"/>
      <c r="J23" s="27"/>
      <c r="K23" s="27"/>
      <c r="L23" s="27"/>
    </row>
    <row r="24" spans="1:12" x14ac:dyDescent="0.3">
      <c r="B24" s="242" t="s">
        <v>485</v>
      </c>
      <c r="C24" s="243">
        <f>MAX('Comps Valuation'!M26:M28)</f>
        <v>862.01310203565527</v>
      </c>
      <c r="D24" s="223">
        <v>752.26</v>
      </c>
      <c r="E24" s="223">
        <v>634.20000000000005</v>
      </c>
      <c r="F24" s="223">
        <v>671</v>
      </c>
      <c r="H24" s="27"/>
      <c r="I24" s="27"/>
      <c r="J24" s="27"/>
      <c r="K24" s="27"/>
      <c r="L24" s="27"/>
    </row>
    <row r="25" spans="1:12" x14ac:dyDescent="0.3">
      <c r="B25" s="242" t="s">
        <v>486</v>
      </c>
      <c r="C25" s="243">
        <f>C24</f>
        <v>862.01310203565527</v>
      </c>
      <c r="D25" s="223">
        <f>D24</f>
        <v>752.26</v>
      </c>
      <c r="E25" s="223">
        <f>E24</f>
        <v>634.20000000000005</v>
      </c>
      <c r="F25" s="223">
        <f>F24</f>
        <v>671</v>
      </c>
      <c r="H25" s="27"/>
      <c r="I25" s="27"/>
      <c r="J25" s="27"/>
      <c r="K25" s="27"/>
      <c r="L25" s="27"/>
    </row>
    <row r="26" spans="1:12" x14ac:dyDescent="0.3">
      <c r="B26" s="242" t="s">
        <v>487</v>
      </c>
      <c r="C26" s="243">
        <f>MIN('Comps Valuation'!M26:M28)</f>
        <v>640.25525646676874</v>
      </c>
      <c r="D26" s="223">
        <v>424.14</v>
      </c>
      <c r="E26" s="223">
        <v>376.4</v>
      </c>
      <c r="F26" s="223">
        <v>415</v>
      </c>
      <c r="H26" s="24"/>
      <c r="I26" s="24"/>
      <c r="J26" s="24"/>
      <c r="K26" s="24"/>
      <c r="L26" s="27"/>
    </row>
    <row r="27" spans="1:12" x14ac:dyDescent="0.3">
      <c r="B27" s="242" t="s">
        <v>488</v>
      </c>
      <c r="C27" s="243">
        <f>C26</f>
        <v>640.25525646676874</v>
      </c>
      <c r="D27" s="223">
        <f>D26</f>
        <v>424.14</v>
      </c>
      <c r="E27" s="223">
        <f>E26</f>
        <v>376.4</v>
      </c>
      <c r="F27" s="223">
        <v>415</v>
      </c>
      <c r="H27" s="27"/>
      <c r="I27" s="27"/>
      <c r="J27" s="27"/>
      <c r="K27" s="27"/>
      <c r="L27" s="27"/>
    </row>
    <row r="28" spans="1:12" x14ac:dyDescent="0.3">
      <c r="D28" s="14"/>
      <c r="H28" s="24"/>
      <c r="I28" s="24"/>
      <c r="J28" s="24"/>
      <c r="K28" s="24"/>
      <c r="L28" s="26"/>
    </row>
    <row r="29" spans="1:12" x14ac:dyDescent="0.3">
      <c r="H29" s="24"/>
      <c r="I29" s="24"/>
      <c r="J29" s="24"/>
      <c r="K29" s="24"/>
      <c r="L29" s="24"/>
    </row>
    <row r="30" spans="1:12" x14ac:dyDescent="0.3">
      <c r="H30" s="27"/>
      <c r="I30" s="24"/>
      <c r="J30" s="24"/>
      <c r="K30" s="24"/>
      <c r="L30" s="24"/>
    </row>
    <row r="31" spans="1:12" x14ac:dyDescent="0.3">
      <c r="H31" s="24"/>
      <c r="I31" s="24"/>
      <c r="J31" s="24"/>
      <c r="K31" s="24"/>
      <c r="L31" s="24"/>
    </row>
    <row r="32" spans="1:12" x14ac:dyDescent="0.3">
      <c r="H32" s="24"/>
      <c r="I32" s="24"/>
      <c r="J32" s="24"/>
      <c r="K32" s="24"/>
      <c r="L32" s="24"/>
    </row>
    <row r="33" spans="4:12" x14ac:dyDescent="0.3">
      <c r="D33" s="14"/>
      <c r="H33" s="24"/>
      <c r="I33" s="27"/>
      <c r="J33" s="28"/>
      <c r="K33" s="27"/>
      <c r="L33" s="27"/>
    </row>
    <row r="34" spans="4:12" x14ac:dyDescent="0.3">
      <c r="D34" s="14"/>
      <c r="H34" s="27"/>
      <c r="I34" s="27"/>
      <c r="J34" s="27"/>
      <c r="K34" s="27"/>
      <c r="L34" s="27"/>
    </row>
    <row r="35" spans="4:12" x14ac:dyDescent="0.3">
      <c r="D35" s="14"/>
      <c r="H35" s="24"/>
      <c r="I35" s="24"/>
      <c r="J35" s="24"/>
      <c r="K35" s="24"/>
      <c r="L35" s="24"/>
    </row>
    <row r="36" spans="4:12" x14ac:dyDescent="0.3">
      <c r="H36" s="24"/>
      <c r="I36" s="24"/>
      <c r="J36" s="24"/>
      <c r="K36" s="24"/>
      <c r="L36" s="24"/>
    </row>
    <row r="37" spans="4:12" x14ac:dyDescent="0.3">
      <c r="H37" s="24"/>
      <c r="I37" s="24"/>
      <c r="J37" s="24"/>
      <c r="K37" s="24"/>
      <c r="L37" s="24"/>
    </row>
    <row r="40" spans="4:12" x14ac:dyDescent="0.3">
      <c r="J40" s="1"/>
    </row>
    <row r="41" spans="4:12" x14ac:dyDescent="0.3">
      <c r="J41" s="1"/>
      <c r="L41" s="1"/>
    </row>
    <row r="43" spans="4:12" x14ac:dyDescent="0.3">
      <c r="D43" s="14"/>
      <c r="H43" s="16"/>
      <c r="J43" s="16"/>
      <c r="K43" s="16"/>
      <c r="L43" s="16"/>
    </row>
    <row r="44" spans="4:12" x14ac:dyDescent="0.3">
      <c r="D44" s="14"/>
      <c r="H44" s="16"/>
      <c r="I44" s="16"/>
      <c r="J44" s="16"/>
      <c r="K44" s="16"/>
      <c r="L44" s="16"/>
    </row>
    <row r="45" spans="4:12" x14ac:dyDescent="0.3">
      <c r="J45" s="1"/>
      <c r="L45" s="1"/>
    </row>
    <row r="48" spans="4:12" x14ac:dyDescent="0.3">
      <c r="J48" s="1"/>
      <c r="L48" s="1"/>
    </row>
    <row r="51" spans="2:12" x14ac:dyDescent="0.3">
      <c r="J51" s="1"/>
      <c r="L51" s="1"/>
    </row>
    <row r="54" spans="2:12" x14ac:dyDescent="0.3">
      <c r="J54" s="1"/>
      <c r="L54" s="1"/>
    </row>
    <row r="60" spans="2:12" x14ac:dyDescent="0.3">
      <c r="B60" s="14"/>
    </row>
    <row r="61" spans="2:12" x14ac:dyDescent="0.3">
      <c r="C61" s="14"/>
    </row>
    <row r="62" spans="2:12" x14ac:dyDescent="0.3">
      <c r="D62" s="14"/>
    </row>
    <row r="77" spans="4:12" x14ac:dyDescent="0.3">
      <c r="D77" s="14"/>
      <c r="H77" s="16"/>
      <c r="I77" s="16"/>
      <c r="J77" s="16"/>
      <c r="K77" s="16"/>
      <c r="L77" s="16"/>
    </row>
    <row r="78" spans="4:12" x14ac:dyDescent="0.3">
      <c r="D78" s="14"/>
    </row>
    <row r="80" spans="4:12" x14ac:dyDescent="0.3">
      <c r="L80" s="1"/>
    </row>
    <row r="89" spans="3:18" x14ac:dyDescent="0.3">
      <c r="D89" s="14"/>
      <c r="H89" s="16"/>
      <c r="I89" s="16"/>
      <c r="J89" s="16"/>
      <c r="K89" s="16"/>
      <c r="L89" s="16"/>
    </row>
    <row r="90" spans="3:18" x14ac:dyDescent="0.3">
      <c r="D90" s="14"/>
      <c r="H90" s="16"/>
      <c r="I90" s="16"/>
      <c r="J90" s="16"/>
      <c r="K90" s="16"/>
      <c r="L90" s="16"/>
    </row>
    <row r="91" spans="3:18" x14ac:dyDescent="0.3">
      <c r="C91" s="14"/>
    </row>
    <row r="92" spans="3:18" x14ac:dyDescent="0.3">
      <c r="D92" s="14"/>
    </row>
    <row r="94" spans="3:18" x14ac:dyDescent="0.3">
      <c r="N94" s="15"/>
      <c r="O94" s="15"/>
      <c r="P94" s="15"/>
      <c r="Q94" s="15"/>
      <c r="R94" s="15"/>
    </row>
    <row r="97" spans="4:12" x14ac:dyDescent="0.3">
      <c r="D97" s="14"/>
      <c r="H97" s="16"/>
      <c r="I97" s="16"/>
      <c r="J97" s="16"/>
      <c r="K97" s="16"/>
      <c r="L97" s="16"/>
    </row>
    <row r="98" spans="4:12" x14ac:dyDescent="0.3">
      <c r="D98" s="14"/>
    </row>
    <row r="99" spans="4:12" x14ac:dyDescent="0.3">
      <c r="D99" s="14"/>
    </row>
    <row r="106" spans="4:12" x14ac:dyDescent="0.3">
      <c r="D106" s="14"/>
      <c r="H106" s="16"/>
      <c r="I106" s="16"/>
      <c r="J106" s="16"/>
      <c r="K106" s="16"/>
      <c r="L106" s="16"/>
    </row>
    <row r="107" spans="4:12" x14ac:dyDescent="0.3">
      <c r="D107" s="14"/>
    </row>
    <row r="111" spans="4:12" x14ac:dyDescent="0.3">
      <c r="L111" s="1"/>
    </row>
    <row r="118" spans="2:12" x14ac:dyDescent="0.3">
      <c r="D118" s="14"/>
      <c r="H118" s="16"/>
      <c r="I118" s="16"/>
      <c r="J118" s="16"/>
      <c r="K118" s="16"/>
      <c r="L118" s="16"/>
    </row>
    <row r="119" spans="2:12" x14ac:dyDescent="0.3">
      <c r="D119" s="14"/>
      <c r="H119" s="16"/>
      <c r="I119" s="16"/>
      <c r="J119" s="16"/>
      <c r="K119" s="16"/>
      <c r="L119" s="16"/>
    </row>
    <row r="123" spans="2:12" x14ac:dyDescent="0.3">
      <c r="B123" s="14"/>
    </row>
    <row r="124" spans="2:12" x14ac:dyDescent="0.3">
      <c r="C124" s="14"/>
    </row>
    <row r="125" spans="2:12" x14ac:dyDescent="0.3">
      <c r="D125" s="14"/>
    </row>
    <row r="135" spans="10:12" x14ac:dyDescent="0.3">
      <c r="J135" s="17"/>
      <c r="K135" s="17"/>
      <c r="L135" s="17"/>
    </row>
    <row r="137" spans="10:12" x14ac:dyDescent="0.3">
      <c r="J137" s="17"/>
    </row>
    <row r="138" spans="10:12" x14ac:dyDescent="0.3">
      <c r="J138" s="17"/>
      <c r="K138" s="17"/>
      <c r="L138" s="18"/>
    </row>
    <row r="139" spans="10:12" x14ac:dyDescent="0.3">
      <c r="K139" s="17"/>
      <c r="L139" s="18"/>
    </row>
    <row r="140" spans="10:12" x14ac:dyDescent="0.3">
      <c r="K140" s="17"/>
      <c r="L140" s="18"/>
    </row>
    <row r="141" spans="10:12" x14ac:dyDescent="0.3">
      <c r="J141" s="17"/>
    </row>
    <row r="142" spans="10:12" x14ac:dyDescent="0.3">
      <c r="J142" s="17"/>
      <c r="K142" s="18"/>
      <c r="L142" s="17"/>
    </row>
    <row r="143" spans="10:12" x14ac:dyDescent="0.3">
      <c r="K143" s="18"/>
      <c r="L143" s="18"/>
    </row>
    <row r="144" spans="10:12" x14ac:dyDescent="0.3">
      <c r="J144" s="17"/>
      <c r="L144" s="17"/>
    </row>
    <row r="145" spans="3:13" x14ac:dyDescent="0.3">
      <c r="D145" s="14"/>
      <c r="H145" s="16"/>
      <c r="I145" s="16"/>
      <c r="J145" s="16"/>
      <c r="K145" s="16"/>
      <c r="L145" s="16"/>
      <c r="M145" s="16"/>
    </row>
    <row r="147" spans="3:13" x14ac:dyDescent="0.3">
      <c r="D147" s="14"/>
    </row>
    <row r="154" spans="3:13" x14ac:dyDescent="0.3">
      <c r="H154" s="16"/>
      <c r="I154" s="16"/>
      <c r="J154" s="16"/>
      <c r="K154" s="16"/>
      <c r="L154" s="16"/>
    </row>
    <row r="155" spans="3:13" x14ac:dyDescent="0.3">
      <c r="D155" s="14"/>
      <c r="H155" s="16"/>
      <c r="I155" s="16"/>
      <c r="J155" s="16"/>
      <c r="K155" s="16"/>
      <c r="L155" s="16"/>
    </row>
    <row r="157" spans="3:13" x14ac:dyDescent="0.3">
      <c r="D157" s="14"/>
      <c r="H157" s="16"/>
      <c r="I157" s="16"/>
      <c r="J157" s="16"/>
      <c r="K157" s="16"/>
      <c r="L157" s="16"/>
    </row>
    <row r="159" spans="3:13" x14ac:dyDescent="0.3">
      <c r="C159" s="14"/>
    </row>
    <row r="162" spans="4:17" x14ac:dyDescent="0.3">
      <c r="N162" s="49"/>
    </row>
    <row r="163" spans="4:17" x14ac:dyDescent="0.3">
      <c r="M163" s="15"/>
      <c r="N163" s="15"/>
      <c r="O163" s="15"/>
      <c r="P163" s="15"/>
      <c r="Q163" s="15"/>
    </row>
    <row r="164" spans="4:17" x14ac:dyDescent="0.3">
      <c r="L164" s="17"/>
    </row>
    <row r="165" spans="4:17" x14ac:dyDescent="0.3">
      <c r="H165" s="1"/>
      <c r="K165" s="17"/>
    </row>
    <row r="166" spans="4:17" x14ac:dyDescent="0.3">
      <c r="K166" s="17"/>
    </row>
    <row r="167" spans="4:17" x14ac:dyDescent="0.3">
      <c r="K167" s="17"/>
    </row>
    <row r="173" spans="4:17" x14ac:dyDescent="0.3">
      <c r="L173" s="17"/>
    </row>
    <row r="176" spans="4:17" x14ac:dyDescent="0.3">
      <c r="D176" s="14"/>
      <c r="H176" s="16"/>
      <c r="I176" s="16"/>
      <c r="J176" s="16"/>
      <c r="K176" s="16"/>
      <c r="L176" s="16"/>
    </row>
    <row r="178" spans="3:12" x14ac:dyDescent="0.3">
      <c r="C178" s="14"/>
    </row>
    <row r="181" spans="3:12" x14ac:dyDescent="0.3">
      <c r="H181" s="1"/>
      <c r="K181" s="17"/>
    </row>
    <row r="182" spans="3:12" x14ac:dyDescent="0.3">
      <c r="L182" s="17"/>
    </row>
    <row r="188" spans="3:12" x14ac:dyDescent="0.3">
      <c r="H188" s="1"/>
      <c r="K188" s="17"/>
    </row>
    <row r="189" spans="3:12" x14ac:dyDescent="0.3">
      <c r="L189" s="1"/>
    </row>
    <row r="190" spans="3:12" x14ac:dyDescent="0.3">
      <c r="D190" s="14"/>
      <c r="H190" s="16"/>
      <c r="I190" s="16"/>
      <c r="J190" s="16"/>
      <c r="K190" s="16"/>
      <c r="L190" s="19"/>
    </row>
    <row r="192" spans="3:12" x14ac:dyDescent="0.3">
      <c r="C192" s="14"/>
    </row>
    <row r="193" spans="4:12" x14ac:dyDescent="0.3">
      <c r="D193" s="14"/>
      <c r="H193" s="16"/>
      <c r="I193" s="16"/>
      <c r="J193" s="16"/>
      <c r="K193" s="16"/>
      <c r="L193" s="16"/>
    </row>
    <row r="196" spans="4:12" x14ac:dyDescent="0.3">
      <c r="D196" s="14"/>
    </row>
    <row r="197" spans="4:12" x14ac:dyDescent="0.3">
      <c r="D197" s="14"/>
      <c r="I197" s="1"/>
      <c r="J197" s="1"/>
    </row>
    <row r="203" spans="4:12" x14ac:dyDescent="0.3">
      <c r="D203" s="14"/>
      <c r="H203" s="16"/>
      <c r="I203" s="16"/>
      <c r="J203" s="16"/>
      <c r="K203" s="16"/>
      <c r="L203" s="16"/>
    </row>
  </sheetData>
  <mergeCells count="3">
    <mergeCell ref="B4:C4"/>
    <mergeCell ref="E4:F4"/>
    <mergeCell ref="H4:I4"/>
  </mergeCells>
  <pageMargins left="0.7" right="0.7" top="0.75" bottom="0.75" header="0.3" footer="0.3"/>
  <ignoredErrors>
    <ignoredError sqref="C26" formula="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58D50B-0299-4E61-ABFA-8D92E9781A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Assumptions</vt:lpstr>
      <vt:lpstr>Inputs</vt:lpstr>
      <vt:lpstr>Scenarios</vt:lpstr>
      <vt:lpstr>Model</vt:lpstr>
      <vt:lpstr>Ratio Analysis</vt:lpstr>
      <vt:lpstr>Equity Beta</vt:lpstr>
      <vt:lpstr>Market Returns</vt:lpstr>
      <vt:lpstr>DCF Valuation</vt:lpstr>
      <vt:lpstr>Comps Inputs</vt:lpstr>
      <vt:lpstr>Comps Valuation</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dc:creator>
  <cp:lastModifiedBy>Admin</cp:lastModifiedBy>
  <dcterms:created xsi:type="dcterms:W3CDTF">2015-06-05T18:17:20Z</dcterms:created>
  <dcterms:modified xsi:type="dcterms:W3CDTF">2026-07-04T14:15:54Z</dcterms:modified>
</cp:coreProperties>
</file>